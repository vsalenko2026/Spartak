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0_Дашборд" sheetId="1" state="visible" r:id="rId1"/>
    <sheet name="01_Вводные" sheetId="2" state="visible" r:id="rId2"/>
    <sheet name="02_Результат" sheetId="3" state="visible" r:id="rId3"/>
    <sheet name="03_Сеть" sheetId="4" state="visible" r:id="rId4"/>
    <sheet name="04_Доходы" sheetId="5" state="visible" r:id="rId5"/>
    <sheet name="05_Расходы" sheetId="6" state="visible" r:id="rId6"/>
    <sheet name="06_Деньги" sheetId="7" state="visible" r:id="rId7"/>
    <sheet name="07_Тарифы" sheetId="8" state="visible" r:id="rId8"/>
    <sheet name="08_Проверки" sheetId="9" state="visible" r:id="rId9"/>
    <sheet name="09_Инструкция" sheetId="10" state="visible" r:id="rId10"/>
    <sheet name="10_История" sheetId="11" state="visible" r:id="rId11"/>
  </sheets>
  <definedNames>
    <definedName name="MeanMinAge16">'07_Тарифы'!$X$39</definedName>
    <definedName name="MeanMinAge09">'07_Тарифы'!$X$32</definedName>
    <definedName name="RevenueAge09">'07_Тарифы'!$B$32:$U$32</definedName>
    <definedName name="ThresholdAge23">'07_Тарифы'!$B$136:$U$136</definedName>
    <definedName name="CapacityYear2">'07_Тарифы'!$W$36:$W$47</definedName>
    <definedName name="WeightedRevAge10">'07_Тарифы'!$B$153:$U$153</definedName>
    <definedName name="MinimumAge12">'07_Тарифы'!$B$65:$U$65</definedName>
    <definedName name="УчитыватьИсторию">'01_Вводные'!$B$322</definedName>
    <definedName name="ДатаИндексацииЗП">'01_Вводные'!$B$251</definedName>
    <definedName name="СтавкаУСН">'01_Вводные'!$B$156</definedName>
    <definedName name="RevenueAge25">'07_Тарифы'!$B$48:$U$48</definedName>
    <definedName name="WeightedRevAge25">'07_Тарифы'!$B$168:$U$168</definedName>
    <definedName name="WeightedMinAge22">'07_Тарифы'!$B$195:$U$195</definedName>
    <definedName name="WeightedMinAge16">'07_Тарифы'!$B$189:$U$189</definedName>
    <definedName name="CapacityAge09">'07_Тарифы'!$W$32</definedName>
    <definedName name="CAPEXРазовый">'01_Вводные'!$B$287</definedName>
    <definedName name="MinimumAge03">'07_Тарифы'!$B$56:$U$56</definedName>
    <definedName name="ДетиК12Мес">'01_Вводные'!$B$46</definedName>
    <definedName name="WeightedMinAge14">'07_Тарифы'!$B$187:$U$187</definedName>
    <definedName name="ДатаLegacy">'01_Вводные'!$B$244</definedName>
    <definedName name="MinimumAge09">'07_Тарифы'!$B$62:$U$62</definedName>
    <definedName name="WeightedRevAge15">'07_Тарифы'!$B$158:$U$158</definedName>
    <definedName name="СреднийФиксТочки">'01_Вводные'!$B$52</definedName>
    <definedName name="RevenueAge14">'07_Тарифы'!$B$37:$U$37</definedName>
    <definedName name="WeightedMinAge10">'07_Тарифы'!$B$183:$U$183</definedName>
    <definedName name="CAPEXДата">'01_Вводные'!$B$289</definedName>
    <definedName name="WeightedRevAge17">'07_Тарифы'!$B$160:$U$160</definedName>
    <definedName name="MinimumAge16">'07_Тарифы'!$B$69:$U$69</definedName>
    <definedName name="CAPEXБаза">'01_Вводные'!$B$288</definedName>
    <definedName name="RevenueAge03">'07_Тарифы'!$B$26:$U$26</definedName>
    <definedName name="ERPШколВБазе">'01_Вводные'!$B$106</definedName>
    <definedName name="ЛагСледующихШкол">'01_Вводные'!$B$311</definedName>
    <definedName name="CapacityAge11">'07_Тарифы'!$W$34</definedName>
    <definedName name="CapacityAge07">'07_Тарифы'!$W$30</definedName>
    <definedName name="ДатаОфисМенеджера">'01_Вводные'!$B$247</definedName>
    <definedName name="ПремияГДвБазе">'01_Вводные'!$D$138</definedName>
    <definedName name="RevenueAge02">'07_Тарифы'!$B$25:$U$25</definedName>
    <definedName name="ThresholdAge13">'07_Тарифы'!$B$126:$U$126</definedName>
    <definedName name="ПрочиеIT">'01_Вводные'!$B$110</definedName>
    <definedName name="ЗапасДляЗайма">'01_Вводные'!$B$310</definedName>
    <definedName name="WeightedRevAge22">'07_Тарифы'!$B$165:$U$165</definedName>
    <definedName name="СуммаForbes">'01_Вводные'!$B$32</definedName>
    <definedName name="RevenueAge06">'07_Тарифы'!$B$29:$U$29</definedName>
    <definedName name="WeightedMinAge07">'07_Тарифы'!$B$180:$U$180</definedName>
    <definedName name="MinimumAge13">'07_Тарифы'!$B$66:$U$66</definedName>
    <definedName name="MeanMinAge17">'07_Тарифы'!$X$40</definedName>
    <definedName name="NetGross">'01_Вводные'!$B$132</definedName>
    <definedName name="ШколыСтарт">'01_Вводные'!$B$9</definedName>
    <definedName name="ДатаЗаменыДиректора">'01_Вводные'!$B$255</definedName>
    <definedName name="CapacityAge14">'07_Тарифы'!$W$37</definedName>
    <definedName name="ШколНаПродажу">'01_Вводные'!$B$22</definedName>
    <definedName name="MinimumAge15">'07_Тарифы'!$B$68:$U$68</definedName>
    <definedName name="РостДетей">'01_Вводные'!$B$12</definedName>
    <definedName name="CapacityAge22">'07_Тарифы'!$W$45</definedName>
    <definedName name="RevenueAge15">'07_Тарифы'!$B$38:$U$38</definedName>
    <definedName name="ОфисМенеджерNet">'01_Вводные'!$B$133</definedName>
    <definedName name="ДатаОсобогоЛага">'01_Вводные'!$B$242</definedName>
    <definedName name="ЗакрытиеГод">'01_Вводные'!$B$13</definedName>
    <definedName name="RevenueAge19">'07_Тарифы'!$B$42:$U$42</definedName>
    <definedName name="ДоляФКПаушальные">'01_Вводные'!$B$59</definedName>
    <definedName name="CapacityAge02">'07_Тарифы'!$W$25</definedName>
    <definedName name="ОграничитьЗайм">'01_Вводные'!$B$238</definedName>
    <definedName name="MeanMinAge05">'07_Тарифы'!$X$28</definedName>
    <definedName name="MinimumAge06">'07_Тарифы'!$B$59:$U$59</definedName>
    <definedName name="MinimumAge08">'07_Тарифы'!$B$61:$U$61</definedName>
    <definedName name="TariffWeights">'07_Тарифы'!$B$22:$U$22</definedName>
    <definedName name="MeanMinAge13">'07_Тарифы'!$X$36</definedName>
    <definedName name="МинНалог">'01_Вводные'!$B$157</definedName>
    <definedName name="ThresholdAge09">'07_Тарифы'!$B$122:$U$122</definedName>
    <definedName name="MinimumAge23">'07_Тарифы'!$B$76:$U$76</definedName>
    <definedName name="WeightedRevAge11">'07_Тарифы'!$B$154:$U$154</definedName>
    <definedName name="RevenueAge16">'07_Тарифы'!$B$39:$U$39</definedName>
    <definedName name="WeightedMinAge18">'07_Тарифы'!$B$191:$U$191</definedName>
    <definedName name="WeightedMinAge03">'07_Тарифы'!$B$176:$U$176</definedName>
    <definedName name="ThresholdAge03">'07_Тарифы'!$B$116:$U$116</definedName>
    <definedName name="WeightedMinAge13">'07_Тарифы'!$B$186:$U$186</definedName>
    <definedName name="CapacityAge15">'07_Тарифы'!$W$38</definedName>
    <definedName name="WeightedRevAge08">'07_Тарифы'!$B$151:$U$151</definedName>
    <definedName name="CapacityAge12">'07_Тарифы'!$W$35</definedName>
    <definedName name="MinimumAge11">'07_Тарифы'!$B$64:$U$64</definedName>
    <definedName name="МножительЦен">'01_Вводные'!$F$200</definedName>
    <definedName name="ThresholdAge25">'07_Тарифы'!$B$138:$U$138</definedName>
    <definedName name="ЛогистикаМерча">'01_Вводные'!$B$75</definedName>
    <definedName name="RevenueAge12">'07_Тарифы'!$B$35:$U$35</definedName>
    <definedName name="МесяцБИБОСС">'01_Вводные'!$B$29</definedName>
    <definedName name="ThresholdAge17">'07_Тарифы'!$B$130:$U$130</definedName>
    <definedName name="WeightedRevAge07">'07_Тарифы'!$B$150:$U$150</definedName>
    <definedName name="ThresholdAge07">'07_Тарифы'!$B$120:$U$120</definedName>
    <definedName name="WeightedMinAge06">'07_Тарифы'!$B$179:$U$179</definedName>
    <definedName name="ЮрлицНаПродажу">'01_Вводные'!$B$16</definedName>
    <definedName name="ThresholdAge22">'07_Тарифы'!$B$135:$U$135</definedName>
    <definedName name="CapacityAge16">'07_Тарифы'!$W$39</definedName>
    <definedName name="ГоризонтМес">'01_Вводные'!$B$8</definedName>
    <definedName name="WeightedMinAge19">'07_Тарифы'!$B$192:$U$192</definedName>
    <definedName name="RevenueAge10">'07_Тарифы'!$B$33:$U$33</definedName>
    <definedName name="ERPБаза">'01_Вводные'!$B$105</definedName>
    <definedName name="MeanMinAge22">'07_Тарифы'!$X$45</definedName>
    <definedName name="НомерСценария">'01_Вводные'!$B$194</definedName>
    <definedName name="RevenueAge20">'07_Тарифы'!$B$43:$U$43</definedName>
    <definedName name="СтраховыеВзносы">'01_Вводные'!$B$131</definedName>
    <definedName name="НДС">'01_Вводные'!$B$58</definedName>
    <definedName name="ГруппыСтавка">'01_Вводные'!$E$314:$E$318</definedName>
    <definedName name="ThresholdAge06">'07_Тарифы'!$B$119:$U$119</definedName>
    <definedName name="ЗаймСтарт">'01_Вводные'!$B$78</definedName>
    <definedName name="RevenueAge17">'07_Тарифы'!$B$40:$U$40</definedName>
    <definedName name="Офис">'01_Вводные'!$B$108</definedName>
    <definedName name="ЛагТаргета">'01_Вводные'!$B$27</definedName>
    <definedName name="CapacityAge19">'07_Тарифы'!$W$42</definedName>
    <definedName name="WeightedRevAge14">'07_Тарифы'!$B$157:$U$157</definedName>
    <definedName name="WeightedRevAge03">'07_Тарифы'!$B$146:$U$146</definedName>
    <definedName name="ТриггерПродавца">'01_Вводные'!$B$126</definedName>
    <definedName name="MinimumAge05">'07_Тарифы'!$B$58:$U$58</definedName>
    <definedName name="WeightedRevAge20">'07_Тарифы'!$B$163:$U$163</definedName>
    <definedName name="MinimumAge25">'07_Тарифы'!$B$78:$U$78</definedName>
    <definedName name="MeanMinAge08">'07_Тарифы'!$X$31</definedName>
    <definedName name="MeanMinAge14">'07_Тарифы'!$X$37</definedName>
    <definedName name="MeanMinAge01">'07_Тарифы'!$X$24</definedName>
    <definedName name="ЗапасМес">'01_Вводные'!$B$80</definedName>
    <definedName name="КаникулыРоялти">'01_Вводные'!$B$297</definedName>
    <definedName name="MinimumAge18">'07_Тарифы'!$B$71:$U$71</definedName>
    <definedName name="ОкладМенеджера">'01_Вводные'!$B$119</definedName>
    <definedName name="RevenueAge01">'07_Тарифы'!$B$24:$U$24</definedName>
    <definedName name="МножительДетей">'01_Вводные'!$F$199</definedName>
    <definedName name="RevenueAge23">'07_Тарифы'!$B$46:$U$46</definedName>
    <definedName name="WeightedMinAge20">'07_Тарифы'!$B$193:$U$193</definedName>
    <definedName name="ThresholdAge16">'07_Тарифы'!$B$129:$U$129</definedName>
    <definedName name="CapacityAge01">'07_Тарифы'!$W$24</definedName>
    <definedName name="КоэффМерча">'01_Вводные'!$B$74</definedName>
    <definedName name="WeightedMinAge11">'07_Тарифы'!$B$184:$U$184</definedName>
    <definedName name="MeanMinAge24">'07_Тарифы'!$X$47</definedName>
    <definedName name="ЛагОткрытия">'01_Вводные'!$B$15</definedName>
    <definedName name="CAPEXДоля">'01_Вводные'!$B$286</definedName>
    <definedName name="MinimumAge19">'07_Тарифы'!$B$72:$U$72</definedName>
    <definedName name="БазаКвартальной">'01_Вводные'!$B$152</definedName>
    <definedName name="WeightedRevAge09">'07_Тарифы'!$B$152:$U$152</definedName>
    <definedName name="КвартальнаяПремия">'01_Вводные'!$B$130</definedName>
    <definedName name="CapacityAge18">'07_Тарифы'!$W$41</definedName>
    <definedName name="МинОстатокДляЗайма">'01_Вводные'!$B$237</definedName>
    <definedName name="CapacityAge10">'07_Тарифы'!$W$33</definedName>
    <definedName name="МесяцForbes">'01_Вводные'!$B$33</definedName>
    <definedName name="ПремияЕвгения">'01_Вводные'!$B$125</definedName>
    <definedName name="CapacityAge13">'07_Тарифы'!$W$36</definedName>
    <definedName name="ЛагеряВключены">'01_Вводные'!$B$241</definedName>
    <definedName name="MeanMinAge07">'07_Тарифы'!$X$30</definedName>
    <definedName name="ГруппыДоля">'01_Вводные'!$C$314:$C$318</definedName>
    <definedName name="RevenueAge04">'07_Тарифы'!$B$27:$U$27</definedName>
    <definedName name="ПродавецБонус">'01_Вводные'!$B$128</definedName>
    <definedName name="WeightedRevAge05">'07_Тарифы'!$B$148:$U$148</definedName>
    <definedName name="WeightedRevAge24">'07_Тарифы'!$B$167:$U$167</definedName>
    <definedName name="НаценкаМерча">'01_Вводные'!$B$72</definedName>
    <definedName name="WeightedMinAge15">'07_Тарифы'!$B$188:$U$188</definedName>
    <definedName name="ПродавецФикс">'01_Вводные'!$B$127</definedName>
    <definedName name="СтавкаРоялтиНовых">'01_Вводные'!$B$56</definedName>
    <definedName name="СтатусПродавца">'01_Вводные'!$B$129</definedName>
    <definedName name="ПремияРазвитияС">'01_Вводные'!$B$124</definedName>
    <definedName name="БазовыхМенеджеров">'01_Вводные'!$B$118</definedName>
    <definedName name="WeightedRevAge13">'07_Тарифы'!$B$156:$U$156</definedName>
    <definedName name="MinimumAge14">'07_Тарифы'!$B$67:$U$67</definedName>
    <definedName name="CapacityAge24">'07_Тарифы'!$W$47</definedName>
    <definedName name="ПремияРазвитияДо">'01_Вводные'!$B$123</definedName>
    <definedName name="СуммаTopFranchise">'01_Вводные'!$B$30</definedName>
    <definedName name="MinimumAge17">'07_Тарифы'!$B$70:$U$70</definedName>
    <definedName name="ThresholdAge15">'07_Тарифы'!$B$128:$U$128</definedName>
    <definedName name="CapacityAge17">'07_Тарифы'!$W$40</definedName>
    <definedName name="CapacityAge20">'07_Тарифы'!$W$43</definedName>
    <definedName name="СтавкаРоялтиВсех">'01_Вводные'!$B$57</definedName>
    <definedName name="ДатаПереходаСтавки">'01_Вводные'!$B$245</definedName>
    <definedName name="MeanMinAge10">'07_Тарифы'!$X$33</definedName>
    <definedName name="ДоляCOGSНаЗайм">'01_Вводные'!$B$79</definedName>
    <definedName name="АбонементНовых">'01_Вводные'!$B$218</definedName>
    <definedName name="MeanMinAge21">'07_Тарифы'!$X$44</definedName>
    <definedName name="РезервРотации">'01_Вводные'!$B$122</definedName>
    <definedName name="MeanMinAge25">'07_Тарифы'!$X$48</definedName>
    <definedName name="MeanMinAge06">'07_Тарифы'!$X$29</definedName>
    <definedName name="CapacityAge25">'07_Тарифы'!$W$48</definedName>
    <definedName name="MeanMinAge23">'07_Тарифы'!$X$46</definedName>
    <definedName name="CapacityAge21">'07_Тарифы'!$W$44</definedName>
    <definedName name="ДоляОплатыТек">'01_Вводные'!$B$21</definedName>
    <definedName name="WeightedRevAge02">'07_Тарифы'!$B$145:$U$145</definedName>
    <definedName name="ThresholdAge04">'07_Тарифы'!$B$117:$U$117</definedName>
    <definedName name="WeightedMinAge12">'07_Тарифы'!$B$185:$U$185</definedName>
    <definedName name="MinimumAge22">'07_Тарифы'!$B$75:$U$75</definedName>
    <definedName name="ERPНаШколу">'01_Вводные'!$B$107</definedName>
    <definedName name="WeightedRevAge19">'07_Тарифы'!$B$162:$U$162</definedName>
    <definedName name="WeightedMinAge09">'07_Тарифы'!$B$182:$U$182</definedName>
    <definedName name="WeightedRevAge04">'07_Тарифы'!$B$147:$U$147</definedName>
    <definedName name="WeightedMinAge23">'07_Тарифы'!$B$196:$U$196</definedName>
    <definedName name="WeightedMinAge17">'07_Тарифы'!$B$190:$U$190</definedName>
    <definedName name="RevenueAge21">'07_Тарифы'!$B$44:$U$44</definedName>
    <definedName name="WeightedMinAge05">'07_Тарифы'!$B$178:$U$178</definedName>
    <definedName name="MinimumAge10">'07_Тарифы'!$B$63:$U$63</definedName>
    <definedName name="ПервичнаяМес2">'01_Вводные'!$B$88</definedName>
    <definedName name="ThresholdAge02">'07_Тарифы'!$B$115:$U$115</definedName>
    <definedName name="MeanMinAge18">'07_Тарифы'!$X$41</definedName>
    <definedName name="МесяцРезерва">'01_Вводные'!$B$256</definedName>
    <definedName name="СценарийТекст">'01_Вводные'!$B$192</definedName>
    <definedName name="СебестКомплекта">'01_Вводные'!$B$71</definedName>
    <definedName name="MinimumAge07">'07_Тарифы'!$B$60:$U$60</definedName>
    <definedName name="RevenueAge07">'07_Тарифы'!$B$30:$U$30</definedName>
    <definedName name="MinimumAge02">'07_Тарифы'!$B$55:$U$55</definedName>
    <definedName name="ПравилоПовтора">'01_Вводные'!$B$296</definedName>
    <definedName name="ЮрлицНаМенеджера">'01_Вводные'!$B$117</definedName>
    <definedName name="WeightedRevAge18">'07_Тарифы'!$B$161:$U$161</definedName>
    <definedName name="ThresholdAge01">'07_Тарифы'!$B$114:$U$114</definedName>
    <definedName name="RevenueAge11">'07_Тарифы'!$B$34:$U$34</definedName>
    <definedName name="ThresholdAge11">'07_Тарифы'!$B$124:$U$124</definedName>
    <definedName name="MeanMinAge04">'07_Тарифы'!$X$27</definedName>
    <definedName name="ДатаПовышенияГД">'01_Вводные'!$B$249</definedName>
    <definedName name="WeightedMinAge02">'07_Тарифы'!$B$175:$U$175</definedName>
    <definedName name="WeightedRevAge21">'07_Тарифы'!$B$164:$U$164</definedName>
    <definedName name="MeanMinAge03">'07_Тарифы'!$X$26</definedName>
    <definedName name="MinimumAge24">'07_Тарифы'!$B$77:$U$77</definedName>
    <definedName name="ПервичнаяМес3">'01_Вводные'!$B$89</definedName>
    <definedName name="ЛагERP">'01_Вводные'!$B$235</definedName>
    <definedName name="ThresholdAge12">'07_Тарифы'!$B$125:$U$125</definedName>
    <definedName name="RevenueAge05">'07_Тарифы'!$B$28:$U$28</definedName>
    <definedName name="CapacityAge04">'07_Тарифы'!$W$27</definedName>
    <definedName name="WeightedRevAge01">'07_Тарифы'!$B$144:$U$144</definedName>
    <definedName name="MinimumAge20">'07_Тарифы'!$B$73:$U$73</definedName>
    <definedName name="CapacityAge06">'07_Тарифы'!$W$29</definedName>
    <definedName name="ThresholdAge05">'07_Тарифы'!$B$118:$U$118</definedName>
    <definedName name="WeightedRevAge12">'07_Тарифы'!$B$155:$U$155</definedName>
    <definedName name="ThresholdAge14">'07_Тарифы'!$B$127:$U$127</definedName>
    <definedName name="КоэффСохранения">'01_Вводные'!$B$14</definedName>
    <definedName name="MinimumAge01">'07_Тарифы'!$B$54:$U$54</definedName>
    <definedName name="WeightedMinAge04">'07_Тарифы'!$B$177:$U$177</definedName>
    <definedName name="WeightedRevAge06">'07_Тарифы'!$B$149:$U$149</definedName>
    <definedName name="CAPEXВключён">'01_Вводные'!$B$290</definedName>
    <definedName name="ИнфляцияЗарплат">'01_Вводные'!$B$116</definedName>
    <definedName name="CapacityAge03">'07_Тарифы'!$W$26</definedName>
    <definedName name="MeanMinAge15">'07_Тарифы'!$X$38</definedName>
    <definedName name="MinimumAge04">'07_Тарифы'!$B$57:$U$57</definedName>
    <definedName name="ThresholdAge10">'07_Тарифы'!$B$123:$U$123</definedName>
    <definedName name="МесяцЗакупки3">'01_Вводные'!$B$84</definedName>
    <definedName name="КонверсияОткрытия">'01_Вводные'!$B$298</definedName>
    <definedName name="ДетиСтарт">'01_Вводные'!$B$11</definedName>
    <definedName name="MeanMinAge19">'07_Тарифы'!$X$42</definedName>
    <definedName name="Юристы">'01_Вводные'!$B$109</definedName>
    <definedName name="ThresholdAge18">'07_Тарифы'!$B$131:$U$131</definedName>
    <definedName name="RevenueAge22">'07_Тарифы'!$B$45:$U$45</definedName>
    <definedName name="МесяцTopFranchise">'01_Вводные'!$B$31</definedName>
    <definedName name="WeightedRevAge23">'07_Тарифы'!$B$166:$U$166</definedName>
    <definedName name="ДеньгиСтарт">'01_Вводные'!$B$17</definedName>
    <definedName name="ЗаменаДиректора">'01_Вводные'!$B$121</definedName>
    <definedName name="ОсобыйЛаг">'01_Вводные'!$B$243</definedName>
    <definedName name="СуммаБИБОСС">'01_Вводные'!$B$28</definedName>
    <definedName name="SMMNet">'01_Вводные'!$B$134</definedName>
    <definedName name="MeanMinAge02">'07_Тарифы'!$X$25</definedName>
    <definedName name="ThresholdAge20">'07_Тарифы'!$B$133:$U$133</definedName>
    <definedName name="ГруппыТочек">'01_Вводные'!$B$314:$B$318</definedName>
    <definedName name="WeightedMinAge24">'07_Тарифы'!$B$197:$U$197</definedName>
    <definedName name="MeanMinAge11">'07_Тарифы'!$X$34</definedName>
    <definedName name="ДоляПоступлТек">'01_Вводные'!$B$20</definedName>
    <definedName name="RevenueAge13">'07_Тарифы'!$B$36:$U$36</definedName>
    <definedName name="CapacityAge23">'07_Тарифы'!$W$46</definedName>
    <definedName name="ДоляФКМерч">'01_Вводные'!$B$76</definedName>
    <definedName name="CapacityAge05">'07_Тарифы'!$W$28</definedName>
    <definedName name="АбонементДейств">'01_Вводные'!$B$51</definedName>
    <definedName name="WeightedMinAge21">'07_Тарифы'!$B$194:$U$194</definedName>
    <definedName name="ДатаКвартальных">'01_Вводные'!$B$246</definedName>
    <definedName name="ДатаПремииРазвития">'01_Вводные'!$B$250</definedName>
    <definedName name="MinimumAge21">'07_Тарифы'!$B$74:$U$74</definedName>
    <definedName name="ThresholdAge19">'07_Тарифы'!$B$132:$U$132</definedName>
    <definedName name="СтавкаРоялтиСтарых">'01_Вводные'!$B$55</definedName>
    <definedName name="ФОТЯдра">'01_Вводные'!$B$151</definedName>
    <definedName name="МесяцЗакупки4">'01_Вводные'!$B$85</definedName>
    <definedName name="СтартМодели">'01_Вводные'!$B$7</definedName>
    <definedName name="РоялтиПоГруппам">'01_Вводные'!$B$239</definedName>
    <definedName name="СтартПополнения">'01_Вводные'!$B$81</definedName>
    <definedName name="WeightedMinAge25">'07_Тарифы'!$B$198:$U$198</definedName>
    <definedName name="ДоляФКРоялти">'01_Вводные'!$B$60</definedName>
    <definedName name="ПовышениеГД">'01_Вводные'!$B$135</definedName>
    <definedName name="ДатаSMM">'01_Вводные'!$B$248</definedName>
    <definedName name="MeanMinAge12">'07_Тарифы'!$X$35</definedName>
    <definedName name="WeightedMinAge01">'07_Тарифы'!$B$174:$U$174</definedName>
    <definedName name="ThresholdAge21">'07_Тарифы'!$B$134:$U$134</definedName>
    <definedName name="ThresholdAge08">'07_Тарифы'!$B$121:$U$121</definedName>
    <definedName name="RevenueAge18">'07_Тарифы'!$B$41:$U$41</definedName>
    <definedName name="WeightedRevAge16">'07_Тарифы'!$B$159:$U$159</definedName>
    <definedName name="ThresholdAge24">'07_Тарифы'!$B$137:$U$137</definedName>
    <definedName name="ЮрлицаСтарт">'01_Вводные'!$B$10</definedName>
    <definedName name="КомиссияАгентства">'01_Вводные'!$B$120</definedName>
    <definedName name="CapacityYear1">'07_Тарифы'!$W$24:$W$35</definedName>
    <definedName name="WeightedMinAge08">'07_Тарифы'!$B$181:$U$181</definedName>
    <definedName name="МесяцЗакупки2">'01_Вводные'!$B$83</definedName>
    <definedName name="МесяцЗакупки1">'01_Вводные'!$B$82</definedName>
    <definedName name="ГруппыФикс">'01_Вводные'!$D$314:$D$318</definedName>
    <definedName name="ПервичнаяМес1">'01_Вводные'!$B$87</definedName>
    <definedName name="СкладСтарт">'01_Вводные'!$B$77</definedName>
    <definedName name="MeanMinAge20">'07_Тарифы'!$X$43</definedName>
    <definedName name="CapacityAge08">'07_Тарифы'!$W$31</definedName>
    <definedName name="RevenueAge24">'07_Тарифы'!$B$47:$U$47</definedName>
    <definedName name="RevenueAge08">'07_Тарифы'!$B$31:$U$31</definedName>
    <definedName name="ДоляФКРоялти2">'01_Вводные'!$B$372</definedName>
    <definedName name="ДоляФКРоялти3">'01_Вводные'!$B$373</definedName>
    <definedName name="ДатаФКСтупень2">'01_Вводные'!$B$374</definedName>
    <definedName name="ДатаФКСтупень3">'01_Вводные'!$B$375</definedName>
    <definedName name="ЛагОплатыФК">'01_Вводные'!$B$376</definedName>
  </definedNames>
  <calcPr calcId="124519" fullCalcOnLoad="1"/>
</workbook>
</file>

<file path=xl/styles.xml><?xml version="1.0" encoding="utf-8"?>
<styleSheet xmlns="http://schemas.openxmlformats.org/spreadsheetml/2006/main">
  <numFmts count="32">
    <numFmt numFmtId="164" formatCode="dd.mm.yyyy"/>
    <numFmt numFmtId="165" formatCode="0&quot; мес.&quot;"/>
    <numFmt numFmtId="166" formatCode="#,##0&quot; шт.&quot;"/>
    <numFmt numFmtId="167" formatCode="#,##0&quot; чел.&quot;"/>
    <numFmt numFmtId="168" formatCode="0.0%;[Red](0.0%);-"/>
    <numFmt numFmtId="169" formatCode="mmm yyyy"/>
    <numFmt numFmtId="170" formatCode="0.0000x"/>
    <numFmt numFmtId="171" formatCode="0.00&quot; юрл./прод.&quot;"/>
    <numFmt numFmtId="172" formatCode="#,##0;[Red](#,##0);-"/>
    <numFmt numFmtId="173" formatCode="0&quot; дн.&quot;"/>
    <numFmt numFmtId="174" formatCode="0.00&quot; школ/прод.&quot;"/>
    <numFmt numFmtId="175" formatCode="0&quot; (№ мес.)&quot;"/>
    <numFmt numFmtId="176" formatCode="#,##0.0;[Red](#,##0.0);-"/>
    <numFmt numFmtId="177" formatCode="#,##0.0;[Red]-#,##0.0;-"/>
    <numFmt numFmtId="178" formatCode="0.00&quot; компл.&quot;"/>
    <numFmt numFmtId="179" formatCode="0&quot; юрлиц&quot;"/>
    <numFmt numFmtId="180" formatCode="0&quot; чел.&quot;"/>
    <numFmt numFmtId="181" formatCode="0.00&quot;×&quot;"/>
    <numFmt numFmtId="182" formatCode="0&quot; прод./мес.&quot;"/>
    <numFmt numFmtId="183" formatCode="#,##0&quot; чел./шт.&quot;"/>
    <numFmt numFmtId="184" formatCode="#,##0;[Red]-#,##0;-"/>
    <numFmt numFmtId="185" formatCode="#,##0;[Red](#,##0);&quot;-&quot;"/>
    <numFmt numFmtId="186" formatCode="0.00&quot;x&quot;"/>
    <numFmt numFmtId="187" formatCode="0.0%;[Red](0.0%);&quot;-&quot;"/>
    <numFmt numFmtId="188" formatCode="0.0%"/>
    <numFmt numFmtId="189" formatCode="#,##0.0;[Red](#,##0.0);&quot;-&quot;"/>
    <numFmt numFmtId="190" formatCode="0.0%;[Red]-0.0%;-"/>
    <numFmt numFmtId="191" formatCode="dd/mm/yyyy"/>
    <numFmt numFmtId="192" formatCode="#,##0&quot; млн&quot;"/>
    <numFmt numFmtId="193" formatCode="0.000"/>
    <numFmt numFmtId="194" formatCode="0.0000"/>
    <numFmt numFmtId="195" formatCode="DD.MM.YYYY"/>
  </numFmts>
  <fonts count="51">
    <font>
      <name val="Calibri"/>
      <color theme="1"/>
      <sz val="11"/>
      <scheme val="minor"/>
    </font>
    <font>
      <name val="Calibri"/>
      <b val="1"/>
      <color rgb="FF9E1B31"/>
      <sz val="14"/>
      <scheme val="minor"/>
    </font>
    <font>
      <name val="Calibri"/>
      <i val="1"/>
      <color rgb="FF595959"/>
      <sz val="10"/>
      <scheme val="minor"/>
    </font>
    <font>
      <name val="Calibri"/>
      <b val="1"/>
      <color rgb="FFFFFFFF"/>
      <sz val="10"/>
      <scheme val="minor"/>
    </font>
    <font>
      <name val="Calibri"/>
      <b val="1"/>
      <color rgb="FFFFFFFF"/>
      <sz val="14"/>
      <scheme val="minor"/>
    </font>
    <font/>
    <font>
      <name val="Calibri"/>
      <b val="1"/>
      <color theme="1"/>
      <sz val="10"/>
      <scheme val="minor"/>
    </font>
    <font>
      <name val="Calibri"/>
      <b val="1"/>
      <color theme="1"/>
      <sz val="9"/>
      <scheme val="minor"/>
    </font>
    <font>
      <name val="Calibri"/>
      <i val="1"/>
      <color rgb="FF595959"/>
      <sz val="9"/>
      <scheme val="minor"/>
    </font>
    <font>
      <color rgb="FF0563C1"/>
      <sz val="10"/>
      <u val="single"/>
    </font>
    <font>
      <name val="Calibri"/>
      <color theme="1"/>
      <sz val="11"/>
    </font>
    <font>
      <name val="Calibri"/>
      <b val="1"/>
      <color rgb="FF8A0000"/>
      <scheme val="minor"/>
    </font>
    <font>
      <color rgb="FF0000FF"/>
      <u val="single"/>
    </font>
    <font>
      <color rgb="FF0563C1"/>
      <sz val="9"/>
      <u val="single"/>
    </font>
    <font>
      <name val="Calibri"/>
      <b val="1"/>
      <color rgb="FFFFFFFF"/>
      <sz val="12"/>
      <scheme val="minor"/>
    </font>
    <font>
      <name val="Calibri"/>
      <b val="1"/>
      <color rgb="FFFFFFFF"/>
      <scheme val="minor"/>
    </font>
    <font>
      <color rgb="FF0563C1"/>
      <sz val="10"/>
      <u val="single"/>
    </font>
    <font>
      <name val="Calibri"/>
      <color rgb="FF0000FF"/>
      <scheme val="minor"/>
    </font>
    <font>
      <name val="Calibri"/>
      <color rgb="FF6B7280"/>
    </font>
    <font>
      <color rgb="FF0563C1"/>
      <sz val="10"/>
      <u val="single"/>
    </font>
    <font>
      <name val="Calibri"/>
      <color rgb="FF003FA5"/>
      <scheme val="minor"/>
    </font>
    <font>
      <name val="Calibri"/>
      <i val="1"/>
      <color rgb="FF404040"/>
      <sz val="11"/>
    </font>
    <font>
      <name val="Calibri"/>
      <i val="1"/>
      <color rgb="FF808080"/>
      <sz val="9"/>
      <scheme val="minor"/>
    </font>
    <font>
      <name val="Calibri"/>
      <b val="1"/>
      <color rgb="FFFFFFFF"/>
      <sz val="11"/>
      <scheme val="minor"/>
    </font>
    <font>
      <name val="Calibri"/>
      <color rgb="FF666666"/>
      <scheme val="minor"/>
    </font>
    <font>
      <name val="Calibri"/>
      <color rgb="FF606060"/>
      <sz val="10"/>
      <scheme val="minor"/>
    </font>
    <font>
      <name val="Calibri"/>
      <b val="1"/>
      <color rgb="FF9E1B31"/>
      <sz val="11"/>
      <scheme val="minor"/>
    </font>
    <font>
      <name val="Calibri"/>
      <color theme="1"/>
      <scheme val="minor"/>
    </font>
    <font>
      <name val="Calibri"/>
      <color rgb="FF595959"/>
      <scheme val="minor"/>
    </font>
    <font>
      <name val="Calibri"/>
      <b val="1"/>
      <color rgb="FF9E1B31"/>
      <sz val="16"/>
      <scheme val="minor"/>
    </font>
    <font>
      <name val="Calibri"/>
      <color rgb="FF0000FF"/>
      <sz val="11"/>
    </font>
    <font>
      <name val="Calibri"/>
      <b val="1"/>
      <color rgb="FF9E1B31"/>
      <sz val="10"/>
      <scheme val="minor"/>
    </font>
    <font>
      <name val="Calibri"/>
      <color rgb="FF222222"/>
      <sz val="11"/>
    </font>
    <font>
      <name val="Calibri"/>
      <b val="1"/>
      <color rgb="FF222222"/>
      <sz val="11"/>
    </font>
    <font>
      <name val="Calibri"/>
      <b val="1"/>
      <color theme="1"/>
      <sz val="12"/>
      <scheme val="minor"/>
    </font>
    <font>
      <name val="Calibri"/>
      <color rgb="FF0563C1"/>
      <sz val="11"/>
      <u val="single"/>
    </font>
    <font>
      <color rgb="FF0563C1"/>
      <sz val="9"/>
      <u val="single"/>
    </font>
    <font>
      <name val="Calibri"/>
      <b val="1"/>
      <color rgb="FFFFFFFF"/>
      <sz val="11"/>
    </font>
    <font>
      <name val="Calibri"/>
      <color rgb="FF666666"/>
      <sz val="11"/>
    </font>
    <font>
      <name val="Calibri"/>
      <b val="1"/>
      <color rgb="FFFFFFFF"/>
      <sz val="12"/>
    </font>
    <font>
      <name val="Calibri"/>
      <b val="1"/>
      <color theme="1"/>
      <scheme val="minor"/>
    </font>
    <font>
      <name val="Calibri"/>
      <color rgb="FF008000"/>
      <sz val="11"/>
    </font>
    <font>
      <name val="Arial"/>
      <color rgb="FF0000FF"/>
      <sz val="10"/>
    </font>
    <font>
      <name val="Calibri"/>
      <b val="1"/>
      <color rgb="FF9E1B31"/>
      <scheme val="minor"/>
    </font>
    <font>
      <name val="Calibri"/>
      <b val="1"/>
      <color rgb="FF9E1B31"/>
      <sz val="12"/>
      <scheme val="minor"/>
    </font>
    <font>
      <name val="Calibri"/>
      <i val="1"/>
      <color rgb="FFA6A6A6"/>
      <sz val="8"/>
      <scheme val="minor"/>
    </font>
    <font>
      <name val="Calibri"/>
      <color rgb="FFA6A6A6"/>
      <sz val="8"/>
      <scheme val="minor"/>
    </font>
    <font>
      <name val="Arial"/>
      <color rgb="FF000000"/>
      <sz val="10"/>
    </font>
    <font>
      <name val="Arial"/>
      <color rgb="FF008000"/>
      <sz val="10"/>
    </font>
    <font>
      <name val="Calibri"/>
      <color rgb="FF595959"/>
      <sz val="9"/>
      <scheme val="minor"/>
    </font>
    <font>
      <b val="1"/>
    </font>
  </fonts>
  <fills count="19">
    <fill>
      <patternFill/>
    </fill>
    <fill>
      <patternFill patternType="lightGray"/>
    </fill>
    <fill>
      <patternFill patternType="solid">
        <fgColor rgb="FF9E1B31"/>
        <bgColor rgb="FF9E1B31"/>
      </patternFill>
    </fill>
    <fill>
      <patternFill patternType="solid">
        <fgColor rgb="FF8A0000"/>
        <bgColor rgb="FF8A0000"/>
      </patternFill>
    </fill>
    <fill>
      <patternFill patternType="solid">
        <fgColor rgb="FFFFF299"/>
        <bgColor rgb="FFFFF299"/>
      </patternFill>
    </fill>
    <fill>
      <patternFill patternType="solid">
        <fgColor rgb="FFFCD5B4"/>
        <bgColor rgb="FFFCD5B4"/>
      </patternFill>
    </fill>
    <fill>
      <patternFill patternType="solid">
        <fgColor rgb="FFD9E1F2"/>
        <bgColor rgb="FFD9E1F2"/>
      </patternFill>
    </fill>
    <fill>
      <patternFill patternType="solid">
        <fgColor rgb="FFE4DFEC"/>
        <bgColor rgb="FFE4DFEC"/>
      </patternFill>
    </fill>
    <fill>
      <patternFill patternType="solid">
        <fgColor rgb="FFF2F2F2"/>
        <bgColor rgb="FFF2F2F2"/>
      </patternFill>
    </fill>
    <fill>
      <patternFill patternType="solid">
        <fgColor rgb="FFDDEBF7"/>
        <bgColor rgb="FFDDEBF7"/>
      </patternFill>
    </fill>
    <fill>
      <patternFill patternType="solid">
        <fgColor rgb="FFF4E5E8"/>
        <bgColor rgb="FFF4E5E8"/>
      </patternFill>
    </fill>
    <fill>
      <patternFill patternType="solid">
        <fgColor rgb="FFB21E1E"/>
        <bgColor rgb="FFB21E1E"/>
      </patternFill>
    </fill>
    <fill>
      <patternFill patternType="solid">
        <fgColor rgb="FFFFFFFF"/>
        <bgColor rgb="FFFFFFFF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C6E0B4"/>
      </patternFill>
    </fill>
  </fills>
  <borders count="9">
    <border/>
    <border>
      <left/>
      <right/>
      <top/>
    </border>
    <border>
      <left/>
      <right/>
      <top/>
      <bottom/>
    </border>
    <border>
      <left/>
      <top/>
      <bottom/>
    </border>
    <border>
      <top/>
      <bottom/>
    </border>
    <border>
      <left/>
      <right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9E1B31"/>
      </top>
    </border>
  </borders>
  <cellStyleXfs count="1">
    <xf numFmtId="0" fontId="0" fillId="0" borderId="0"/>
  </cellStyleXfs>
  <cellXfs count="20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left" vertical="center"/>
    </xf>
    <xf numFmtId="0" fontId="5" fillId="0" borderId="4" pivotButton="0" quotePrefix="0" xfId="0"/>
    <xf numFmtId="0" fontId="5" fillId="0" borderId="5" pivotButton="0" quotePrefix="0" xfId="0"/>
    <xf numFmtId="0" fontId="5" fillId="0" borderId="6" pivotButton="0" quotePrefix="0" xfId="0"/>
    <xf numFmtId="0" fontId="6" fillId="0" borderId="0" pivotButton="0" quotePrefix="0" xfId="0"/>
    <xf numFmtId="0" fontId="7" fillId="4" borderId="7" applyAlignment="1" pivotButton="0" quotePrefix="0" xfId="0">
      <alignment horizontal="center" vertical="center"/>
    </xf>
    <xf numFmtId="0" fontId="7" fillId="5" borderId="7" applyAlignment="1" pivotButton="0" quotePrefix="0" xfId="0">
      <alignment horizontal="center" vertical="center"/>
    </xf>
    <xf numFmtId="0" fontId="7" fillId="6" borderId="7" applyAlignment="1" pivotButton="0" quotePrefix="0" xfId="0">
      <alignment horizontal="center" vertical="center"/>
    </xf>
    <xf numFmtId="0" fontId="7" fillId="7" borderId="7" applyAlignment="1" pivotButton="0" quotePrefix="0" xfId="0">
      <alignment horizontal="center" vertical="center"/>
    </xf>
    <xf numFmtId="0" fontId="8" fillId="8" borderId="7" applyAlignment="1" pivotButton="0" quotePrefix="0" xfId="0">
      <alignment horizontal="center" vertical="center"/>
    </xf>
    <xf numFmtId="0" fontId="9" fillId="9" borderId="7" pivotButton="0" quotePrefix="0" xfId="0"/>
    <xf numFmtId="0" fontId="10" fillId="0" borderId="0" applyAlignment="1" pivotButton="0" quotePrefix="0" xfId="0">
      <alignment horizontal="left" vertical="center" wrapText="1"/>
    </xf>
    <xf numFmtId="0" fontId="11" fillId="10" borderId="3" applyAlignment="1" pivotButton="0" quotePrefix="0" xfId="0">
      <alignment vertical="center" wrapText="1"/>
    </xf>
    <xf numFmtId="0" fontId="12" fillId="0" borderId="0" pivotButton="0" quotePrefix="0" xfId="0"/>
    <xf numFmtId="0" fontId="13" fillId="9" borderId="7" pivotButton="0" quotePrefix="0" xfId="0"/>
    <xf numFmtId="0" fontId="14" fillId="2" borderId="3" applyAlignment="1" pivotButton="0" quotePrefix="0" xfId="0">
      <alignment horizontal="left" vertical="center"/>
    </xf>
    <xf numFmtId="0" fontId="15" fillId="2" borderId="2" applyAlignment="1" pivotButton="0" quotePrefix="0" xfId="0">
      <alignment horizontal="center" vertical="center" wrapText="1"/>
    </xf>
    <xf numFmtId="0" fontId="16" fillId="9" borderId="7" applyAlignment="1" pivotButton="0" quotePrefix="0" xfId="0">
      <alignment horizontal="left" vertical="center"/>
    </xf>
    <xf numFmtId="164" fontId="17" fillId="4" borderId="2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165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left" vertical="center"/>
    </xf>
    <xf numFmtId="166" fontId="17" fillId="4" borderId="2" applyAlignment="1" pivotButton="0" quotePrefix="0" xfId="0">
      <alignment vertical="center"/>
    </xf>
    <xf numFmtId="167" fontId="17" fillId="4" borderId="2" applyAlignment="1" pivotButton="0" quotePrefix="0" xfId="0">
      <alignment vertical="center"/>
    </xf>
    <xf numFmtId="168" fontId="17" fillId="4" borderId="2" applyAlignment="1" pivotButton="0" quotePrefix="0" xfId="0">
      <alignment vertical="center"/>
    </xf>
    <xf numFmtId="168" fontId="20" fillId="4" borderId="2" applyAlignment="1" pivotButton="0" quotePrefix="0" xfId="0">
      <alignment vertical="center"/>
    </xf>
    <xf numFmtId="169" fontId="3" fillId="2" borderId="2" applyAlignment="1" pivotButton="0" quotePrefix="0" xfId="0">
      <alignment horizontal="center" vertical="center" wrapText="1"/>
    </xf>
    <xf numFmtId="170" fontId="21" fillId="8" borderId="2" applyAlignment="1" pivotButton="0" quotePrefix="0" xfId="0">
      <alignment vertical="center"/>
    </xf>
    <xf numFmtId="165" fontId="17" fillId="4" borderId="2" applyAlignment="1" pivotButton="0" quotePrefix="0" xfId="0">
      <alignment vertical="center"/>
    </xf>
    <xf numFmtId="171" fontId="20" fillId="4" borderId="2" applyAlignment="1" pivotButton="0" quotePrefix="0" xfId="0">
      <alignment vertical="center"/>
    </xf>
    <xf numFmtId="172" fontId="20" fillId="4" borderId="2" applyAlignment="1" pivotButton="0" quotePrefix="0" xfId="0">
      <alignment vertical="center"/>
    </xf>
    <xf numFmtId="173" fontId="21" fillId="8" borderId="2" applyAlignment="1" pivotButton="0" quotePrefix="0" xfId="0">
      <alignment horizontal="right" vertical="center" wrapText="1"/>
    </xf>
    <xf numFmtId="0" fontId="22" fillId="0" borderId="0" pivotButton="0" quotePrefix="0" xfId="0"/>
    <xf numFmtId="173" fontId="17" fillId="4" borderId="2" applyAlignment="1" pivotButton="0" quotePrefix="0" xfId="0">
      <alignment vertical="center"/>
    </xf>
    <xf numFmtId="168" fontId="21" fillId="8" borderId="2" applyAlignment="1" pivotButton="0" quotePrefix="0" xfId="0">
      <alignment vertical="center"/>
    </xf>
    <xf numFmtId="174" fontId="20" fillId="4" borderId="2" applyAlignment="1" pivotButton="0" quotePrefix="0" xfId="0">
      <alignment vertical="center"/>
    </xf>
    <xf numFmtId="172" fontId="21" fillId="8" borderId="2" applyAlignment="1" pivotButton="0" quotePrefix="0" xfId="0">
      <alignment horizontal="right" vertical="center" wrapText="1"/>
    </xf>
    <xf numFmtId="172" fontId="17" fillId="4" borderId="2" applyAlignment="1" pivotButton="0" quotePrefix="0" xfId="0">
      <alignment vertical="center"/>
    </xf>
    <xf numFmtId="175" fontId="17" fillId="4" borderId="2" applyAlignment="1" pivotButton="0" quotePrefix="0" xfId="0">
      <alignment vertical="center"/>
    </xf>
    <xf numFmtId="0" fontId="23" fillId="11" borderId="3" applyAlignment="1" pivotButton="0" quotePrefix="0" xfId="0">
      <alignment horizontal="left" vertical="center"/>
    </xf>
    <xf numFmtId="0" fontId="24" fillId="0" borderId="0" applyAlignment="1" pivotButton="0" quotePrefix="0" xfId="0">
      <alignment vertical="center"/>
    </xf>
    <xf numFmtId="9" fontId="17" fillId="4" borderId="2" applyAlignment="1" pivotButton="0" quotePrefix="0" xfId="0">
      <alignment vertical="center"/>
    </xf>
    <xf numFmtId="0" fontId="10" fillId="12" borderId="2" applyAlignment="1" pivotButton="0" quotePrefix="0" xfId="0">
      <alignment horizontal="left" vertical="center" wrapText="1"/>
    </xf>
    <xf numFmtId="176" fontId="21" fillId="8" borderId="2" applyAlignment="1" pivotButton="0" quotePrefix="0" xfId="0">
      <alignment horizontal="right" vertical="center" wrapText="1"/>
    </xf>
    <xf numFmtId="0" fontId="10" fillId="13" borderId="2" applyAlignment="1" pivotButton="0" quotePrefix="0" xfId="0">
      <alignment vertical="center" wrapText="1"/>
    </xf>
    <xf numFmtId="172" fontId="21" fillId="8" borderId="2" applyAlignment="1" pivotButton="0" quotePrefix="0" xfId="0">
      <alignment vertical="center"/>
    </xf>
    <xf numFmtId="0" fontId="25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vertical="top" wrapText="1"/>
    </xf>
    <xf numFmtId="0" fontId="26" fillId="14" borderId="2" pivotButton="0" quotePrefix="0" xfId="0"/>
    <xf numFmtId="0" fontId="10" fillId="14" borderId="2" pivotButton="0" quotePrefix="0" xfId="0"/>
    <xf numFmtId="0" fontId="27" fillId="0" borderId="0" pivotButton="0" quotePrefix="0" xfId="0"/>
    <xf numFmtId="0" fontId="8" fillId="0" borderId="0" applyAlignment="1" pivotButton="0" quotePrefix="0" xfId="0">
      <alignment vertical="top" wrapText="1"/>
    </xf>
    <xf numFmtId="0" fontId="10" fillId="8" borderId="2" pivotButton="0" quotePrefix="0" xfId="0"/>
    <xf numFmtId="177" fontId="10" fillId="8" borderId="2" pivotButton="0" quotePrefix="0" xfId="0"/>
    <xf numFmtId="169" fontId="10" fillId="0" borderId="0" pivotButton="0" quotePrefix="0" xfId="0"/>
    <xf numFmtId="177" fontId="10" fillId="9" borderId="2" pivotButton="0" quotePrefix="0" xfId="0"/>
    <xf numFmtId="177" fontId="10" fillId="0" borderId="0" pivotButton="0" quotePrefix="0" xfId="0"/>
    <xf numFmtId="178" fontId="21" fillId="8" borderId="2" applyAlignment="1" pivotButton="0" quotePrefix="0" xfId="0">
      <alignment horizontal="right" vertical="center" wrapText="1"/>
    </xf>
    <xf numFmtId="172" fontId="17" fillId="4" borderId="2" applyAlignment="1" pivotButton="0" quotePrefix="0" xfId="0">
      <alignment vertical="center"/>
    </xf>
    <xf numFmtId="175" fontId="20" fillId="4" borderId="2" applyAlignment="1" pivotButton="0" quotePrefix="0" xfId="0">
      <alignment vertical="center"/>
    </xf>
    <xf numFmtId="17" fontId="15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166" fontId="20" fillId="5" borderId="2" applyAlignment="1" pivotButton="0" quotePrefix="0" xfId="0">
      <alignment vertical="center"/>
    </xf>
    <xf numFmtId="179" fontId="17" fillId="4" borderId="2" applyAlignment="1" pivotButton="0" quotePrefix="0" xfId="0">
      <alignment vertical="center"/>
    </xf>
    <xf numFmtId="180" fontId="17" fillId="4" borderId="2" applyAlignment="1" pivotButton="0" quotePrefix="0" xfId="0">
      <alignment vertical="center"/>
    </xf>
    <xf numFmtId="181" fontId="17" fillId="4" borderId="2" applyAlignment="1" pivotButton="0" quotePrefix="0" xfId="0">
      <alignment vertical="center"/>
    </xf>
    <xf numFmtId="182" fontId="17" fillId="4" borderId="2" applyAlignment="1" pivotButton="0" quotePrefix="0" xfId="0">
      <alignment vertical="center"/>
    </xf>
    <xf numFmtId="49" fontId="20" fillId="6" borderId="2" applyAlignment="1" pivotButton="0" quotePrefix="0" xfId="0">
      <alignment vertical="center"/>
    </xf>
    <xf numFmtId="168" fontId="20" fillId="5" borderId="2" applyAlignment="1" pivotButton="0" quotePrefix="0" xfId="0">
      <alignment vertical="center"/>
    </xf>
    <xf numFmtId="2" fontId="17" fillId="4" borderId="2" applyAlignment="1" pivotButton="0" quotePrefix="0" xfId="0">
      <alignment vertical="center"/>
    </xf>
    <xf numFmtId="0" fontId="17" fillId="4" borderId="2" applyAlignment="1" pivotButton="0" quotePrefix="0" xfId="0">
      <alignment horizontal="left" vertical="center" wrapText="1"/>
    </xf>
    <xf numFmtId="0" fontId="17" fillId="4" borderId="2" applyAlignment="1" pivotButton="0" quotePrefix="0" xfId="0">
      <alignment vertical="center"/>
    </xf>
    <xf numFmtId="0" fontId="17" fillId="6" borderId="2" applyAlignment="1" pivotButton="0" quotePrefix="0" xfId="0">
      <alignment vertical="center"/>
    </xf>
    <xf numFmtId="183" fontId="28" fillId="15" borderId="2" applyAlignment="1" pivotButton="0" quotePrefix="0" xfId="0">
      <alignment vertical="center"/>
    </xf>
    <xf numFmtId="0" fontId="10" fillId="16" borderId="0" applyAlignment="1" pivotButton="0" quotePrefix="0" xfId="0">
      <alignment vertical="center" wrapText="1"/>
    </xf>
    <xf numFmtId="172" fontId="28" fillId="15" borderId="2" applyAlignment="1" pivotButton="0" quotePrefix="0" xfId="0">
      <alignment vertical="center"/>
    </xf>
    <xf numFmtId="1" fontId="10" fillId="0" borderId="0" pivotButton="0" quotePrefix="0" xfId="0"/>
    <xf numFmtId="168" fontId="28" fillId="15" borderId="2" applyAlignment="1" pivotButton="0" quotePrefix="0" xfId="0">
      <alignment vertical="center"/>
    </xf>
    <xf numFmtId="175" fontId="28" fillId="15" borderId="2" applyAlignment="1" pivotButton="0" quotePrefix="0" xfId="0">
      <alignment vertical="center"/>
    </xf>
    <xf numFmtId="184" fontId="10" fillId="8" borderId="2" pivotButton="0" quotePrefix="0" xfId="0"/>
    <xf numFmtId="184" fontId="10" fillId="9" borderId="2" pivotButton="0" quotePrefix="0" xfId="0"/>
    <xf numFmtId="184" fontId="10" fillId="0" borderId="0" pivotButton="0" quotePrefix="0" xfId="0"/>
    <xf numFmtId="164" fontId="15" fillId="2" borderId="2" applyAlignment="1" pivotButton="0" quotePrefix="0" xfId="0">
      <alignment horizontal="center" vertical="center" wrapText="1"/>
    </xf>
    <xf numFmtId="0" fontId="20" fillId="5" borderId="2" pivotButton="0" quotePrefix="0" xfId="0"/>
    <xf numFmtId="0" fontId="29" fillId="0" borderId="0" pivotButton="0" quotePrefix="0" xfId="0"/>
    <xf numFmtId="49" fontId="30" fillId="6" borderId="2" applyAlignment="1" pivotButton="0" quotePrefix="0" xfId="0">
      <alignment horizontal="right" vertical="center" wrapText="1"/>
    </xf>
    <xf numFmtId="0" fontId="31" fillId="0" borderId="0" applyAlignment="1" pivotButton="0" quotePrefix="0" xfId="0">
      <alignment horizontal="right"/>
    </xf>
    <xf numFmtId="0" fontId="14" fillId="2" borderId="3" applyAlignment="1" pivotButton="0" quotePrefix="0" xfId="0">
      <alignment vertical="center" wrapText="1"/>
    </xf>
    <xf numFmtId="0" fontId="32" fillId="0" borderId="0" applyAlignment="1" pivotButton="0" quotePrefix="0" xfId="0">
      <alignment vertical="center" wrapText="1"/>
    </xf>
    <xf numFmtId="0" fontId="33" fillId="0" borderId="0" applyAlignment="1" pivotButton="0" quotePrefix="0" xfId="0">
      <alignment vertical="center" wrapText="1"/>
    </xf>
    <xf numFmtId="49" fontId="34" fillId="6" borderId="2" applyAlignment="1" pivotButton="0" quotePrefix="0" xfId="0">
      <alignment horizontal="center"/>
    </xf>
    <xf numFmtId="0" fontId="8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vertical="center" wrapText="1"/>
    </xf>
    <xf numFmtId="0" fontId="36" fillId="0" borderId="0" applyAlignment="1" pivotButton="0" quotePrefix="0" xfId="0">
      <alignment horizontal="left"/>
    </xf>
    <xf numFmtId="185" fontId="21" fillId="8" borderId="2" applyAlignment="1" pivotButton="0" quotePrefix="0" xfId="0">
      <alignment horizontal="right" vertical="center" wrapText="1"/>
    </xf>
    <xf numFmtId="0" fontId="37" fillId="2" borderId="2" applyAlignment="1" pivotButton="0" quotePrefix="0" xfId="0">
      <alignment horizontal="center" vertical="center" wrapText="1"/>
    </xf>
    <xf numFmtId="186" fontId="30" fillId="4" borderId="2" applyAlignment="1" pivotButton="0" quotePrefix="0" xfId="0">
      <alignment horizontal="right" vertical="center" wrapText="1"/>
    </xf>
    <xf numFmtId="186" fontId="38" fillId="0" borderId="0" pivotButton="0" quotePrefix="0" xfId="0"/>
    <xf numFmtId="0" fontId="34" fillId="13" borderId="2" applyAlignment="1" pivotButton="0" quotePrefix="0" xfId="0">
      <alignment horizontal="center"/>
    </xf>
    <xf numFmtId="186" fontId="21" fillId="8" borderId="2" applyAlignment="1" pivotButton="0" quotePrefix="0" xfId="0">
      <alignment horizontal="right" vertical="center" wrapText="1"/>
    </xf>
    <xf numFmtId="187" fontId="30" fillId="17" borderId="2" applyAlignment="1" pivotButton="0" quotePrefix="0" xfId="0">
      <alignment horizontal="right" vertical="center" wrapText="1"/>
    </xf>
    <xf numFmtId="0" fontId="8" fillId="0" borderId="0" pivotButton="0" quotePrefix="0" xfId="0"/>
    <xf numFmtId="0" fontId="23" fillId="2" borderId="2" applyAlignment="1" pivotButton="0" quotePrefix="0" xfId="0">
      <alignment horizontal="center" wrapText="1"/>
    </xf>
    <xf numFmtId="0" fontId="39" fillId="2" borderId="3" applyAlignment="1" pivotButton="0" quotePrefix="0" xfId="0">
      <alignment vertical="center" wrapText="1"/>
    </xf>
    <xf numFmtId="172" fontId="30" fillId="4" borderId="2" applyAlignment="1" pivotButton="0" quotePrefix="0" xfId="0">
      <alignment horizontal="right" vertical="center" wrapText="1"/>
    </xf>
    <xf numFmtId="172" fontId="30" fillId="4" borderId="2" applyAlignment="1" pivotButton="0" quotePrefix="0" xfId="0">
      <alignment horizontal="right" vertical="center" wrapText="1"/>
    </xf>
    <xf numFmtId="0" fontId="32" fillId="13" borderId="2" applyAlignment="1" pivotButton="0" quotePrefix="0" xfId="0">
      <alignment vertical="center" wrapText="1"/>
    </xf>
    <xf numFmtId="178" fontId="30" fillId="4" borderId="2" applyAlignment="1" pivotButton="0" quotePrefix="0" xfId="0">
      <alignment horizontal="right" vertical="center" wrapText="1"/>
    </xf>
    <xf numFmtId="173" fontId="30" fillId="4" borderId="2" applyAlignment="1" pivotButton="0" quotePrefix="0" xfId="0">
      <alignment horizontal="right" vertical="center" wrapText="1"/>
    </xf>
    <xf numFmtId="0" fontId="21" fillId="8" borderId="2" applyAlignment="1" pivotButton="0" quotePrefix="0" xfId="0">
      <alignment horizontal="right" vertical="center" wrapText="1"/>
    </xf>
    <xf numFmtId="0" fontId="14" fillId="2" borderId="3" pivotButton="0" quotePrefix="0" xfId="0"/>
    <xf numFmtId="49" fontId="30" fillId="6" borderId="2" applyAlignment="1" pivotButton="0" quotePrefix="0" xfId="0">
      <alignment vertical="center"/>
    </xf>
    <xf numFmtId="165" fontId="30" fillId="6" borderId="2" applyAlignment="1" pivotButton="0" quotePrefix="0" xfId="0">
      <alignment vertical="center"/>
    </xf>
    <xf numFmtId="184" fontId="10" fillId="13" borderId="2" pivotButton="0" quotePrefix="0" xfId="0"/>
    <xf numFmtId="176" fontId="21" fillId="8" borderId="2" applyAlignment="1" pivotButton="0" quotePrefix="0" xfId="0">
      <alignment vertical="center"/>
    </xf>
    <xf numFmtId="172" fontId="30" fillId="6" borderId="2" applyAlignment="1" pivotButton="0" quotePrefix="0" xfId="0">
      <alignment vertical="center"/>
    </xf>
    <xf numFmtId="188" fontId="30" fillId="6" borderId="2" applyAlignment="1" pivotButton="0" quotePrefix="0" xfId="0">
      <alignment vertical="center"/>
    </xf>
    <xf numFmtId="164" fontId="30" fillId="6" borderId="2" applyAlignment="1" pivotButton="0" quotePrefix="0" xfId="0">
      <alignment vertical="center"/>
    </xf>
    <xf numFmtId="175" fontId="30" fillId="6" borderId="2" applyAlignment="1" pivotButton="0" quotePrefix="0" xfId="0">
      <alignment vertical="center"/>
    </xf>
    <xf numFmtId="0" fontId="21" fillId="8" borderId="2" pivotButton="0" quotePrefix="0" xfId="0"/>
    <xf numFmtId="187" fontId="21" fillId="8" borderId="2" pivotButton="0" quotePrefix="0" xfId="0"/>
    <xf numFmtId="0" fontId="37" fillId="2" borderId="2" applyAlignment="1" pivotButton="0" quotePrefix="0" xfId="0">
      <alignment vertical="center" wrapText="1"/>
    </xf>
    <xf numFmtId="187" fontId="30" fillId="6" borderId="2" applyAlignment="1" pivotButton="0" quotePrefix="0" xfId="0">
      <alignment vertical="center" wrapText="1"/>
    </xf>
    <xf numFmtId="185" fontId="30" fillId="6" borderId="2" applyAlignment="1" pivotButton="0" quotePrefix="0" xfId="0">
      <alignment vertical="center" wrapText="1"/>
    </xf>
    <xf numFmtId="0" fontId="40" fillId="0" borderId="0" pivotButton="0" quotePrefix="0" xfId="0"/>
    <xf numFmtId="189" fontId="30" fillId="6" borderId="2" applyAlignment="1" pivotButton="0" quotePrefix="0" xfId="0">
      <alignment vertical="center" wrapText="1"/>
    </xf>
    <xf numFmtId="184" fontId="40" fillId="13" borderId="2" pivotButton="0" quotePrefix="0" xfId="0"/>
    <xf numFmtId="184" fontId="40" fillId="0" borderId="0" pivotButton="0" quotePrefix="0" xfId="0"/>
    <xf numFmtId="184" fontId="40" fillId="9" borderId="2" pivotButton="0" quotePrefix="0" xfId="0"/>
    <xf numFmtId="190" fontId="10" fillId="8" borderId="2" pivotButton="0" quotePrefix="0" xfId="0"/>
    <xf numFmtId="188" fontId="30" fillId="7" borderId="2" applyAlignment="1" pivotButton="0" quotePrefix="0" xfId="0">
      <alignment vertical="center"/>
    </xf>
    <xf numFmtId="185" fontId="30" fillId="7" borderId="2" applyAlignment="1" pivotButton="0" quotePrefix="0" xfId="0">
      <alignment vertical="center"/>
    </xf>
    <xf numFmtId="190" fontId="10" fillId="9" borderId="2" pivotButton="0" quotePrefix="0" xfId="0"/>
    <xf numFmtId="49" fontId="30" fillId="7" borderId="2" applyAlignment="1" pivotButton="0" quotePrefix="0" xfId="0">
      <alignment vertical="center"/>
    </xf>
    <xf numFmtId="164" fontId="41" fillId="7" borderId="2" applyAlignment="1" pivotButton="0" quotePrefix="0" xfId="0">
      <alignment vertical="center"/>
    </xf>
    <xf numFmtId="190" fontId="10" fillId="0" borderId="0" pivotButton="0" quotePrefix="0" xfId="0"/>
    <xf numFmtId="49" fontId="30" fillId="7" borderId="2" applyAlignment="1" pivotButton="0" quotePrefix="0" xfId="0">
      <alignment vertical="center"/>
    </xf>
    <xf numFmtId="191" fontId="42" fillId="7" borderId="2" applyAlignment="1" pivotButton="0" quotePrefix="0" xfId="0">
      <alignment vertical="center" wrapText="1"/>
    </xf>
    <xf numFmtId="49" fontId="42" fillId="7" borderId="2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165" fontId="42" fillId="7" borderId="2" applyAlignment="1" pivotButton="0" quotePrefix="0" xfId="0">
      <alignment vertical="center" wrapText="1"/>
    </xf>
    <xf numFmtId="9" fontId="42" fillId="7" borderId="2" applyAlignment="1" pivotButton="0" quotePrefix="0" xfId="0">
      <alignment vertical="center" wrapText="1"/>
    </xf>
    <xf numFmtId="188" fontId="42" fillId="7" borderId="2" pivotButton="0" quotePrefix="0" xfId="0"/>
    <xf numFmtId="0" fontId="26" fillId="0" borderId="0" pivotButton="0" quotePrefix="0" xfId="0"/>
    <xf numFmtId="0" fontId="10" fillId="4" borderId="7" pivotButton="0" quotePrefix="0" xfId="0"/>
    <xf numFmtId="10" fontId="10" fillId="0" borderId="0" pivotButton="0" quotePrefix="0" xfId="0"/>
    <xf numFmtId="3" fontId="10" fillId="0" borderId="0" pivotButton="0" quotePrefix="0" xfId="0"/>
    <xf numFmtId="17" fontId="10" fillId="0" borderId="0" pivotButton="0" quotePrefix="0" xfId="0"/>
    <xf numFmtId="184" fontId="10" fillId="16" borderId="0" pivotButton="0" quotePrefix="0" xfId="0"/>
    <xf numFmtId="177" fontId="10" fillId="13" borderId="2" pivotButton="0" quotePrefix="0" xfId="0"/>
    <xf numFmtId="0" fontId="40" fillId="0" borderId="0" applyAlignment="1" pivotButton="0" quotePrefix="0" xfId="0">
      <alignment vertical="top" wrapText="1"/>
    </xf>
    <xf numFmtId="184" fontId="40" fillId="8" borderId="2" pivotButton="0" quotePrefix="0" xfId="0"/>
    <xf numFmtId="184" fontId="40" fillId="16" borderId="0" pivotButton="0" quotePrefix="0" xfId="0"/>
    <xf numFmtId="184" fontId="40" fillId="16" borderId="2" pivotButton="0" quotePrefix="0" xfId="0"/>
    <xf numFmtId="0" fontId="40" fillId="16" borderId="0" pivotButton="0" quotePrefix="0" xfId="0"/>
    <xf numFmtId="0" fontId="43" fillId="0" borderId="0" pivotButton="0" quotePrefix="0" xfId="0"/>
    <xf numFmtId="0" fontId="27" fillId="16" borderId="0" pivotButton="0" quotePrefix="0" xfId="0"/>
    <xf numFmtId="169" fontId="8" fillId="16" borderId="0" pivotButton="0" quotePrefix="0" xfId="0"/>
    <xf numFmtId="172" fontId="27" fillId="0" borderId="0" pivotButton="0" quotePrefix="0" xfId="0"/>
    <xf numFmtId="0" fontId="44" fillId="0" borderId="0" pivotButton="0" quotePrefix="0" xfId="0"/>
    <xf numFmtId="0" fontId="45" fillId="0" borderId="0" pivotButton="0" quotePrefix="0" xfId="0"/>
    <xf numFmtId="0" fontId="46" fillId="0" borderId="0" pivotButton="0" quotePrefix="0" xfId="0"/>
    <xf numFmtId="192" fontId="46" fillId="0" borderId="0" pivotButton="0" quotePrefix="0" xfId="0"/>
    <xf numFmtId="193" fontId="10" fillId="8" borderId="2" pivotButton="0" quotePrefix="0" xfId="0"/>
    <xf numFmtId="193" fontId="10" fillId="9" borderId="2" pivotButton="0" quotePrefix="0" xfId="0"/>
    <xf numFmtId="193" fontId="10" fillId="0" borderId="0" pivotButton="0" quotePrefix="0" xfId="0"/>
    <xf numFmtId="194" fontId="10" fillId="8" borderId="2" pivotButton="0" quotePrefix="0" xfId="0"/>
    <xf numFmtId="194" fontId="10" fillId="9" borderId="2" pivotButton="0" quotePrefix="0" xfId="0"/>
    <xf numFmtId="194" fontId="10" fillId="0" borderId="0" pivotButton="0" quotePrefix="0" xfId="0"/>
    <xf numFmtId="177" fontId="40" fillId="8" borderId="2" pivotButton="0" quotePrefix="0" xfId="0"/>
    <xf numFmtId="177" fontId="40" fillId="9" borderId="2" pivotButton="0" quotePrefix="0" xfId="0"/>
    <xf numFmtId="177" fontId="40" fillId="0" borderId="0" pivotButton="0" quotePrefix="0" xfId="0"/>
    <xf numFmtId="0" fontId="47" fillId="0" borderId="0" applyAlignment="1" pivotButton="0" quotePrefix="0" xfId="0">
      <alignment vertical="center"/>
    </xf>
    <xf numFmtId="17" fontId="48" fillId="0" borderId="0" applyAlignment="1" pivotButton="0" quotePrefix="0" xfId="0">
      <alignment vertical="center"/>
    </xf>
    <xf numFmtId="185" fontId="48" fillId="0" borderId="0" applyAlignment="1" pivotButton="0" quotePrefix="0" xfId="0">
      <alignment vertical="center"/>
    </xf>
    <xf numFmtId="185" fontId="10" fillId="0" borderId="0" pivotButton="0" quotePrefix="0" xfId="0"/>
    <xf numFmtId="185" fontId="47" fillId="0" borderId="0" applyAlignment="1" pivotButton="0" quotePrefix="0" xfId="0">
      <alignment vertical="center"/>
    </xf>
    <xf numFmtId="169" fontId="10" fillId="8" borderId="2" pivotButton="0" quotePrefix="0" xfId="0"/>
    <xf numFmtId="169" fontId="10" fillId="9" borderId="2" pivotButton="0" quotePrefix="0" xfId="0"/>
    <xf numFmtId="0" fontId="15" fillId="2" borderId="2" pivotButton="0" quotePrefix="0" xfId="0"/>
    <xf numFmtId="4" fontId="10" fillId="0" borderId="0" pivotButton="0" quotePrefix="0" xfId="0"/>
    <xf numFmtId="0" fontId="44" fillId="14" borderId="2" pivotButton="0" quotePrefix="0" xfId="0"/>
    <xf numFmtId="0" fontId="6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3" fillId="2" borderId="2" applyAlignment="1" pivotButton="0" quotePrefix="0" xfId="0">
      <alignment horizontal="center" wrapText="1"/>
    </xf>
    <xf numFmtId="0" fontId="49" fillId="0" borderId="0" pivotButton="0" quotePrefix="0" xfId="0"/>
    <xf numFmtId="0" fontId="40" fillId="0" borderId="8" pivotButton="0" quotePrefix="0" xfId="0"/>
    <xf numFmtId="190" fontId="40" fillId="0" borderId="0" pivotButton="0" quotePrefix="0" xfId="0"/>
    <xf numFmtId="0" fontId="0" fillId="0" borderId="0" pivotButton="0" quotePrefix="0" xfId="0"/>
    <xf numFmtId="0" fontId="4" fillId="3" borderId="2" applyAlignment="1" pivotButton="0" quotePrefix="0" xfId="0">
      <alignment horizontal="left" vertical="center"/>
    </xf>
    <xf numFmtId="0" fontId="11" fillId="10" borderId="2" applyAlignment="1" pivotButton="0" quotePrefix="0" xfId="0">
      <alignment vertical="center" wrapText="1"/>
    </xf>
    <xf numFmtId="0" fontId="14" fillId="2" borderId="2" applyAlignment="1" pivotButton="0" quotePrefix="0" xfId="0">
      <alignment horizontal="left" vertical="center"/>
    </xf>
    <xf numFmtId="0" fontId="23" fillId="11" borderId="2" applyAlignment="1" pivotButton="0" quotePrefix="0" xfId="0">
      <alignment horizontal="left" vertical="center"/>
    </xf>
    <xf numFmtId="0" fontId="14" fillId="2" borderId="2" applyAlignment="1" pivotButton="0" quotePrefix="0" xfId="0">
      <alignment vertical="center" wrapText="1"/>
    </xf>
    <xf numFmtId="0" fontId="39" fillId="2" borderId="2" applyAlignment="1" pivotButton="0" quotePrefix="0" xfId="0">
      <alignment vertical="center" wrapText="1"/>
    </xf>
    <xf numFmtId="0" fontId="14" fillId="2" borderId="2" pivotButton="0" quotePrefix="0" xfId="0"/>
    <xf numFmtId="0" fontId="7" fillId="18" borderId="7" applyAlignment="1" pivotButton="0" quotePrefix="0" xfId="0">
      <alignment horizontal="center" vertical="center"/>
    </xf>
    <xf numFmtId="0" fontId="10" fillId="18" borderId="0" applyAlignment="1" pivotButton="0" quotePrefix="0" xfId="0">
      <alignment horizontal="left" vertical="center" wrapText="1"/>
    </xf>
    <xf numFmtId="0" fontId="50" fillId="18" borderId="0" applyAlignment="1" pivotButton="0" quotePrefix="0" xfId="0">
      <alignment horizontal="left" vertical="center" wrapText="1"/>
    </xf>
    <xf numFmtId="188" fontId="17" fillId="4" borderId="2" applyAlignment="1" pivotButton="0" quotePrefix="0" xfId="0">
      <alignment vertical="center"/>
    </xf>
    <xf numFmtId="195" fontId="17" fillId="4" borderId="2" applyAlignment="1" pivotButton="0" quotePrefix="0" xfId="0">
      <alignment vertical="center"/>
    </xf>
    <xf numFmtId="0" fontId="27" fillId="18" borderId="0" pivotButton="0" quotePrefix="0" xfId="0"/>
  </cellXfs>
  <cellStyles count="1">
    <cellStyle name="Normal" xfId="0" builtinId="0"/>
  </cellStyles>
  <dxfs count="2"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Выручка и EBITDA по годам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v>Выручка без НДС</v>
          </tx>
          <spPr>
            <a:solidFill>
              <a:schemeClr val="accent1"/>
            </a:solidFill>
            <a:ln cmpd="sng">
              <a:noFill/>
              <a:prstDash val="solid"/>
            </a:ln>
          </spPr>
          <val>
            <numRef>
              <f>'00_Дашборд'!$E$200:$I$200</f>
              <numCache/>
            </numRef>
          </val>
        </ser>
        <ser>
          <idx val="1"/>
          <order val="1"/>
          <tx>
            <v>EBITDA</v>
          </tx>
          <spPr>
            <a:solidFill>
              <a:schemeClr val="accent2"/>
            </a:solidFill>
            <a:ln cmpd="sng">
              <a:noFill/>
              <a:prstDash val="solid"/>
            </a:ln>
          </spPr>
          <val>
            <numRef>
              <f>'00_Дашборд'!$E$201:$I$201</f>
              <numCache/>
            </numRef>
          </val>
        </ser>
        <gapWidth val="150"/>
        <axId val="1591298517"/>
        <axId val="1948740353"/>
      </barChart>
      <catAx>
        <axId val="1591298517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Год модели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948740353"/>
        <lblOffset val="100"/>
      </catAx>
      <valAx>
        <axId val="1948740353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₽, млн</a:t>
                </a:r>
              </a:p>
            </rich>
          </tx>
          <overlay val="0"/>
        </title>
        <numFmt formatCode="#,##0" sourceLinked="0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591298517"/>
      </valAx>
    </plotArea>
    <legend>
      <legendPos val="b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Откуда выручка: паушальные, роялти, мерч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v>Паушальные</v>
          </tx>
          <spPr>
            <a:solidFill>
              <a:schemeClr val="accent1"/>
            </a:solidFill>
            <a:ln cmpd="sng">
              <a:noFill/>
              <a:prstDash val="solid"/>
            </a:ln>
          </spPr>
          <val>
            <numRef>
              <f>'00_Дашборд'!$E$202:$I$202</f>
              <numCache/>
            </numRef>
          </val>
        </ser>
        <ser>
          <idx val="1"/>
          <order val="1"/>
          <tx>
            <v>Роялти</v>
          </tx>
          <spPr>
            <a:solidFill>
              <a:schemeClr val="accent2"/>
            </a:solidFill>
            <a:ln cmpd="sng">
              <a:noFill/>
              <a:prstDash val="solid"/>
            </a:ln>
          </spPr>
          <val>
            <numRef>
              <f>'00_Дашборд'!$E$203:$I$203</f>
              <numCache/>
            </numRef>
          </val>
        </ser>
        <ser>
          <idx val="2"/>
          <order val="2"/>
          <tx>
            <v>Мерч</v>
          </tx>
          <spPr>
            <a:solidFill>
              <a:schemeClr val="accent3"/>
            </a:solidFill>
            <a:ln cmpd="sng">
              <a:noFill/>
              <a:prstDash val="solid"/>
            </a:ln>
          </spPr>
          <val>
            <numRef>
              <f>'00_Дашборд'!$E$204:$I$204</f>
              <numCache/>
            </numRef>
          </val>
        </ser>
        <gapWidth val="150"/>
        <axId val="1121491673"/>
        <axId val="918104066"/>
      </barChart>
      <catAx>
        <axId val="1121491673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Год модели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918104066"/>
        <lblOffset val="100"/>
      </catAx>
      <valAx>
        <axId val="918104066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₽, млн</a:t>
                </a:r>
              </a:p>
            </rich>
          </tx>
          <overlay val="0"/>
        </title>
        <numFmt formatCode="#,##0" sourceLinked="0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121491673"/>
      </valAx>
    </plotArea>
    <legend>
      <legendPos val="b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Продажи франшиз и открытия школ за год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v>Продано франшиз</v>
          </tx>
          <spPr>
            <a:solidFill>
              <a:schemeClr val="accent1"/>
            </a:solidFill>
            <a:ln cmpd="sng">
              <a:noFill/>
              <a:prstDash val="solid"/>
            </a:ln>
          </spPr>
          <cat>
            <strRef>
              <f>'03_Сеть'!$E$4:$I$4</f>
            </strRef>
          </cat>
          <val>
            <numRef>
              <f>'03_Сеть'!$E$13:$I$13</f>
              <numCache/>
            </numRef>
          </val>
        </ser>
        <ser>
          <idx val="1"/>
          <order val="1"/>
          <tx>
            <v>Открыто школ</v>
          </tx>
          <spPr>
            <a:solidFill>
              <a:schemeClr val="accent2"/>
            </a:solidFill>
            <a:ln cmpd="sng">
              <a:noFill/>
              <a:prstDash val="solid"/>
            </a:ln>
          </spPr>
          <cat>
            <strRef>
              <f>'03_Сеть'!$E$4:$I$4</f>
            </strRef>
          </cat>
          <val>
            <numRef>
              <f>'03_Сеть'!$E$14:$I$14</f>
              <numCache/>
            </numRef>
          </val>
        </ser>
        <gapWidth val="150"/>
        <axId val="897906783"/>
        <axId val="1065903344"/>
      </barChart>
      <catAx>
        <axId val="897906783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Год модели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065903344"/>
        <lblOffset val="100"/>
      </catAx>
      <valAx>
        <axId val="1065903344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Штук за год</a:t>
                </a:r>
              </a:p>
            </rich>
          </tx>
          <overlay val="0"/>
        </title>
        <numFmt formatCode="#,##0" sourceLinked="0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897906783"/>
      </valAx>
    </plotArea>
    <legend>
      <legendPos val="b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Сеть на конец года: школы и дети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v>Школы, шт.</v>
          </tx>
          <spPr>
            <a:solidFill>
              <a:schemeClr val="accent1"/>
            </a:solidFill>
            <a:ln cmpd="sng">
              <a:noFill/>
              <a:prstDash val="solid"/>
            </a:ln>
          </spPr>
          <cat>
            <strRef>
              <f>'03_Сеть'!$E$4:$I$4</f>
            </strRef>
          </cat>
          <val>
            <numRef>
              <f>'03_Сеть'!$E$60:$I$60</f>
              <numCache/>
            </numRef>
          </val>
        </ser>
        <gapWidth val="150"/>
        <axId val="41574909"/>
        <axId val="624827996"/>
      </barChart>
      <lineChart>
        <grouping val="standard"/>
        <varyColors val="0"/>
        <ser>
          <idx val="1"/>
          <order val="1"/>
          <tx>
            <v>Дети, чел.</v>
          </tx>
          <spPr>
            <a:ln cmpd="sng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'03_Сеть'!$E$4:$I$4</f>
            </strRef>
          </cat>
          <val>
            <numRef>
              <f>'03_Сеть'!$E$62:$I$62</f>
              <numCache/>
            </numRef>
          </val>
          <smooth val="0"/>
        </ser>
        <axId val="1737706063"/>
        <axId val="1768952451"/>
      </lineChart>
      <catAx>
        <axId val="41574909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Год модели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624827996"/>
        <lblOffset val="100"/>
      </catAx>
      <valAx>
        <axId val="624827996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Школы, шт.</a:t>
                </a:r>
              </a:p>
            </rich>
          </tx>
          <overlay val="0"/>
        </title>
        <numFmt formatCode="#,##0" sourceLinked="0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41574909"/>
      </valAx>
      <catAx>
        <axId val="1737706063"/>
        <scaling>
          <orientation val="minMax"/>
        </scaling>
        <delete val="1"/>
        <axPos val="b"/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768952451"/>
        <lblOffset val="100"/>
      </catAx>
      <valAx>
        <axId val="1768952451"/>
        <scaling>
          <orientation val="minMax"/>
        </scaling>
        <delete val="0"/>
        <axPos val="r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Дети, чел.</a:t>
                </a:r>
              </a:p>
            </rich>
          </tx>
          <overlay val="0"/>
        </title>
        <numFmt formatCode="#,##0" sourceLinked="0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737706063"/>
        <crosses val="max"/>
      </valAx>
    </plotArea>
    <legend>
      <legendPos val="b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Форма: выручка и прибыль за год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v>Выручка с НДС</v>
          </tx>
          <spPr>
            <a:solidFill>
              <a:schemeClr val="accent1"/>
            </a:solidFill>
            <a:ln cmpd="sng">
              <a:noFill/>
              <a:prstDash val="solid"/>
            </a:ln>
          </spPr>
          <val>
            <numRef>
              <f>'00_Дашборд'!$E$205:$I$205</f>
              <numCache/>
            </numRef>
          </val>
        </ser>
        <ser>
          <idx val="1"/>
          <order val="1"/>
          <tx>
            <v>Прибыль до доли клуба</v>
          </tx>
          <spPr>
            <a:solidFill>
              <a:schemeClr val="accent2"/>
            </a:solidFill>
            <a:ln cmpd="sng">
              <a:noFill/>
              <a:prstDash val="solid"/>
            </a:ln>
          </spPr>
          <val>
            <numRef>
              <f>'00_Дашборд'!$E$206:$I$206</f>
              <numCache/>
            </numRef>
          </val>
        </ser>
        <gapWidth val="150"/>
        <axId val="405778085"/>
        <axId val="1170780261"/>
      </barChart>
      <catAx>
        <axId val="405778085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Год модели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170780261"/>
        <lblOffset val="100"/>
      </catAx>
      <valAx>
        <axId val="1170780261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₽, млн</a:t>
                </a:r>
              </a:p>
            </rich>
          </tx>
          <overlay val="0"/>
        </title>
        <numFmt formatCode="#,##0" sourceLinked="0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405778085"/>
      </valAx>
    </plotArea>
    <legend>
      <legendPos val="b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Займ клубу: погашено за год и остаток на конец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v>Погашено за год</v>
          </tx>
          <spPr>
            <a:solidFill>
              <a:schemeClr val="accent1"/>
            </a:solidFill>
            <a:ln cmpd="sng">
              <a:noFill/>
              <a:prstDash val="solid"/>
            </a:ln>
          </spPr>
          <val>
            <numRef>
              <f>'00_Дашборд'!$E$207:$I$207</f>
              <numCache/>
            </numRef>
          </val>
        </ser>
        <gapWidth val="150"/>
        <axId val="600163532"/>
        <axId val="1678634688"/>
      </barChart>
      <lineChart>
        <grouping val="standard"/>
        <varyColors val="0"/>
        <ser>
          <idx val="1"/>
          <order val="1"/>
          <tx>
            <v>Остаток долга</v>
          </tx>
          <spPr>
            <a:ln cmpd="sng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'00_Дашборд'!$E$208:$I$208</f>
              <numCache/>
            </numRef>
          </val>
          <smooth val="0"/>
        </ser>
        <axId val="1005581260"/>
        <axId val="1131028570"/>
      </lineChart>
      <catAx>
        <axId val="600163532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Год модели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678634688"/>
        <lblOffset val="100"/>
      </catAx>
      <valAx>
        <axId val="1678634688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Погашено за год, ₽ млн</a:t>
                </a:r>
              </a:p>
            </rich>
          </tx>
          <overlay val="0"/>
        </title>
        <numFmt formatCode="#,##0" sourceLinked="0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600163532"/>
      </valAx>
      <catAx>
        <axId val="1005581260"/>
        <scaling>
          <orientation val="minMax"/>
        </scaling>
        <delete val="1"/>
        <axPos val="b"/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131028570"/>
        <lblOffset val="100"/>
      </catAx>
      <valAx>
        <axId val="1131028570"/>
        <scaling>
          <orientation val="minMax"/>
        </scaling>
        <delete val="0"/>
        <axPos val="r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Остаток долга, ₽ млн</a:t>
                </a:r>
              </a:p>
            </rich>
          </tx>
          <overlay val="0"/>
        </title>
        <numFmt formatCode="#,##0" sourceLinked="0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005581260"/>
        <crosses val="max"/>
      </valAx>
    </plotArea>
    <legend>
      <legendPos val="b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Склад формы по месяцам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v>Склад на конец, ₽</v>
          </tx>
          <spPr>
            <a:ln cmpd="sng">
              <a:solidFill>
                <a:srgbClr val="4F81B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'06_Деньги'!$L$5:$BS$5</f>
            </strRef>
          </cat>
          <val>
            <numRef>
              <f>'06_Деньги'!$L$11:$BS$11</f>
              <numCache/>
            </numRef>
          </val>
          <smooth val="0"/>
        </ser>
        <axId val="1653956781"/>
        <axId val="985637674"/>
      </lineChart>
      <lineChart>
        <grouping val="standard"/>
        <varyColors val="0"/>
        <ser>
          <idx val="1"/>
          <order val="1"/>
          <tx>
            <v>Целевой запас, ₽</v>
          </tx>
          <spPr>
            <a:ln cmpd="sng">
              <a:solidFill>
                <a:srgbClr val="C0504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'06_Деньги'!$L$5:$BS$5</f>
            </strRef>
          </cat>
          <val>
            <numRef>
              <f>'06_Деньги'!$L$9:$BS$9</f>
              <numCache/>
            </numRef>
          </val>
          <smooth val="0"/>
        </ser>
        <axId val="1640108628"/>
        <axId val="2077366722"/>
      </lineChart>
      <catAx>
        <axId val="1653956781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Месяц</a:t>
                </a:r>
              </a:p>
            </rich>
          </tx>
          <overlay val="0"/>
        </title>
        <numFmt formatCode="mmm yyyy" sourceLinked="0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985637674"/>
        <lblOffset val="100"/>
      </catAx>
      <valAx>
        <axId val="985637674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Склад, ₽</a:t>
                </a:r>
              </a:p>
            </rich>
          </tx>
          <overlay val="0"/>
        </title>
        <numFmt formatCode="#,##0" sourceLinked="0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653956781"/>
      </valAx>
      <catAx>
        <axId val="1640108628"/>
        <scaling>
          <orientation val="minMax"/>
        </scaling>
        <delete val="1"/>
        <axPos val="b"/>
        <numFmt formatCode="mmm yyyy" sourceLinked="0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2077366722"/>
        <lblOffset val="100"/>
      </catAx>
      <valAx>
        <axId val="2077366722"/>
        <scaling>
          <orientation val="minMax"/>
        </scaling>
        <delete val="0"/>
        <axPos val="r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Целевой запас, ₽</a:t>
                </a:r>
              </a:p>
            </rich>
          </tx>
          <overlay val="0"/>
        </title>
        <numFmt formatCode="#,##0" sourceLinked="0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640108628"/>
        <crosses val="max"/>
      </valAx>
    </plotArea>
    <legend>
      <legendPos val="b"/>
      <overlay val="0"/>
      <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======
ID#AAACHLjGwdI
Финмодель    (2026-09-15 12:46:16)
Дата старта модели
Дата старта модели. Отсюда строится весь календарь: имя СтартМодели в формулах — это ссылка на эту ячейку.
Месяц любой, число только первое. Сезон модели — 12 месяцев от старта; сезонность посещаемости, веса плана продаж и согласованный мерч 2026 привязаны к календарю и от месяца старта не зависят.</t>
      </text>
    </comment>
    <comment ref="B8" authorId="0" shapeId="0">
      <text>
        <t>======
ID#AAACHLjGwhs
Финмодель    (2026-09-15 12:46:16)
Горизонт прогноза
Горизонт 60 месяцев. Ширина всех листов свёрстана под него, менять нельзя.</t>
      </text>
    </comment>
    <comment ref="B9" authorId="0" shapeId="0">
      <text>
        <t>======
ID#AAACHLjGwi4
Финмодель    (2026-09-15 12:46:16)
Фактическая база на 09.09.2026: 51 действующий партнёр, 104 действующие школы. Рост числа школ относительно прежнего реестра связан с уточнением учёта филиалов, а не с новыми открытиями.</t>
      </text>
    </comment>
    <comment ref="B10" authorId="0" shapeId="0">
      <text>
        <t>======
ID#AAACHLjGn94
Финмодель    (2026-09-15 12:46:16)
Фактическая база на 09.09.2026: 51 действующий партнёр. Один партнёр может владеть несколькими школами.</t>
      </text>
    </comment>
    <comment ref="B13" authorId="0" shapeId="0">
      <text>
        <t>======
ID#AAACHLjGwoc
Финмодель    (2026-09-15 12:46:16)
Закрытие школ / юрлиц
Закрытие школ и юрлиц, % в год. Месячный коэффициент сохранения B14 считается из него сам.</t>
      </text>
    </comment>
    <comment ref="B14" authorId="0" shapeId="0">
      <text>
        <t>======
ID#AAACHLjGwoI
Финмодель    (2026-09-15 12:46:16)
РАСЧЁТ, НЕ ВВОДИТЬ.
Эта ячейка считается формулой. Если вписать сюда число, связь со сценариями и тарифным миксом пропадёт.</t>
      </text>
    </comment>
    <comment ref="B16" authorId="0" shapeId="0">
      <text>
        <t>======
ID#AAACHLjGwos
Финмодель    (2026-09-15 12:46:16)
Завтра уточнить: одна продажа франшизы = одно новое юрлицо? Пока коэффициент 1,0.</t>
      </text>
    </comment>
    <comment ref="B17" authorId="0" shapeId="0">
      <text>
        <t>======
ID#AAACHLjGoBg
Финмодель    (2026-09-15 12:46:16)
Источник: «Анализ движений денежных средств по периодам за 01.01.2026 - 02.07.2026». Остаток на 02.07.2026 = 187 878 ₽.</t>
      </text>
    </comment>
    <comment ref="B18" authorId="0" shapeId="0">
      <text>
        <t>======
ID#AAACHLjGwdk
Финмодель    (2026-09-15 12:46:16)
РАСЧЁТ, НЕ ВВОДИТЬ — «Дебиторка».
Менять базу здесь: 01_Вводные!B225.
Множитель активного сценария: F203 (строка сценариев 197–203).
Жёлтая ячейка = ввод. Серая курсивная = формула.</t>
      </text>
    </comment>
    <comment ref="B20" authorId="0" shapeId="0">
      <text>
        <t>======
ID#AAACHLjGwio
Финмодель    (2026-09-15 12:46:16)
РАСЧЁТ, НЕ ВВОДИТЬ.
Эта ячейка считается формулой. Если вписать сюда число, связь со сценариями и тарифным миксом пропадёт.</t>
      </text>
    </comment>
    <comment ref="B21" authorId="0" shapeId="0">
      <text>
        <t>======
ID#AAACHLjGwj8
Финмодель    (2026-09-15 12:46:16)
РАСЧЁТ, НЕ ВВОДИТЬ.
Эта ячейка считается формулой. Если вписать сюда число, связь со сценариями и тарифным миксом пропадёт.</t>
      </text>
    </comment>
    <comment ref="B22" authorId="0" shapeId="0">
      <text>
        <t>======
ID#AAACHLjGoCo
Финмодель    (2026-09-15 12:46:16)
Новых школ на 1 продажу / нового партнёра
Сколько школ открывает новый партнёр. Не путать с B16 — сколько юрлиц даёт одна продажа.</t>
      </text>
    </comment>
    <comment ref="B26" authorId="0" shapeId="0">
      <text>
        <t>======
ID#AAACHLjGwlY
Финмодель    (2026-09-15 12:46:16)
РАСЧЁТ, НЕ ВВОДИТЬ — «Таргет на будущую продажу».
Менять базу здесь: 01_Вводные!B224.
Множитель активного сценария: F202 (строка сценариев 197–203).
Жёлтая ячейка = ввод. Серая курсивная = формула.</t>
      </text>
    </comment>
    <comment ref="B36" authorId="0" shapeId="0">
      <text>
        <t>======
ID#AAACHLjGwdo
Финмодель    (2026-09-15 12:46:16)
РАСЧЁТ, НЕ ВВОДИТЬ — «План продаж, сезон 1».
Менять базу здесь: 01_Вводные!B210.
Множитель активного сценария: F198 (строка сценариев 197–203).
Жёлтая ячейка = ввод. Серая курсивная = формула.</t>
      </text>
    </comment>
    <comment ref="O36" authorId="0" shapeId="0">
      <text>
        <t>======
ID#AAACHLjGoAs
Финмодель    (2026-09-15 12:46:16)
РАСЧЁТ, НЕ ВВОДИТЬ.
Эта ячейка считается формулой. Если вписать сюда число, связь со сценариями и тарифным миксом пропадёт.</t>
      </text>
    </comment>
    <comment ref="B37" authorId="0" shapeId="0">
      <text>
        <t>======
ID#AAACHLjGn9I
Финмодель    (2026-09-15 12:46:16)
РАСЧЁТ, НЕ ВВОДИТЬ — «План продаж, сезон 2».
Менять базу здесь: 01_Вводные!B211.
Множитель активного сценария: F198 (строка сценариев 197–203).
Жёлтая ячейка = ввод. Серая курсивная = формула.</t>
      </text>
    </comment>
    <comment ref="O37" authorId="0" shapeId="0">
      <text>
        <t>======
ID#AAACHLjGn_Q
Финмодель    (2026-09-15 12:46:16)
РАСЧЁТ, НЕ ВВОДИТЬ.
Эта ячейка считается формулой. Если вписать сюда число, связь со сценариями и тарифным миксом пропадёт.</t>
      </text>
    </comment>
    <comment ref="B38" authorId="0" shapeId="0">
      <text>
        <t>======
ID#AAACHLjGwlI
Финмодель    (2026-09-15 12:46:16)
РАСЧЁТ, НЕ ВВОДИТЬ — «План продаж, сезон 3».
Менять базу здесь: 01_Вводные!B212.
Множитель активного сценария: F198 (строка сценариев 197–203).
Жёлтая ячейка = ввод. Серая курсивная = формула.</t>
      </text>
    </comment>
    <comment ref="O38" authorId="0" shapeId="0">
      <text>
        <t>======
ID#AAACHLjGoEg
Финмодель    (2026-09-15 12:46:16)
РАСЧЁТ, НЕ ВВОДИТЬ.
Эта ячейка считается формулой. Если вписать сюда число, связь со сценариями и тарифным миксом пропадёт.</t>
      </text>
    </comment>
    <comment ref="B39" authorId="0" shapeId="0">
      <text>
        <t>======
ID#AAACHLjGwj0
Финмодель    (2026-09-15 12:46:16)
РАСЧЁТ, НЕ ВВОДИТЬ — «План продаж, сезон 4».
Менять базу здесь: 01_Вводные!B213.
Множитель активного сценария: F198 (строка сценариев 197–203).
Жёлтая ячейка = ввод. Серая курсивная = формула.</t>
      </text>
    </comment>
    <comment ref="O39" authorId="0" shapeId="0">
      <text>
        <t>======
ID#AAACHLjGwjI
Финмодель    (2026-09-15 12:46:16)
РАСЧЁТ, НЕ ВВОДИТЬ.
Эта ячейка считается формулой. Если вписать сюда число, связь со сценариями и тарифным миксом пропадёт.</t>
      </text>
    </comment>
    <comment ref="B40" authorId="0" shapeId="0">
      <text>
        <t>======
ID#AAACHLjGoA0
Финмодель    (2026-09-15 12:46:16)
РАСЧЁТ, НЕ ВВОДИТЬ — «План продаж, сезон 5».
Менять базу здесь: 01_Вводные!B214.
Множитель активного сценария: F198 (строка сценариев 197–203).
Жёлтая ячейка = ввод. Серая курсивная = формула.</t>
      </text>
    </comment>
    <comment ref="O40" authorId="0" shapeId="0">
      <text>
        <t>======
ID#AAACHLjGwjk
Финмодель    (2026-09-15 12:46:16)
РАСЧЁТ, НЕ ВВОДИТЬ.
Эта ячейка считается формулой. Если вписать сюда число, связь со сценариями и тарифным миксом пропадёт.</t>
      </text>
    </comment>
    <comment ref="B46" authorId="0" shapeId="0">
      <text>
        <t>======
ID#AAACHLjGwiI
Финмодель    (2026-09-15 12:46:16)
РАСЧЁТ, НЕ ВВОДИТЬ — «Дети к концу 12-го месяца».
Менять базу здесь: 01_Вводные!B215.
Множитель активного сценария: F199 (строка сценариев 197–203).
Жёлтая ячейка = ввод. Серая курсивная = формула.</t>
      </text>
    </comment>
    <comment ref="B47" authorId="0" shapeId="0">
      <text>
        <t>======
ID#AAACHLjGoBk
Финмодель    (2026-09-15 12:46:16)
РАСЧЁТ, НЕ ВВОДИТЬ — «Дети к концу 24-го месяца».
Менять базу здесь: 01_Вводные!B216.
Множитель активного сценария: F199 (строка сценариев 197–203).
Жёлтая ячейка = ввод. Серая курсивная = формула.</t>
      </text>
    </comment>
    <comment ref="B51" authorId="0" shapeId="0">
      <text>
        <t>======
ID#AAACHLjGoAw
Финмодель    (2026-09-15 12:46:16)
РАСЧЁТ, НЕ ВВОДИТЬ — «Абонемент действующей сети».
Менять базу здесь: 01_Вводные!B217.
Множитель активного сценария: F200 (строка сценариев 197–203).
Жёлтая ячейка = ввод. Серая курсивная = формула.</t>
      </text>
    </comment>
    <comment ref="B53" authorId="0" shapeId="0">
      <text>
        <t>======
ID#AAACHLjGwcg
Финмодель    (2026-09-15 12:46:16)
РАСЧЁТ, НЕ ВВОДИТЬ — «Мин. роялти новой школы, 1-й год».
Менять базу здесь: 01_Вводные!I263:I282.
Значение — взвешенное среднее по тарифным группам (блок 13, строки 263–282): вес × показатель.
Жёлтая ячейка = ввод. Серая курсивная = формула.</t>
      </text>
    </comment>
    <comment ref="B54" authorId="0" shapeId="0">
      <text>
        <t>======
ID#AAACHLjGwis
Финмодель    (2026-09-15 12:46:16)
РАСЧЁТ, НЕ ВВОДИТЬ — «Мин. роялти новой школы, 2-й год+».
Менять базу здесь: 01_Вводные!J263:J282.
Значение — взвешенное среднее по тарифным группам (блок 13, строки 263–282): вес × показатель.
Жёлтая ячейка = ввод. Серая курсивная = формула.</t>
      </text>
    </comment>
    <comment ref="B63" authorId="0" shapeId="0">
      <text>
        <t>======
ID#AAACHLjGn_k
Финмодель    (2026-09-15 12:46:16)
РАСЧЁТ, НЕ ВВОДИТЬ — «Средний паушальный, сезон 1».
Менять базу здесь: 01_Вводные!D263:D282.
Значение — взвешенное среднее по тарифным группам (блок 13, строки 263–282): вес × показатель.
Жёлтая ячейка = ввод. Серая курсивная = формула.</t>
      </text>
    </comment>
    <comment ref="C63" authorId="0" shapeId="0">
      <text>
        <t>======
ID#AAACHLjGwco
Финмодель    (2026-09-15 12:46:16)
РАСЧЁТ, НЕ ВВОДИТЬ.
База для правки: 01_Вводные!B218.
Множитель активного сценария: F200.
Менять можно только жёлтые ячейки этого листа.</t>
      </text>
    </comment>
    <comment ref="B64" authorId="0" shapeId="0">
      <text>
        <t>======
ID#AAACHLjGwgg
Финмодель    (2026-09-15 12:46:16)
РАСЧЁТ, НЕ ВВОДИТЬ — «Средний паушальный, сезон 2».
Менять базу здесь: 01_Вводные!D263:D282.
Значение — взвешенное среднее по тарифным группам (блок 13, строки 263–282): вес × показатель.
Жёлтая ячейка = ввод. Серая курсивная = формула.</t>
      </text>
    </comment>
    <comment ref="C64" authorId="0" shapeId="0">
      <text>
        <t>======
ID#AAACHLjGn7U
Финмодель    (2026-09-15 12:46:16)
РАСЧЁТ, НЕ ВВОДИТЬ.
База для правки: 01_Вводные!B219.
Множитель активного сценария: F200.
Менять можно только жёлтые ячейки этого листа.</t>
      </text>
    </comment>
    <comment ref="B65" authorId="0" shapeId="0">
      <text>
        <t>======
ID#AAACHLjGwl4
Финмодель    (2026-09-15 12:46:16)
РАСЧЁТ, НЕ ВВОДИТЬ — «Средний паушальный, сезон 3».
Менять базу здесь: 01_Вводные!D263:D282.
Значение — взвешенное среднее по тарифным группам (блок 13, строки 263–282): вес × показатель.
Жёлтая ячейка = ввод. Серая курсивная = формула.</t>
      </text>
    </comment>
    <comment ref="C65" authorId="0" shapeId="0">
      <text>
        <t>======
ID#AAACHLjGwjU
Финмодель    (2026-09-15 12:46:16)
РАСЧЁТ, НЕ ВВОДИТЬ.
База для правки: 01_Вводные!B220.
Множитель активного сценария: F200.
Менять можно только жёлтые ячейки этого листа.</t>
      </text>
    </comment>
    <comment ref="B66" authorId="0" shapeId="0">
      <text>
        <t>======
ID#AAACHLjGwlM
Финмодель    (2026-09-15 12:46:16)
РАСЧЁТ, НЕ ВВОДИТЬ — «Средний паушальный, сезон 4».
Менять базу здесь: 01_Вводные!D263:D282.
Значение — взвешенное среднее по тарифным группам (блок 13, строки 263–282): вес × показатель.
Жёлтая ячейка = ввод. Серая курсивная = формула.</t>
      </text>
    </comment>
    <comment ref="C66" authorId="0" shapeId="0">
      <text>
        <t>======
ID#AAACHLjGoBs
Финмодель    (2026-09-15 12:46:16)
РАСЧЁТ, НЕ ВВОДИТЬ.
База для правки: 01_Вводные!B221.
Множитель активного сценария: F200.
Менять можно только жёлтые ячейки этого листа.</t>
      </text>
    </comment>
    <comment ref="B67" authorId="0" shapeId="0">
      <text>
        <t>======
ID#AAACHLjGwnc
Финмодель    (2026-09-15 12:46:16)
РАСЧЁТ, НЕ ВВОДИТЬ — «Средний паушальный, сезон 5».
Менять базу здесь: 01_Вводные!D263:D282.
Значение — взвешенное среднее по тарифным группам (блок 13, строки 263–282): вес × показатель.
Жёлтая ячейка = ввод. Серая курсивная = формула.</t>
      </text>
    </comment>
    <comment ref="C67" authorId="0" shapeId="0">
      <text>
        <t>======
ID#AAACHLjGwfE
Финмодель    (2026-09-15 12:46:16)
РАСЧЁТ, НЕ ВВОДИТЬ.
База для правки: 01_Вводные!B222.
Множитель активного сценария: F200.
Менять можно только жёлтые ячейки этого листа.</t>
      </text>
    </comment>
    <comment ref="B73" authorId="0" shapeId="0">
      <text>
        <t>======
ID#AAACHLjGoAM
Финмодель    (2026-09-15 12:46:16)
РАСЧЁТ, НЕ ВВОДИТЬ.
Эта ячейка считается формулой. Если вписать сюда число, связь со сценариями и тарифным миксом пропадёт.</t>
      </text>
    </comment>
    <comment ref="B74" authorId="0" shapeId="0">
      <text>
        <t>======
ID#AAACHLjGn_g
Финмодель    (2026-09-15 12:46:16)
РАСЧЁТ, НЕ ВВОДИТЬ — «Коэффициент мерча».
Менять базу здесь: 01_Вводные!B223.
Множитель активного сценария: F201 (строка сценариев 197–203).
Жёлтая ячейка = ввод. Серая курсивная = формула.</t>
      </text>
    </comment>
    <comment ref="B90" authorId="0" shapeId="0">
      <text>
        <t>======
ID#AAACHLjGwlo
Финмодель    (2026-09-15 12:46:16)
РАСЧЁТ, НЕ ВВОДИТЬ.
Эта ячейка считается формулой. Если вписать сюда число, связь со сценариями и тарифным миксом пропадёт.</t>
      </text>
    </comment>
    <comment ref="B95" authorId="0" shapeId="0">
      <text>
        <t>======
ID#AAACHLjGwlU
Финмодель    (2026-09-15 12:46:16)
РАСЧЁТ, НЕ ВВОДИТЬ.
Эта ячейка считается формулой. Если вписать сюда число, связь со сценариями и тарифным миксом пропадёт.</t>
      </text>
    </comment>
    <comment ref="B99" authorId="0" shapeId="0">
      <text>
        <t>======
ID#AAACHLjGwho
Финмодель    (2026-09-15 12:46:16)
Источник: «Экипировка Спартак.xlsx», лист «Прогнозы».</t>
      </text>
    </comment>
    <comment ref="C99" authorId="0" shapeId="0">
      <text>
        <t>======
ID#AAACHLjGn8k
Финмодель    (2026-09-15 12:46:16)
Источник: «Экипировка Спартак.xlsx», лист «Прогнозы».</t>
      </text>
    </comment>
    <comment ref="D99" authorId="0" shapeId="0">
      <text>
        <t>======
ID#AAACHLjGoFM
Финмодель    (2026-09-15 12:46:16)
Источник: «Экипировка Спартак.xlsx», лист «Прогнозы».</t>
      </text>
    </comment>
    <comment ref="E99" authorId="0" shapeId="0">
      <text>
        <t>======
ID#AAACHLjGwjo
Финмодель    (2026-09-15 12:46:16)
Источник: «Экипировка Спартак.xlsx», лист «Прогнозы».</t>
      </text>
    </comment>
    <comment ref="B100" authorId="0" shapeId="0">
      <text>
        <t>======
ID#AAACHLjGwns
Финмодель    (2026-09-15 12:46:16)
Источник: «Экипировка Спартак.xlsx», лист «Прогнозы».</t>
      </text>
    </comment>
    <comment ref="C100" authorId="0" shapeId="0">
      <text>
        <t>======
ID#AAACHLjGn-Q
Финмодель    (2026-09-15 12:46:16)
Источник: «Экипировка Спартак.xlsx», лист «Прогнозы».</t>
      </text>
    </comment>
    <comment ref="D100" authorId="0" shapeId="0">
      <text>
        <t>======
ID#AAACHLjGoAQ
Финмодель    (2026-09-15 12:46:16)
Источник: «Экипировка Спартак.xlsx», лист «Прогнозы».</t>
      </text>
    </comment>
    <comment ref="E100" authorId="0" shapeId="0">
      <text>
        <t>======
ID#AAACHLjGn88
Финмодель    (2026-09-15 12:46:16)
Источник: «Экипировка Спартак.xlsx», лист «Прогнозы».</t>
      </text>
    </comment>
    <comment ref="B101" authorId="0" shapeId="0">
      <text>
        <t>======
ID#AAACHLjGn9g
Финмодель    (2026-09-15 12:46:16)
Источник: «Экипировка Спартак.xlsx», лист «Прогнозы».</t>
      </text>
    </comment>
    <comment ref="C101" authorId="0" shapeId="0">
      <text>
        <t>======
ID#AAACHLjGn9c
Финмодель    (2026-09-15 12:46:16)
Источник: «Экипировка Спартак.xlsx», лист «Прогнозы».</t>
      </text>
    </comment>
    <comment ref="D101" authorId="0" shapeId="0">
      <text>
        <t>======
ID#AAACHLjGwdA
Финмодель    (2026-09-15 12:46:16)
Источник: «Экипировка Спартак.xlsx», лист «Прогнозы».</t>
      </text>
    </comment>
    <comment ref="E101" authorId="0" shapeId="0">
      <text>
        <t>======
ID#AAACHLjGn_4
Финмодель    (2026-09-15 12:46:16)
Источник: «Экипировка Спартак.xlsx», лист «Прогнозы».</t>
      </text>
    </comment>
    <comment ref="B106" authorId="0" shapeId="0">
      <text>
        <t>======
ID#AAACHLjGn-c
Финмодель    (2026-09-15 12:46:16)
Обновлено вместе со стартовым количеством действующих школ: 104.</t>
      </text>
    </comment>
    <comment ref="B129" authorId="0" shapeId="0">
      <text>
        <t>======
ID#AAACHLjGn-s
Финмодель    (2026-09-15 12:46:16)
Пока считаем временного продавца как ИП: 80 тыс. + 5% без payroll-налогов. Статус и налоговую механику уточнить.</t>
      </text>
    </comment>
    <comment ref="B151" authorId="0" shapeId="0">
      <text>
        <t>======
ID#AAACHLjGwdg
Финмодель    (2026-09-15 12:46:16)
РАСЧЁТ, НЕ ВВОДИТЬ.
Эта ячейка считается формулой. Если вписать сюда число, связь со сценариями и тарифным миксом пропадёт.</t>
      </text>
    </comment>
    <comment ref="B152" authorId="0" shapeId="0">
      <text>
        <t>======
ID#AAACHLjGn8M
Финмодель    (2026-09-15 12:46:16)
РАСЧЁТ, НЕ ВВОДИТЬ.
Эта ячейка считается формулой. Если вписать сюда число, связь со сценариями и тарифным миксом пропадёт.</t>
      </text>
    </comment>
    <comment ref="B166" authorId="0" shapeId="0">
      <text>
        <t>======
ID#AAACHLjGwn8
Финмодель    (2026-09-15 12:46:16)
Выручка смены = участники × соответствующие цены, вместо неработающих ценовых вводных.</t>
      </text>
    </comment>
    <comment ref="B167" authorId="0" shapeId="0">
      <text>
        <t>======
ID#AAACHLjGwls
Финмодель    (2026-09-15 12:46:16)
Источник: «Лагеря Спартак Будущее .xlsx», лист «Сокольники ».</t>
      </text>
    </comment>
    <comment ref="B168" authorId="0" shapeId="0">
      <text>
        <t>======
ID#AAACHLjGwjw
Финмодель    (2026-09-15 12:46:16)
ФОРМУЛА ПО УМОЛЧАНИЮ.
По умолчанию = ставка из блока ревизии (B240). Можно вписать свою.</t>
      </text>
    </comment>
    <comment ref="B169" authorId="0" shapeId="0">
      <text>
        <t>======
ID#AAACHLjGwmw
Финмодель    (2026-09-15 12:46:16)
Источник: «Лагеря Спартак Будущее .xlsx», лист «Сокольники ».</t>
      </text>
    </comment>
    <comment ref="B170" authorId="0" shapeId="0">
      <text>
        <t>======
ID#AAACHLjGoFQ
Финмодель    (2026-09-15 12:46:16)
Источник: «Лагеря Спартак Будущее .xlsx», лист «Сокольники ».</t>
      </text>
    </comment>
    <comment ref="L181" authorId="0" shapeId="0">
      <text>
        <t>======
ID#AAACHLjGn-0
Финмодель    (2026-09-15 12:46:16)
Источник: Отчет о финансовых результатах, июль 2026 (файл пользователя / предоставленный скриншот).</t>
      </text>
    </comment>
    <comment ref="N181" authorId="0" shapeId="0">
      <text>
        <t>======
ID#AAACHLjGn_E
Финмодель    (2026-09-15 12:46:16)
РАСЧЁТ, НЕ ВВОДИТЬ.
Эта ячейка считается формулой. Если вписать сюда число, связь со сценариями и тарифным миксом пропадёт.</t>
      </text>
    </comment>
    <comment ref="L182" authorId="0" shapeId="0">
      <text>
        <t>======
ID#AAACHLjGwjc
Финмодель    (2026-09-15 12:46:16)
Источник: Отчет о финансовых результатах, июль 2026 (файл пользователя / предоставленный скриншот).</t>
      </text>
    </comment>
    <comment ref="N182" authorId="0" shapeId="0">
      <text>
        <t>======
ID#AAACHLjGwgI
Финмодель    (2026-09-15 12:46:16)
РАСЧЁТ, НЕ ВВОДИТЬ.
Эта ячейка считается формулой. Если вписать сюда число, связь со сценариями и тарифным миксом пропадёт.</t>
      </text>
    </comment>
    <comment ref="L183" authorId="0" shapeId="0">
      <text>
        <t>======
ID#AAACHLjGoBY
Финмодель    (2026-09-15 12:46:16)
Источник: Отчет о финансовых результатах, июль 2026 (файл пользователя / предоставленный скриншот).</t>
      </text>
    </comment>
    <comment ref="N183" authorId="0" shapeId="0">
      <text>
        <t>======
ID#AAACHLjGwkE
Финмодель    (2026-09-15 12:46:16)
РАСЧЁТ, НЕ ВВОДИТЬ.
Эта ячейка считается формулой. Если вписать сюда число, связь со сценариями и тарифным миксом пропадёт.</t>
      </text>
    </comment>
    <comment ref="L184" authorId="0" shapeId="0">
      <text>
        <t>======
ID#AAACHLjGwmQ
Финмодель    (2026-09-15 12:46:16)
Источник: Отчет о финансовых результатах, июль 2026 (файл пользователя / предоставленный скриншот).</t>
      </text>
    </comment>
    <comment ref="N184" authorId="0" shapeId="0">
      <text>
        <t>======
ID#AAACHLjGoDE
Финмодель    (2026-09-15 12:46:16)
РАСЧЁТ, НЕ ВВОДИТЬ.
Эта ячейка считается формулой. Если вписать сюда число, связь со сценариями и тарифным миксом пропадёт.</t>
      </text>
    </comment>
    <comment ref="L185" authorId="0" shapeId="0">
      <text>
        <t>======
ID#AAACHLjGoFg
Финмодель    (2026-09-15 12:46:16)
Источник: Отчет о финансовых результатах, июль 2026 (файл пользователя / предоставленный скриншот).</t>
      </text>
    </comment>
    <comment ref="N185" authorId="0" shapeId="0">
      <text>
        <t>======
ID#AAACHLjGwkk
Финмодель    (2026-09-15 12:46:16)
РАСЧЁТ, НЕ ВВОДИТЬ.
Эта ячейка считается формулой. Если вписать сюда число, связь со сценариями и тарифным миксом пропадёт.</t>
      </text>
    </comment>
    <comment ref="L186" authorId="0" shapeId="0">
      <text>
        <t>======
ID#AAACHLjGwhk
Финмодель    (2026-09-15 12:46:16)
Источник: Отчет о финансовых результатах, июль 2026 (файл пользователя / предоставленный скриншот).</t>
      </text>
    </comment>
    <comment ref="N186" authorId="0" shapeId="0">
      <text>
        <t>======
ID#AAACHLjGwoU
Финмодель    (2026-09-15 12:46:16)
РАСЧЁТ, НЕ ВВОДИТЬ.
Эта ячейка считается формулой. Если вписать сюда число, связь со сценариями и тарифным миксом пропадёт.</t>
      </text>
    </comment>
    <comment ref="F187" authorId="0" shapeId="0">
      <text>
        <t>======
ID#AAACHLjGwfw
Финмодель    (2026-09-15 12:46:16)
Источник: «Анализ движений денежных средств по периодам за 01.01.2026 - 02.07.2026».</t>
      </text>
    </comment>
    <comment ref="L187" authorId="0" shapeId="0">
      <text>
        <t>======
ID#AAACHLjGwmY
Финмодель    (2026-09-15 12:46:16)
Источник: Анализ движений денежных средств за 01.01.2026–02.07.2026; июльский чистый денежный поток = 6 862 ₽.</t>
      </text>
    </comment>
    <comment ref="N187" authorId="0" shapeId="0">
      <text>
        <t>======
ID#AAACHLjGoEs
Финмодель    (2026-09-15 12:46:16)
РАСЧЁТ, НЕ ВВОДИТЬ.
Эта ячейка считается формулой. Если вписать сюда число, связь со сценариями и тарифным миксом пропадёт.</t>
      </text>
    </comment>
    <comment ref="B192" authorId="0" shapeId="0">
      <text>
        <t>======
ID#AAACHLjGoFw
Финмодель    (2026-09-15 12:46:16)
Три сценария сохранены по требованию ТЗ, добавлена чувствительность.
По умолчанию выбран «Базовый» — это неизменённая база V8.</t>
      </text>
    </comment>
    <comment ref="B194" authorId="0" shapeId="0">
      <text>
        <t>======
ID#AAACHLjGoEk
Финмодель    (2026-09-15 12:46:16)
РАСЧЁТ, НЕ ВВОДИТЬ.
Эта ячейка считается формулой. Если вписать сюда число, связь со сценариями и тарифным миксом пропадёт.</t>
      </text>
    </comment>
    <comment ref="C198" authorId="0" shapeId="0">
      <text>
        <t>======
ID#AAACHLjGoBc
Финмодель    (2026-09-15 12:46:16)
Предварительный стресс-тест, не утвержденный прогноз. Analyst-defined starting stress; edit after approval.</t>
      </text>
    </comment>
    <comment ref="E198" authorId="0" shapeId="0">
      <text>
        <t>======
ID#AAACHLjGn-Y
Финмодель    (2026-09-15 12:46:16)
Предварительный стресс-тест, не утвержденный прогноз. Analyst-defined starting stress; edit after approval.</t>
      </text>
    </comment>
    <comment ref="F198" authorId="0" shapeId="0">
      <text>
        <t>======
ID#AAACHLjGoFY
Финмодель    (2026-09-15 12:46:16)
РАСЧЁТ, НЕ ВВОДИТЬ.
Эта ячейка считается формулой. Если вписать сюда число, связь со сценариями и тарифным миксом пропадёт.</t>
      </text>
    </comment>
    <comment ref="G198" authorId="0" shapeId="0">
      <text>
        <t>======
ID#AAACHLjGoCQ
Финмодель    (2026-09-15 12:46:16)
Шаг однофакторной чувствительности от неизменённой базы.
По умолчанию ±10%, значение можно менять.</t>
      </text>
    </comment>
    <comment ref="C199" authorId="0" shapeId="0">
      <text>
        <t>======
ID#AAACHLjGoFE
Финмодель    (2026-09-15 12:46:16)
Предварительный стресс-тест, не утвержденный прогноз. Analyst-defined starting stress; edit after approval.</t>
      </text>
    </comment>
    <comment ref="E199" authorId="0" shapeId="0">
      <text>
        <t>======
ID#AAACHLjGwhY
Финмодель    (2026-09-15 12:46:16)
Предварительный стресс-тест, не утвержденный прогноз. Analyst-defined starting stress; edit after approval.</t>
      </text>
    </comment>
    <comment ref="F199" authorId="0" shapeId="0">
      <text>
        <t>======
ID#AAACHLjGn_I
Финмодель    (2026-09-15 12:46:16)
РАСЧЁТ, НЕ ВВОДИТЬ.
Эта ячейка считается формулой. Если вписать сюда число, связь со сценариями и тарифным миксом пропадёт.</t>
      </text>
    </comment>
    <comment ref="G199" authorId="0" shapeId="0">
      <text>
        <t>======
ID#AAACHLjGn9A
Финмодель    (2026-09-15 12:46:16)
Шаг однофакторной чувствительности от неизменённой базы.
По умолчанию ±10%, значение можно менять.</t>
      </text>
    </comment>
    <comment ref="C200" authorId="0" shapeId="0">
      <text>
        <t>======
ID#AAACHLjGoD8
Финмодель    (2026-09-15 12:46:16)
Предварительный стресс-тест, не утвержденный прогноз. Analyst-defined starting stress; edit after approval.</t>
      </text>
    </comment>
    <comment ref="E200" authorId="0" shapeId="0">
      <text>
        <t>======
ID#AAACHLjGwpM
Финмодель    (2026-09-15 12:46:16)
Предварительный стресс-тест, не утвержденный прогноз. Analyst-defined starting stress; edit after approval.</t>
      </text>
    </comment>
    <comment ref="F200" authorId="0" shapeId="0">
      <text>
        <t>======
ID#AAACHLjGwdU
Финмодель    (2026-09-15 12:46:16)
РАСЧЁТ, НЕ ВВОДИТЬ.
Эта ячейка считается формулой. Если вписать сюда число, связь со сценариями и тарифным миксом пропадёт.</t>
      </text>
    </comment>
    <comment ref="G200" authorId="0" shapeId="0">
      <text>
        <t>======
ID#AAACHLjGn70
Финмодель    (2026-09-15 12:46:16)
Шаг однофакторной чувствительности от неизменённой базы.
По умолчанию ±10%, значение можно менять.</t>
      </text>
    </comment>
    <comment ref="C201" authorId="0" shapeId="0">
      <text>
        <t>======
ID#AAACHLjGwes
Финмодель    (2026-09-15 12:46:16)
Предварительный стресс-тест, не утвержденный прогноз. Analyst-defined starting stress; edit after approval.</t>
      </text>
    </comment>
    <comment ref="E201" authorId="0" shapeId="0">
      <text>
        <t>======
ID#AAACHLjGwmk
Финмодель    (2026-09-15 12:46:16)
Предварительный стресс-тест, не утвержденный прогноз. Analyst-defined starting stress; edit after approval.</t>
      </text>
    </comment>
    <comment ref="F201" authorId="0" shapeId="0">
      <text>
        <t>======
ID#AAACHLjGoCc
Финмодель    (2026-09-15 12:46:16)
РАСЧЁТ, НЕ ВВОДИТЬ.
Эта ячейка считается формулой. Если вписать сюда число, связь со сценариями и тарифным миксом пропадёт.</t>
      </text>
    </comment>
    <comment ref="G201" authorId="0" shapeId="0">
      <text>
        <t>======
ID#AAACHLjGwds
Финмодель    (2026-09-15 12:46:16)
Шаг однофакторной чувствительности от неизменённой базы.
По умолчанию ±10%, значение можно менять.</t>
      </text>
    </comment>
    <comment ref="C202" authorId="0" shapeId="0">
      <text>
        <t>======
ID#AAACHLjGoEw
Финмодель    (2026-09-15 12:46:16)
Предварительный стресс-тест, не утвержденный прогноз. Analyst-defined starting stress; edit after approval.</t>
      </text>
    </comment>
    <comment ref="E202" authorId="0" shapeId="0">
      <text>
        <t>======
ID#AAACHLjGn7o
Финмодель    (2026-09-15 12:46:16)
Предварительный стресс-тест, не утвержденный прогноз. Analyst-defined starting stress; edit after approval.</t>
      </text>
    </comment>
    <comment ref="F202" authorId="0" shapeId="0">
      <text>
        <t>======
ID#AAACHLjGn-U
Финмодель    (2026-09-15 12:46:16)
РАСЧЁТ, НЕ ВВОДИТЬ.
Эта ячейка считается формулой. Если вписать сюда число, связь со сценариями и тарифным миксом пропадёт.</t>
      </text>
    </comment>
    <comment ref="G202" authorId="0" shapeId="0">
      <text>
        <t>======
ID#AAACHLjGwcQ
Финмодель    (2026-09-15 12:46:16)
Шаг однофакторной чувствительности от неизменённой базы.
По умолчанию ±10%, значение можно менять.</t>
      </text>
    </comment>
    <comment ref="C203" authorId="0" shapeId="0">
      <text>
        <t>======
ID#AAACHLjGwcU
Финмодель    (2026-09-15 12:46:16)
Предварительный стресс-тест, не утвержденный прогноз. Analyst-defined starting stress; edit after approval.</t>
      </text>
    </comment>
    <comment ref="E203" authorId="0" shapeId="0">
      <text>
        <t>======
ID#AAACHLjGwfY
Финмодель    (2026-09-15 12:46:16)
Предварительный стресс-тест, не утвержденный прогноз. Analyst-defined starting stress; edit after approval.</t>
      </text>
    </comment>
    <comment ref="F203" authorId="0" shapeId="0">
      <text>
        <t>======
ID#AAACHLjGwmA
Финмодель    (2026-09-15 12:46:16)
РАСЧЁТ, НЕ ВВОДИТЬ.
Эта ячейка считается формулой. Если вписать сюда число, связь со сценариями и тарифным миксом пропадёт.</t>
      </text>
    </comment>
    <comment ref="G203" authorId="0" shapeId="0">
      <text>
        <t>======
ID#AAACHLjGwn4
Финмодель    (2026-09-15 12:46:16)
Шаг однофакторной чувствительности от неизменённой базы.
По умолчанию ±10%, значение можно менять.</t>
      </text>
    </comment>
    <comment ref="B210" authorId="0" shapeId="0">
      <text>
        <t>======
ID#AAACHLjGoBE
Финмодель    (2026-09-15 12:46:16)
Финмодель_Спартак_V8_чистая_единые_вводные_09.09.2026.xlsx | 01_Вводные!B36; original base input, unchanged.</t>
      </text>
    </comment>
    <comment ref="B211" authorId="0" shapeId="0">
      <text>
        <t>======
ID#AAACHLjGoBI
Финмодель    (2026-09-15 12:46:16)
Финмодель_Спартак_V8_чистая_единые_вводные_09.09.2026.xlsx | 01_Вводные!B37; original base input, unchanged.</t>
      </text>
    </comment>
    <comment ref="B212" authorId="0" shapeId="0">
      <text>
        <t>======
ID#AAACHLjGwec
Финмодель    (2026-09-15 12:46:16)
Финмодель_Спартак_V8_чистая_единые_вводные_09.09.2026.xlsx | 01_Вводные!B38; original base input, unchanged.</t>
      </text>
    </comment>
    <comment ref="B213" authorId="0" shapeId="0">
      <text>
        <t>======
ID#AAACHLjGn-k
Финмодель    (2026-09-15 12:46:16)
Финмодель_Спартак_V8_чистая_единые_вводные_09.09.2026.xlsx | 01_Вводные!B39; original base input, unchanged.</t>
      </text>
    </comment>
    <comment ref="B214" authorId="0" shapeId="0">
      <text>
        <t>======
ID#AAACHLjGn-4
Финмодель    (2026-09-15 12:46:16)
Финмодель_Спартак_V8_чистая_единые_вводные_09.09.2026.xlsx | 01_Вводные!B40; original base input, unchanged.</t>
      </text>
    </comment>
    <comment ref="B215" authorId="0" shapeId="0">
      <text>
        <t>======
ID#AAACHLjGwjM
Финмодель    (2026-09-15 12:46:16)
РАСЧЁТ, НЕ ВВОДИТЬ — «Мощность новой школы, 12-й месяц».
Менять базу здесь: 01_Вводные!E263:E282.
Значение — взвешенное среднее по тарифным группам (блок 13, строки 263–282): вес × показатель.
Жёлтая ячейка = ввод. Серая курсивная = формула.</t>
      </text>
    </comment>
    <comment ref="B216" authorId="0" shapeId="0">
      <text>
        <t>======
ID#AAACHLjGwm0
Финмодель    (2026-09-15 12:46:16)
РАСЧЁТ, НЕ ВВОДИТЬ — «Мощность новой школы, 24-й месяц».
Менять базу здесь: 01_Вводные!F263:F282.
Значение — взвешенное среднее по тарифным группам (блок 13, строки 263–282): вес × показатель.
Жёлтая ячейка = ввод. Серая курсивная = формула.</t>
      </text>
    </comment>
    <comment ref="B217" authorId="0" shapeId="0">
      <text>
        <t>======
ID#AAACHLjGoC4
Финмодель    (2026-09-15 12:46:16)
Финмодель_Спартак_V8_чистая_единые_вводные_09.09.2026.xlsx | 01_Вводные!B51; original base input, unchanged.</t>
      </text>
    </comment>
    <comment ref="B218" authorId="0" shapeId="0">
      <text>
        <t>======
ID#AAACHLjGweE
Финмодель    (2026-09-15 12:46:16)
РАСЧЁТ, НЕ ВВОДИТЬ — «Абонемент новых школ, сезон 1».
Менять базу здесь: 01_Вводные!H263:H282.
Значение — взвешенное среднее по тарифным группам (блок 13, строки 263–282): вес × показатель.
Жёлтая ячейка = ввод. Серая курсивная = формула.</t>
      </text>
    </comment>
    <comment ref="B219" authorId="0" shapeId="0">
      <text>
        <t>======
ID#AAACHLjGwfM
Финмодель    (2026-09-15 12:46:16)
РАСЧЁТ, НЕ ВВОДИТЬ — «Абонемент новых школ, сезон 2».
Менять базу здесь: 01_Вводные!H263:H282.
Значение — взвешенное среднее по тарифным группам (блок 13, строки 263–282): вес × показатель.
Жёлтая ячейка = ввод. Серая курсивная = формула.</t>
      </text>
    </comment>
    <comment ref="B220" authorId="0" shapeId="0">
      <text>
        <t>======
ID#AAACHLjGn8c
Финмодель    (2026-09-15 12:46:16)
РАСЧЁТ, НЕ ВВОДИТЬ — «Абонемент новых школ, сезон 3».
Менять базу здесь: 01_Вводные!H263:H282.
Значение — взвешенное среднее по тарифным группам (блок 13, строки 263–282): вес × показатель.
Жёлтая ячейка = ввод. Серая курсивная = формула.</t>
      </text>
    </comment>
    <comment ref="B221" authorId="0" shapeId="0">
      <text>
        <t>======
ID#AAACHLjGoEU
Финмодель    (2026-09-15 12:46:16)
РАСЧЁТ, НЕ ВВОДИТЬ — «Абонемент новых школ, сезон 4».
Менять базу здесь: 01_Вводные!H263:H282.
Значение — взвешенное среднее по тарифным группам (блок 13, строки 263–282): вес × показатель.
Жёлтая ячейка = ввод. Серая курсивная = формула.</t>
      </text>
    </comment>
    <comment ref="B222" authorId="0" shapeId="0">
      <text>
        <t>======
ID#AAACHLjGwo0
Финмодель    (2026-09-15 12:46:16)
РАСЧЁТ, НЕ ВВОДИТЬ — «Абонемент новых школ, сезон 5».
Менять базу здесь: 01_Вводные!H263:H282.
Значение — взвешенное среднее по тарифным группам (блок 13, строки 263–282): вес × показатель.
Жёлтая ячейка = ввод. Серая курсивная = формула.</t>
      </text>
    </comment>
    <comment ref="B223" authorId="0" shapeId="0">
      <text>
        <t>======
ID#AAACHLjGwfk
Финмодель    (2026-09-15 12:46:16)
Финмодель_Спартак_V8_чистая_единые_вводные_09.09.2026.xlsx | 01_Вводные!B74; original base input, unchanged.</t>
      </text>
    </comment>
    <comment ref="B224" authorId="0" shapeId="0">
      <text>
        <t>======
ID#AAACHLjGwic
Финмодель    (2026-09-15 12:46:16)
Финмодель_Спартак_V8_чистая_единые_вводные_09.09.2026.xlsx | 01_Вводные!B26; original base input, unchanged.</t>
      </text>
    </comment>
    <comment ref="B225" authorId="0" shapeId="0">
      <text>
        <t>======
ID#AAACHLjGn-g
Финмодель    (2026-09-15 12:46:16)
Финмодель_Спартак_V8_чистая_единые_вводные_09.09.2026.xlsx | 01_Вводные!B18; original base input, unchanged.</t>
      </text>
    </comment>
    <comment ref="B227" authorId="0" shapeId="0">
      <text>
        <t>======
ID#AAACHLjGwh4
Финмодель    (2026-09-15 12:46:16)
РАСЧЁТ, НЕ ВВОДИТЬ.
Эта ячейка считается формулой. Если вписать сюда число, связь со сценариями и тарифным миксом пропадёт.</t>
      </text>
    </comment>
    <comment ref="B228" authorId="0" shapeId="0">
      <text>
        <t>======
ID#AAACHLjGwkc
Финмодель    (2026-09-15 12:46:16)
РАСЧЁТ, НЕ ВВОДИТЬ.
Эта ячейка считается формулой. Если вписать сюда число, связь со сценариями и тарифным миксом пропадёт.</t>
      </text>
    </comment>
    <comment ref="B233" authorId="0" shapeId="0">
      <text>
        <t>======
ID#AAACHLjGn9w
Финмодель    (2026-09-15 12:46:16)
Источник: ТЗ пользователя и ревизия 09.09.2026. Один драйвер за раз; все шесть сохранены в списке.</t>
      </text>
    </comment>
    <comment ref="B234" authorId="0" shapeId="0">
      <text>
        <t>======
ID#AAACHLjGn98
Финмодель    (2026-09-15 12:46:16)
Источник: ТЗ пользователя и ревизия 09.09.2026. При Нет два дополнительных расчёта не выполняются.</t>
      </text>
    </comment>
    <comment ref="B235" authorId="0" shapeId="0">
      <text>
        <t>======
ID#AAACHLjGn_8
Финмодель    (2026-09-15 12:46:16)
Источник: ТЗ пользователя и ревизия 09.09.2026. Отдельное событие; до подтверждения подключение в месяц открытия.</t>
      </text>
    </comment>
    <comment ref="B236" authorId="0" shapeId="0">
      <text>
        <t>======
ID#AAACHLjGoFs
Финмодель    (2026-09-15 12:46:16)
РАСЧЁТ, НЕ ВВОДИТЬ — «Дети зрелой школы».
Менять базу здесь: 01_Вводные!G263:G282.
Значение — взвешенное среднее по тарифным группам (блок 13, строки 263–282): вес × показатель.
Жёлтая ячейка = ввод. Серая курсивная = формула.</t>
      </text>
    </comment>
    <comment ref="B237" authorId="0" shapeId="0">
      <text>
        <t>======
ID#AAACHLjGweQ
Финмодель    (2026-09-15 12:46:16)
Источник: ТЗ пользователя и ревизия 09.09.2026. Рабочее значение 0; можно задать резерв ликвидности.</t>
      </text>
    </comment>
    <comment ref="B238" authorId="0" shapeId="0">
      <text>
        <t>======
ID#AAACHLjGoAA
Финмодель    (2026-09-15 12:46:16)
Источник: ТЗ пользователя и ревизия 09.09.2026. По п.27 ТЗ: возврат только при остатке товара не ниже цели будущих месяцев.</t>
      </text>
    </comment>
    <comment ref="B239" authorId="0" shapeId="0">
      <text>
        <t>======
ID#AAACHLjGoAU
Финмодель    (2026-09-15 12:46:16)
Источник: ТЗ пользователя и ревизия 09.09.2026. Да — отдельно по 20 форматам/территориям; Нет — прежнее усреднение для сверки.</t>
      </text>
    </comment>
    <comment ref="B240" authorId="0" shapeId="0">
      <text>
        <t>======
ID#AAACHLjGwkw
Финмодель    (2026-09-15 12:46:16)
Источник: ТЗ пользователя и ревизия 09.09.2026. Сохранён резерв 10% от оборота из Сокольники!C36. Это не подтверждение ставки/методики НДС.</t>
      </text>
    </comment>
    <comment ref="B241" authorId="0" shapeId="0">
      <text>
        <t>======
ID#AAACHLjGoDI
Финмодель    (2026-09-15 12:46:16)
Источник: ТЗ пользователя и ревизия 09.09.2026. Отключение лагеря обнуляет продажи, начисления и оплаты.</t>
      </text>
    </comment>
    <comment ref="B242" authorId="0" shapeId="0">
      <text>
        <t>======
ID#AAACHLjGwik
Финмодель    (2026-09-15 12:46:16)
Источник: ТЗ пользователя и ревизия 09.09.2026. Только октябрь 2026 оплачивается за 1 месяц.</t>
      </text>
    </comment>
    <comment ref="B243" authorId="0" shapeId="0">
      <text>
        <t>======
ID#AAACHLjGwk0
Финмодель    (2026-09-15 12:46:16)
Источник: ТЗ пользователя и ревизия 09.09.2026. Для октября 2026; далее обычный лаг B27.</t>
      </text>
    </comment>
    <comment ref="B244" authorId="0" shapeId="0">
      <text>
        <t>======
ID#AAACHLjGn7g
Финмодель    (2026-09-15 12:46:16)
Источник: ТЗ пользователя и ревизия 09.09.2026. 6,5% по договорам до этой даты.</t>
      </text>
    </comment>
    <comment ref="B245" authorId="0" shapeId="0">
      <text>
        <t>======
ID#AAACHLjGoB0
Финмодель    (2026-09-15 12:46:16)
Источник: ТЗ пользователя и ревизия 09.09.2026. С этой даты применяется B57 ко всем.</t>
      </text>
    </comment>
    <comment ref="B246" authorId="0" shapeId="0">
      <text>
        <t>======
ID#AAACHLjGn84
Финмодель    (2026-09-15 12:46:16)
Источник: ТЗ пользователя и ревизия 09.09.2026. За IV квартал 2027; далее март/июнь/сентябрь/декабрь.</t>
      </text>
    </comment>
    <comment ref="B247" authorId="0" shapeId="0">
      <text>
        <t>======
ID#AAACHLjGn8w
Финмодель    (2026-09-15 12:46:16)
Источник: ТЗ пользователя и ревизия 09.09.2026. 70 тыс. net по B133.</t>
      </text>
    </comment>
    <comment ref="B248" authorId="0" shapeId="0">
      <text>
        <t>======
ID#AAACHLjGn_U
Финмодель    (2026-09-15 12:46:16)
Источник: ТЗ пользователя и ревизия 09.09.2026. 100 тыс. net по B134.</t>
      </text>
    </comment>
    <comment ref="B249" authorId="0" shapeId="0">
      <text>
        <t>======
ID#AAACHLjGwoA
Финмодель    (2026-09-15 12:46:16)
Источник: ТЗ пользователя и ревизия 09.09.2026. Повышение участвует в премии при Да у ГД.</t>
      </text>
    </comment>
    <comment ref="B250" authorId="0" shapeId="0">
      <text>
        <t>======
ID#AAACHLjGn80
Финмодель    (2026-09-15 12:46:16)
Источник: ТЗ пользователя и ревизия 09.09.2026. С B123 на B124.</t>
      </text>
    </comment>
    <comment ref="B251" authorId="0" shapeId="0">
      <text>
        <t>======
ID#AAACHLjGoAI
Финмодель    (2026-09-15 12:46:16)
Источник: ТЗ пользователя и ревизия 09.09.2026. Далее каждый сентябрь.</t>
      </text>
    </comment>
    <comment ref="B252" authorId="0" shapeId="0">
      <text>
        <t>======
ID#AAACHLjGn7k
Финмодель    (2026-09-15 12:46:16)
Источник: ТЗ пользователя и ревизия 09.09.2026. Июнь по ТЗ.</t>
      </text>
    </comment>
    <comment ref="B253" authorId="0" shapeId="0">
      <text>
        <t>======
ID#AAACHLjGwnE
Финмодель    (2026-09-15 12:46:16)
Источник: ТЗ пользователя и ревизия 09.09.2026. Февраль; равномерно до B254.</t>
      </text>
    </comment>
    <comment ref="B254" authorId="0" shapeId="0">
      <text>
        <t>======
ID#AAACHLjGoDM
Финмодель    (2026-09-15 12:46:16)
Источник: ТЗ пользователя и ревизия 09.09.2026. Май включительно.</t>
      </text>
    </comment>
    <comment ref="B255" authorId="0" shapeId="0">
      <text>
        <t>======
ID#AAACHLjGwog
Финмодель    (2026-09-15 12:46:16)
Источник: ТЗ пользователя и ревизия 09.09.2026. Разовая комиссия B121.</t>
      </text>
    </comment>
    <comment ref="B256" authorId="0" shapeId="0">
      <text>
        <t>======
ID#AAACHLjGoAo
Финмодель    (2026-09-15 12:46:16)
Источник: ТЗ пользователя и ревизия 09.09.2026. Раз в год; сумма B122.</t>
      </text>
    </comment>
    <comment ref="B257" authorId="0" shapeId="0">
      <text>
        <t>======
ID#AAACHLjGoF8
Финмодель    (2026-09-15 12:46:16)
РАСЧЁТ, НЕ ВВОДИТЬ.
Эта ячейка считается формулой. Если вписать сюда число, связь со сценариями и тарифным миксом пропадёт.</t>
      </text>
    </comment>
    <comment ref="B258" authorId="0" shapeId="0">
      <text>
        <t>======
ID#AAACHLjGwg4
Финмодель    (2026-09-15 12:46:16)
РАСЧЁТ, НЕ ВВОДИТЬ.
Эта ячейка считается формулой. Если вписать сюда число, связь со сценариями и тарифным миксом пропадёт.</t>
      </text>
    </comment>
    <comment ref="A263" authorId="0" shapeId="0">
      <text>
        <t>======
ID#AAACHLjGwok
Финмодель    (2026-09-15 12:46:16)
V5.1: Типы_продукта!A14:M14; Микс_продаж!B5; B14</t>
      </text>
    </comment>
    <comment ref="B263" authorId="0" shapeId="0">
      <text>
        <t>======
ID#AAACHLjGoFI
Финмодель    (2026-09-15 12:46:16)
V5.1: Типы_продукта!A14:M14; Микс_продаж!B5; B14</t>
      </text>
    </comment>
    <comment ref="C263" authorId="0" shapeId="0">
      <text>
        <t>======
ID#AAACHLjGoDg
Финмодель    (2026-09-15 12:46:16)
V5.1: Типы_продукта!A14:M14; Микс_продаж!B5; B14</t>
      </text>
    </comment>
    <comment ref="D263" authorId="0" shapeId="0">
      <text>
        <t>======
ID#AAACHLjGwg8
Финмодель    (2026-09-15 12:46:16)
V5.1: Типы_продукта!A14:M14; Микс_продаж!B5; B14</t>
      </text>
    </comment>
    <comment ref="E263" authorId="0" shapeId="0">
      <text>
        <t>======
ID#AAACHLjGoEY
Финмодель    (2026-09-15 12:46:16)
V5.1: Типы_продукта!A14:M14; Микс_продаж!B5; B14</t>
      </text>
    </comment>
    <comment ref="F263" authorId="0" shapeId="0">
      <text>
        <t>======
ID#AAACHLjGwd8
Финмодель    (2026-09-15 12:46:16)
V5.1: Типы_продукта!A14:M14; Микс_продаж!B5; B14</t>
      </text>
    </comment>
    <comment ref="G263" authorId="0" shapeId="0">
      <text>
        <t>======
ID#AAACHLjGwdY
Финмодель    (2026-09-15 12:46:16)
V5.1: Типы_продукта!A14:M14; Микс_продаж!B5; B14</t>
      </text>
    </comment>
    <comment ref="H263" authorId="0" shapeId="0">
      <text>
        <t>======
ID#AAACHLjGoBw
Финмодель    (2026-09-15 12:46:16)
V5.1: Типы_продукта!A14:M14; Микс_продаж!B5; B14</t>
      </text>
    </comment>
    <comment ref="I263" authorId="0" shapeId="0">
      <text>
        <t>======
ID#AAACHLjGwek
Финмодель    (2026-09-15 12:46:16)
V5.1: Типы_продукта!A14:M14; Микс_продаж!B5; B14</t>
      </text>
    </comment>
    <comment ref="J263" authorId="0" shapeId="0">
      <text>
        <t>======
ID#AAACHLjGn-M
Финмодель    (2026-09-15 12:46:16)
V5.1: Типы_продукта!A14:M14; Микс_продаж!B5; B14</t>
      </text>
    </comment>
    <comment ref="K263" authorId="0" shapeId="0">
      <text>
        <t>======
ID#AAACHLjGwlw
Финмодель    (2026-09-15 12:46:16)
V5.1: Типы_продукта!A14:M14; Микс_продаж!B5; B14</t>
      </text>
    </comment>
    <comment ref="A264" authorId="0" shapeId="0">
      <text>
        <t>======
ID#AAACHLjGoCM
Финмодель    (2026-09-15 12:46:16)
V5.1: Типы_продукта!A15:M15; Микс_продаж!B5; C14</t>
      </text>
    </comment>
    <comment ref="B264" authorId="0" shapeId="0">
      <text>
        <t>======
ID#AAACHLjGwg0
Финмодель    (2026-09-15 12:46:16)
V5.1: Типы_продукта!A15:M15; Микс_продаж!B5; C14</t>
      </text>
    </comment>
    <comment ref="C264" authorId="0" shapeId="0">
      <text>
        <t>======
ID#AAACHLjGwmc
Финмодель    (2026-09-15 12:46:16)
V5.1: Типы_продукта!A15:M15; Микс_продаж!B5; C14</t>
      </text>
    </comment>
    <comment ref="D264" authorId="0" shapeId="0">
      <text>
        <t>======
ID#AAACHLjGwo8
Финмодель    (2026-09-15 12:46:16)
V5.1: Типы_продукта!A15:M15; Микс_продаж!B5; C14</t>
      </text>
    </comment>
    <comment ref="E264" authorId="0" shapeId="0">
      <text>
        <t>======
ID#AAACHLjGoBQ
Финмодель    (2026-09-15 12:46:16)
V5.1: Типы_продукта!A15:M15; Микс_продаж!B5; C14</t>
      </text>
    </comment>
    <comment ref="F264" authorId="0" shapeId="0">
      <text>
        <t>======
ID#AAACHLjGwgc
Финмодель    (2026-09-15 12:46:16)
V5.1: Типы_продукта!A15:M15; Микс_продаж!B5; C14</t>
      </text>
    </comment>
    <comment ref="G264" authorId="0" shapeId="0">
      <text>
        <t>======
ID#AAACHLjGoFo
Финмодель    (2026-09-15 12:46:16)
V5.1: Типы_продукта!A15:M15; Микс_продаж!B5; C14</t>
      </text>
    </comment>
    <comment ref="H264" authorId="0" shapeId="0">
      <text>
        <t>======
ID#AAACHLjGoDk
Финмодель    (2026-09-15 12:46:16)
V5.1: Типы_продукта!A15:M15; Микс_продаж!B5; C14</t>
      </text>
    </comment>
    <comment ref="I264" authorId="0" shapeId="0">
      <text>
        <t>======
ID#AAACHLjGwhM
Финмодель    (2026-09-15 12:46:16)
V5.1: Типы_продукта!A15:M15; Микс_продаж!B5; C14</t>
      </text>
    </comment>
    <comment ref="J264" authorId="0" shapeId="0">
      <text>
        <t>======
ID#AAACHLjGoFU
Финмодель    (2026-09-15 12:46:16)
V5.1: Типы_продукта!A15:M15; Микс_продаж!B5; C14</t>
      </text>
    </comment>
    <comment ref="K264" authorId="0" shapeId="0">
      <text>
        <t>======
ID#AAACHLjGwm4
Финмодель    (2026-09-15 12:46:16)
V5.1: Типы_продукта!A15:M15; Микс_продаж!B5; C14</t>
      </text>
    </comment>
    <comment ref="A265" authorId="0" shapeId="0">
      <text>
        <t>======
ID#AAACHLjGn9Q
Финмодель    (2026-09-15 12:46:16)
V5.1: Типы_продукта!A16:M16; Микс_продаж!B5; D14</t>
      </text>
    </comment>
    <comment ref="B265" authorId="0" shapeId="0">
      <text>
        <t>======
ID#AAACHLjGn8U
Финмодель    (2026-09-15 12:46:16)
V5.1: Типы_продукта!A16:M16; Микс_продаж!B5; D14</t>
      </text>
    </comment>
    <comment ref="C265" authorId="0" shapeId="0">
      <text>
        <t>======
ID#AAACHLjGoCw
Финмодель    (2026-09-15 12:46:16)
V5.1: Типы_продукта!A16:M16; Микс_продаж!B5; D14</t>
      </text>
    </comment>
    <comment ref="D265" authorId="0" shapeId="0">
      <text>
        <t>======
ID#AAACHLjGoEc
Финмодель    (2026-09-15 12:46:16)
V5.1: Типы_продукта!A16:M16; Микс_продаж!B5; D14</t>
      </text>
    </comment>
    <comment ref="E265" authorId="0" shapeId="0">
      <text>
        <t>======
ID#AAACHLjGwhw
Финмодель    (2026-09-15 12:46:16)
V5.1: Типы_продукта!A16:M16; Микс_продаж!B5; D14</t>
      </text>
    </comment>
    <comment ref="F265" authorId="0" shapeId="0">
      <text>
        <t>======
ID#AAACHLjGoAE
Финмодель    (2026-09-15 12:46:16)
V5.1: Типы_продукта!A16:M16; Микс_продаж!B5; D14</t>
      </text>
    </comment>
    <comment ref="G265" authorId="0" shapeId="0">
      <text>
        <t>======
ID#AAACHLjGn_c
Финмодель    (2026-09-15 12:46:16)
V5.1: Типы_продукта!A16:M16; Микс_продаж!B5; D14</t>
      </text>
    </comment>
    <comment ref="H265" authorId="0" shapeId="0">
      <text>
        <t>======
ID#AAACHLjGn-E
Финмодель    (2026-09-15 12:46:16)
V5.1: Типы_продукта!A16:M16; Микс_продаж!B5; D14</t>
      </text>
    </comment>
    <comment ref="I265" authorId="0" shapeId="0">
      <text>
        <t>======
ID#AAACHLjGwoM
Финмодель    (2026-09-15 12:46:16)
V5.1: Типы_продукта!A16:M16; Микс_продаж!B5; D14</t>
      </text>
    </comment>
    <comment ref="J265" authorId="0" shapeId="0">
      <text>
        <t>======
ID#AAACHLjGwi0
Финмодель    (2026-09-15 12:46:16)
V5.1: Типы_продукта!A16:M16; Микс_продаж!B5; D14</t>
      </text>
    </comment>
    <comment ref="K265" authorId="0" shapeId="0">
      <text>
        <t>======
ID#AAACHLjGwoE
Финмодель    (2026-09-15 12:46:16)
V5.1: Типы_продукта!A16:M16; Микс_продаж!B5; D14</t>
      </text>
    </comment>
    <comment ref="A266" authorId="0" shapeId="0">
      <text>
        <t>======
ID#AAACHLjGwgk
Финмодель    (2026-09-15 12:46:16)
V5.1: Типы_продукта!A17:M17; Микс_продаж!B5; E14</t>
      </text>
    </comment>
    <comment ref="B266" authorId="0" shapeId="0">
      <text>
        <t>======
ID#AAACHLjGwno
Финмодель    (2026-09-15 12:46:16)
V5.1: Типы_продукта!A17:M17; Микс_продаж!B5; E14</t>
      </text>
    </comment>
    <comment ref="C266" authorId="0" shapeId="0">
      <text>
        <t>======
ID#AAACHLjGwjs
Финмодель    (2026-09-15 12:46:16)
V5.1: Типы_продукта!A17:M17; Микс_продаж!B5; E14</t>
      </text>
    </comment>
    <comment ref="D266" authorId="0" shapeId="0">
      <text>
        <t>======
ID#AAACHLjGn8o
Финмодель    (2026-09-15 12:46:16)
V5.1: Типы_продукта!A17:M17; Микс_продаж!B5; E14</t>
      </text>
    </comment>
    <comment ref="E266" authorId="0" shapeId="0">
      <text>
        <t>======
ID#AAACHLjGwnI
Финмодель    (2026-09-15 12:46:16)
V5.1: Типы_продукта!A17:M17; Микс_продаж!B5; E14</t>
      </text>
    </comment>
    <comment ref="F266" authorId="0" shapeId="0">
      <text>
        <t>======
ID#AAACHLjGweo
Финмодель    (2026-09-15 12:46:16)
V5.1: Типы_продукта!A17:M17; Микс_продаж!B5; E14</t>
      </text>
    </comment>
    <comment ref="G266" authorId="0" shapeId="0">
      <text>
        <t>======
ID#AAACHLjGwf4
Финмодель    (2026-09-15 12:46:16)
V5.1: Типы_продукта!A17:M17; Микс_продаж!B5; E14</t>
      </text>
    </comment>
    <comment ref="H266" authorId="0" shapeId="0">
      <text>
        <t>======
ID#AAACHLjGwiw
Финмодель    (2026-09-15 12:46:16)
V5.1: Типы_продукта!A17:M17; Микс_продаж!B5; E14</t>
      </text>
    </comment>
    <comment ref="I266" authorId="0" shapeId="0">
      <text>
        <t>======
ID#AAACHLjGwlQ
Финмодель    (2026-09-15 12:46:16)
V5.1: Типы_продукта!A17:M17; Микс_продаж!B5; E14</t>
      </text>
    </comment>
    <comment ref="J266" authorId="0" shapeId="0">
      <text>
        <t>======
ID#AAACHLjGwgY
Финмодель    (2026-09-15 12:46:16)
V5.1: Типы_продукта!A17:M17; Микс_продаж!B5; E14</t>
      </text>
    </comment>
    <comment ref="K266" authorId="0" shapeId="0">
      <text>
        <t>======
ID#AAACHLjGoEA
Финмодель    (2026-09-15 12:46:16)
V5.1: Типы_продукта!A17:M17; Микс_продаж!B5; E14</t>
      </text>
    </comment>
    <comment ref="A267" authorId="0" shapeId="0">
      <text>
        <t>======
ID#AAACHLjGwgs
Финмодель    (2026-09-15 12:46:16)
V5.1: Типы_продукта!A18:M18; Микс_продаж!B6; B15</t>
      </text>
    </comment>
    <comment ref="B267" authorId="0" shapeId="0">
      <text>
        <t>======
ID#AAACHLjGwig
Финмодель    (2026-09-15 12:46:16)
V5.1: Типы_продукта!A18:M18; Микс_продаж!B6; B15</t>
      </text>
    </comment>
    <comment ref="C267" authorId="0" shapeId="0">
      <text>
        <t>======
ID#AAACHLjGwmI
Финмодель    (2026-09-15 12:46:16)
V5.1: Типы_продукта!A18:M18; Микс_продаж!B6; B15</t>
      </text>
    </comment>
    <comment ref="D267" authorId="0" shapeId="0">
      <text>
        <t>======
ID#AAACHLjGwfg
Финмодель    (2026-09-15 12:46:16)
V5.1: Типы_продукта!A18:M18; Микс_продаж!B6; B15</t>
      </text>
    </comment>
    <comment ref="E267" authorId="0" shapeId="0">
      <text>
        <t>======
ID#AAACHLjGwks
Финмодель    (2026-09-15 12:46:16)
V5.1: Типы_продукта!A18:M18; Микс_продаж!B6; B15</t>
      </text>
    </comment>
    <comment ref="F267" authorId="0" shapeId="0">
      <text>
        <t>======
ID#AAACHLjGwfU
Финмодель    (2026-09-15 12:46:16)
V5.1: Типы_продукта!A18:M18; Микс_продаж!B6; B15</t>
      </text>
    </comment>
    <comment ref="G267" authorId="0" shapeId="0">
      <text>
        <t>======
ID#AAACHLjGwfI
Финмодель    (2026-09-15 12:46:16)
V5.1: Типы_продукта!A18:M18; Микс_продаж!B6; B15</t>
      </text>
    </comment>
    <comment ref="H267" authorId="0" shapeId="0">
      <text>
        <t>======
ID#AAACHLjGoFk
Финмодель    (2026-09-15 12:46:16)
V5.1: Типы_продукта!A18:M18; Микс_продаж!B6; B15</t>
      </text>
    </comment>
    <comment ref="I267" authorId="0" shapeId="0">
      <text>
        <t>======
ID#AAACHLjGwdQ
Финмодель    (2026-09-15 12:46:16)
V5.1: Типы_продукта!A18:M18; Микс_продаж!B6; B15</t>
      </text>
    </comment>
    <comment ref="J267" authorId="0" shapeId="0">
      <text>
        <t>======
ID#AAACHLjGwkQ
Финмодель    (2026-09-15 12:46:16)
V5.1: Типы_продукта!A18:M18; Микс_продаж!B6; B15</t>
      </text>
    </comment>
    <comment ref="K267" authorId="0" shapeId="0">
      <text>
        <t>======
ID#AAACHLjGoB4
Финмодель    (2026-09-15 12:46:16)
V5.1: Типы_продукта!A18:M18; Микс_продаж!B6; B15</t>
      </text>
    </comment>
    <comment ref="A268" authorId="0" shapeId="0">
      <text>
        <t>======
ID#AAACHLjGoCg
Финмодель    (2026-09-15 12:46:16)
V5.1: Типы_продукта!A19:M19; Микс_продаж!B6; C15</t>
      </text>
    </comment>
    <comment ref="B268" authorId="0" shapeId="0">
      <text>
        <t>======
ID#AAACHLjGwiQ
Финмодель    (2026-09-15 12:46:16)
V5.1: Типы_продукта!A19:M19; Микс_продаж!B6; C15</t>
      </text>
    </comment>
    <comment ref="C268" authorId="0" shapeId="0">
      <text>
        <t>======
ID#AAACHLjGwgM
Финмодель    (2026-09-15 12:46:16)
V5.1: Типы_продукта!A19:M19; Микс_продаж!B6; C15</t>
      </text>
    </comment>
    <comment ref="D268" authorId="0" shapeId="0">
      <text>
        <t>======
ID#AAACHLjGoBo
Финмодель    (2026-09-15 12:46:16)
V5.1: Типы_продукта!A19:M19; Микс_продаж!B6; C15</t>
      </text>
    </comment>
    <comment ref="E268" authorId="0" shapeId="0">
      <text>
        <t>======
ID#AAACHLjGn7w
Финмодель    (2026-09-15 12:46:16)
V5.1: Типы_продукта!A19:M19; Микс_продаж!B6; C15</t>
      </text>
    </comment>
    <comment ref="F268" authorId="0" shapeId="0">
      <text>
        <t>======
ID#AAACHLjGwhg
Финмодель    (2026-09-15 12:46:16)
V5.1: Типы_продукта!A19:M19; Микс_продаж!B6; C15</t>
      </text>
    </comment>
    <comment ref="G268" authorId="0" shapeId="0">
      <text>
        <t>======
ID#AAACHLjGn8s
Финмодель    (2026-09-15 12:46:16)
V5.1: Типы_продукта!A19:M19; Микс_продаж!B6; C15</t>
      </text>
    </comment>
    <comment ref="H268" authorId="0" shapeId="0">
      <text>
        <t>======
ID#AAACHLjGwmU
Финмодель    (2026-09-15 12:46:16)
V5.1: Типы_продукта!A19:M19; Микс_продаж!B6; C15</t>
      </text>
    </comment>
    <comment ref="I268" authorId="0" shapeId="0">
      <text>
        <t>======
ID#AAACHLjGoDo
Финмодель    (2026-09-15 12:46:16)
V5.1: Типы_продукта!A19:M19; Микс_продаж!B6; C15</t>
      </text>
    </comment>
    <comment ref="J268" authorId="0" shapeId="0">
      <text>
        <t>======
ID#AAACHLjGn9o
Финмодель    (2026-09-15 12:46:16)
V5.1: Типы_продукта!A19:M19; Микс_продаж!B6; C15</t>
      </text>
    </comment>
    <comment ref="K268" authorId="0" shapeId="0">
      <text>
        <t>======
ID#AAACHLjGwhc
Финмодель    (2026-09-15 12:46:16)
V5.1: Типы_продукта!A19:M19; Микс_продаж!B6; C15</t>
      </text>
    </comment>
    <comment ref="A269" authorId="0" shapeId="0">
      <text>
        <t>======
ID#AAACHLjGoDA
Финмодель    (2026-09-15 12:46:16)
V5.1: Типы_продукта!A20:M20; Микс_продаж!B6; D15</t>
      </text>
    </comment>
    <comment ref="B269" authorId="0" shapeId="0">
      <text>
        <t>======
ID#AAACHLjGwmM
Финмодель    (2026-09-15 12:46:16)
V5.1: Типы_продукта!A20:M20; Микс_продаж!B6; D15</t>
      </text>
    </comment>
    <comment ref="C269" authorId="0" shapeId="0">
      <text>
        <t>======
ID#AAACHLjGoCk
Финмодель    (2026-09-15 12:46:16)
V5.1: Типы_продукта!A20:M20; Микс_продаж!B6; D15</t>
      </text>
    </comment>
    <comment ref="D269" authorId="0" shapeId="0">
      <text>
        <t>======
ID#AAACHLjGoBM
Финмодель    (2026-09-15 12:46:16)
V5.1: Типы_продукта!A20:M20; Микс_продаж!B6; D15</t>
      </text>
    </comment>
    <comment ref="E269" authorId="0" shapeId="0">
      <text>
        <t>======
ID#AAACHLjGwoo
Финмодель    (2026-09-15 12:46:16)
V5.1: Типы_продукта!A20:M20; Микс_продаж!B6; D15</t>
      </text>
    </comment>
    <comment ref="F269" authorId="0" shapeId="0">
      <text>
        <t>======
ID#AAACHLjGweI
Финмодель    (2026-09-15 12:46:16)
V5.1: Типы_продукта!A20:M20; Микс_продаж!B6; D15</t>
      </text>
    </comment>
    <comment ref="G269" authorId="0" shapeId="0">
      <text>
        <t>======
ID#AAACHLjGwd0
Финмодель    (2026-09-15 12:46:16)
V5.1: Типы_продукта!A20:M20; Микс_продаж!B6; D15</t>
      </text>
    </comment>
    <comment ref="H269" authorId="0" shapeId="0">
      <text>
        <t>======
ID#AAACHLjGwkY
Финмодель    (2026-09-15 12:46:16)
V5.1: Типы_продукта!A20:M20; Микс_продаж!B6; D15</t>
      </text>
    </comment>
    <comment ref="I269" authorId="0" shapeId="0">
      <text>
        <t>======
ID#AAACHLjGn_Y
Финмодель    (2026-09-15 12:46:16)
V5.1: Типы_продукта!A20:M20; Микс_продаж!B6; D15</t>
      </text>
    </comment>
    <comment ref="J269" authorId="0" shapeId="0">
      <text>
        <t>======
ID#AAACHLjGoAg
Финмодель    (2026-09-15 12:46:16)
V5.1: Типы_продукта!A20:M20; Микс_продаж!B6; D15</t>
      </text>
    </comment>
    <comment ref="K269" authorId="0" shapeId="0">
      <text>
        <t>======
ID#AAACHLjGwk4
Финмодель    (2026-09-15 12:46:16)
V5.1: Типы_продукта!A20:M20; Микс_продаж!B6; D15</t>
      </text>
    </comment>
    <comment ref="A270" authorId="0" shapeId="0">
      <text>
        <t>======
ID#AAACHLjGn_M
Финмодель    (2026-09-15 12:46:16)
V5.1: Типы_продукта!A21:M21; Микс_продаж!B6; E15</t>
      </text>
    </comment>
    <comment ref="B270" authorId="0" shapeId="0">
      <text>
        <t>======
ID#AAACHLjGwnQ
Финмодель    (2026-09-15 12:46:16)
V5.1: Типы_продукта!A21:M21; Микс_продаж!B6; E15</t>
      </text>
    </comment>
    <comment ref="C270" authorId="0" shapeId="0">
      <text>
        <t>======
ID#AAACHLjGwhI
Финмодель    (2026-09-15 12:46:16)
V5.1: Типы_продукта!A21:M21; Микс_продаж!B6; E15</t>
      </text>
    </comment>
    <comment ref="D270" authorId="0" shapeId="0">
      <text>
        <t>======
ID#AAACHLjGn9s
Финмодель    (2026-09-15 12:46:16)
V5.1: Типы_продукта!A21:M21; Микс_продаж!B6; E15</t>
      </text>
    </comment>
    <comment ref="E270" authorId="0" shapeId="0">
      <text>
        <t>======
ID#AAACHLjGn9E
Финмодель    (2026-09-15 12:46:16)
V5.1: Типы_продукта!A21:M21; Микс_продаж!B6; E15</t>
      </text>
    </comment>
    <comment ref="F270" authorId="0" shapeId="0">
      <text>
        <t>======
ID#AAACHLjGwe0
Финмодель    (2026-09-15 12:46:16)
V5.1: Типы_продукта!A21:M21; Микс_продаж!B6; E15</t>
      </text>
    </comment>
    <comment ref="G270" authorId="0" shapeId="0">
      <text>
        <t>======
ID#AAACHLjGwh8
Финмодель    (2026-09-15 12:46:16)
V5.1: Типы_продукта!A21:M21; Микс_продаж!B6; E15</t>
      </text>
    </comment>
    <comment ref="H270" authorId="0" shapeId="0">
      <text>
        <t>======
ID#AAACHLjGwlc
Финмодель    (2026-09-15 12:46:16)
V5.1: Типы_продукта!A21:M21; Микс_продаж!B6; E15</t>
      </text>
    </comment>
    <comment ref="I270" authorId="0" shapeId="0">
      <text>
        <t>======
ID#AAACHLjGoDQ
Финмодель    (2026-09-15 12:46:16)
V5.1: Типы_продукта!A21:M21; Микс_продаж!B6; E15</t>
      </text>
    </comment>
    <comment ref="J270" authorId="0" shapeId="0">
      <text>
        <t>======
ID#AAACHLjGn7Y
Финмодель    (2026-09-15 12:46:16)
V5.1: Типы_продукта!A21:M21; Микс_продаж!B6; E15</t>
      </text>
    </comment>
    <comment ref="K270" authorId="0" shapeId="0">
      <text>
        <t>======
ID#AAACHLjGoF0
Финмодель    (2026-09-15 12:46:16)
V5.1: Типы_продукта!A21:M21; Микс_продаж!B6; E15</t>
      </text>
    </comment>
    <comment ref="A271" authorId="0" shapeId="0">
      <text>
        <t>======
ID#AAACHLjGwfQ
Финмодель    (2026-09-15 12:46:16)
V5.1: Типы_продукта!A22:M22; Микс_продаж!B7; B16</t>
      </text>
    </comment>
    <comment ref="B271" authorId="0" shapeId="0">
      <text>
        <t>======
ID#AAACHLjGoEM
Финмодель    (2026-09-15 12:46:16)
V5.1: Типы_продукта!A22:M22; Микс_продаж!B7; B16</t>
      </text>
    </comment>
    <comment ref="C271" authorId="0" shapeId="0">
      <text>
        <t>======
ID#AAACHLjGweU
Финмодель    (2026-09-15 12:46:16)
V5.1: Типы_продукта!A22:M22; Микс_продаж!B7; B16</t>
      </text>
    </comment>
    <comment ref="D271" authorId="0" shapeId="0">
      <text>
        <t>======
ID#AAACHLjGn8Q
Финмодель    (2026-09-15 12:46:16)
V5.1: Типы_продукта!A22:M22; Микс_продаж!B7; B16</t>
      </text>
    </comment>
    <comment ref="E271" authorId="0" shapeId="0">
      <text>
        <t>======
ID#AAACHLjGn8Y
Финмодель    (2026-09-15 12:46:16)
V5.1: Типы_продукта!A22:M22; Микс_продаж!B7; B16</t>
      </text>
    </comment>
    <comment ref="F271" authorId="0" shapeId="0">
      <text>
        <t>======
ID#AAACHLjGwdE
Финмодель    (2026-09-15 12:46:16)
V5.1: Типы_продукта!A22:M22; Микс_продаж!B7; B16</t>
      </text>
    </comment>
    <comment ref="G271" authorId="0" shapeId="0">
      <text>
        <t>======
ID#AAACHLjGwfA
Финмодель    (2026-09-15 12:46:16)
V5.1: Типы_продукта!A22:M22; Микс_продаж!B7; B16</t>
      </text>
    </comment>
    <comment ref="H271" authorId="0" shapeId="0">
      <text>
        <t>======
ID#AAACHLjGn_o
Финмодель    (2026-09-15 12:46:16)
V5.1: Типы_продукта!A22:M22; Микс_продаж!B7; B16</t>
      </text>
    </comment>
    <comment ref="I271" authorId="0" shapeId="0">
      <text>
        <t>======
ID#AAACHLjGoDs
Финмодель    (2026-09-15 12:46:16)
V5.1: Типы_продукта!A22:M22; Микс_продаж!B7; B16</t>
      </text>
    </comment>
    <comment ref="J271" authorId="0" shapeId="0">
      <text>
        <t>======
ID#AAACHLjGwi8
Финмодель    (2026-09-15 12:46:16)
V5.1: Типы_продукта!A22:M22; Микс_продаж!B7; B16</t>
      </text>
    </comment>
    <comment ref="K271" authorId="0" shapeId="0">
      <text>
        <t>======
ID#AAACHLjGn8A
Финмодель    (2026-09-15 12:46:16)
V5.1: Типы_продукта!A22:M22; Микс_продаж!B7; B16</t>
      </text>
    </comment>
    <comment ref="A272" authorId="0" shapeId="0">
      <text>
        <t>======
ID#AAACHLjGwnw
Финмодель    (2026-09-15 12:46:16)
V5.1: Типы_продукта!A23:M23; Микс_продаж!B7; C16</t>
      </text>
    </comment>
    <comment ref="B272" authorId="0" shapeId="0">
      <text>
        <t>======
ID#AAACHLjGoAk
Финмодель    (2026-09-15 12:46:16)
V5.1: Типы_продукта!A23:M23; Микс_продаж!B7; C16</t>
      </text>
    </comment>
    <comment ref="C272" authorId="0" shapeId="0">
      <text>
        <t>======
ID#AAACHLjGwlA
Финмодель    (2026-09-15 12:46:16)
V5.1: Типы_продукта!A23:M23; Микс_продаж!B7; C16</t>
      </text>
    </comment>
    <comment ref="D272" authorId="0" shapeId="0">
      <text>
        <t>======
ID#AAACHLjGoDU
Финмодель    (2026-09-15 12:46:16)
V5.1: Типы_продукта!A23:M23; Микс_продаж!B7; C16</t>
      </text>
    </comment>
    <comment ref="E272" authorId="0" shapeId="0">
      <text>
        <t>======
ID#AAACHLjGn_A
Финмодель    (2026-09-15 12:46:16)
V5.1: Типы_продукта!A23:M23; Микс_продаж!B7; C16</t>
      </text>
    </comment>
    <comment ref="F272" authorId="0" shapeId="0">
      <text>
        <t>======
ID#AAACHLjGwkg
Финмодель    (2026-09-15 12:46:16)
V5.1: Типы_продукта!A23:M23; Микс_продаж!B7; C16</t>
      </text>
    </comment>
    <comment ref="G272" authorId="0" shapeId="0">
      <text>
        <t>======
ID#AAACHLjGn9U
Финмодель    (2026-09-15 12:46:16)
V5.1: Типы_продукта!A23:M23; Микс_продаж!B7; C16</t>
      </text>
    </comment>
    <comment ref="H272" authorId="0" shapeId="0">
      <text>
        <t>======
ID#AAACHLjGwjY
Финмодель    (2026-09-15 12:46:16)
V5.1: Типы_продукта!A23:M23; Микс_продаж!B7; C16</t>
      </text>
    </comment>
    <comment ref="I272" authorId="0" shapeId="0">
      <text>
        <t>======
ID#AAACHLjGwpY
Финмодель    (2026-09-15 12:46:16)
V5.1: Типы_продукта!A23:M23; Микс_продаж!B7; C16</t>
      </text>
    </comment>
    <comment ref="J272" authorId="0" shapeId="0">
      <text>
        <t>======
ID#AAACHLjGwf0
Финмодель    (2026-09-15 12:46:16)
V5.1: Типы_продукта!A23:M23; Микс_продаж!B7; C16</t>
      </text>
    </comment>
    <comment ref="K272" authorId="0" shapeId="0">
      <text>
        <t>======
ID#AAACHLjGn7M
Финмодель    (2026-09-15 12:46:16)
V5.1: Типы_продукта!A23:M23; Микс_продаж!B7; C16</t>
      </text>
    </comment>
    <comment ref="A273" authorId="0" shapeId="0">
      <text>
        <t>======
ID#AAACHLjGn9Y
Финмодель    (2026-09-15 12:46:16)
V5.1: Типы_продукта!A24:M24; Микс_продаж!B7; D16</t>
      </text>
    </comment>
    <comment ref="B273" authorId="0" shapeId="0">
      <text>
        <t>======
ID#AAACHLjGoA4
Финмодель    (2026-09-15 12:46:16)
V5.1: Типы_продукта!A24:M24; Микс_продаж!B7; D16</t>
      </text>
    </comment>
    <comment ref="C273" authorId="0" shapeId="0">
      <text>
        <t>======
ID#AAACHLjGwcc
Финмодель    (2026-09-15 12:46:16)
V5.1: Типы_продукта!A24:M24; Микс_продаж!B7; D16</t>
      </text>
    </comment>
    <comment ref="D273" authorId="0" shapeId="0">
      <text>
        <t>======
ID#AAACHLjGn74
Финмодель    (2026-09-15 12:46:16)
V5.1: Типы_продукта!A24:M24; Микс_продаж!B7; D16</t>
      </text>
    </comment>
    <comment ref="E273" authorId="0" shapeId="0">
      <text>
        <t>======
ID#AAACHLjGwdw
Финмодель    (2026-09-15 12:46:16)
V5.1: Типы_продукта!A24:M24; Микс_продаж!B7; D16</t>
      </text>
    </comment>
    <comment ref="F273" authorId="0" shapeId="0">
      <text>
        <t>======
ID#AAACHLjGoCA
Финмодель    (2026-09-15 12:46:16)
V5.1: Типы_продукта!A24:M24; Микс_продаж!B7; D16</t>
      </text>
    </comment>
    <comment ref="G273" authorId="0" shapeId="0">
      <text>
        <t>======
ID#AAACHLjGn78
Финмодель    (2026-09-15 12:46:16)
V5.1: Типы_продукта!A24:M24; Микс_продаж!B7; D16</t>
      </text>
    </comment>
    <comment ref="H273" authorId="0" shapeId="0">
      <text>
        <t>======
ID#AAACHLjGwcs
Финмодель    (2026-09-15 12:46:16)
V5.1: Типы_продукта!A24:M24; Микс_продаж!B7; D16</t>
      </text>
    </comment>
    <comment ref="I273" authorId="0" shapeId="0">
      <text>
        <t>======
ID#AAACHLjGwpA
Финмодель    (2026-09-15 12:46:16)
V5.1: Типы_продукта!A24:M24; Микс_продаж!B7; D16</t>
      </text>
    </comment>
    <comment ref="J273" authorId="0" shapeId="0">
      <text>
        <t>======
ID#AAACHLjGwnU
Финмодель    (2026-09-15 12:46:16)
V5.1: Типы_продукта!A24:M24; Микс_продаж!B7; D16</t>
      </text>
    </comment>
    <comment ref="K273" authorId="0" shapeId="0">
      <text>
        <t>======
ID#AAACHLjGoC0
Финмодель    (2026-09-15 12:46:16)
V5.1: Типы_продукта!A24:M24; Микс_продаж!B7; D16</t>
      </text>
    </comment>
    <comment ref="A274" authorId="0" shapeId="0">
      <text>
        <t>======
ID#AAACHLjGwnk
Финмодель    (2026-09-15 12:46:16)
V5.1: Типы_продукта!A25:M25; Микс_продаж!B7; E16</t>
      </text>
    </comment>
    <comment ref="B274" authorId="0" shapeId="0">
      <text>
        <t>======
ID#AAACHLjGwiA
Финмодель    (2026-09-15 12:46:16)
V5.1: Типы_продукта!A25:M25; Микс_продаж!B7; E16</t>
      </text>
    </comment>
    <comment ref="C274" authorId="0" shapeId="0">
      <text>
        <t>======
ID#AAACHLjGoEo
Финмодель    (2026-09-15 12:46:16)
V5.1: Типы_продукта!A25:M25; Микс_продаж!B7; E16</t>
      </text>
    </comment>
    <comment ref="D274" authorId="0" shapeId="0">
      <text>
        <t>======
ID#AAACHLjGwk8
Финмодель    (2026-09-15 12:46:16)
V5.1: Типы_продукта!A25:M25; Микс_продаж!B7; E16</t>
      </text>
    </comment>
    <comment ref="E274" authorId="0" shapeId="0">
      <text>
        <t>======
ID#AAACHLjGwf8
Финмодель    (2026-09-15 12:46:16)
V5.1: Типы_продукта!A25:M25; Микс_продаж!B7; E16</t>
      </text>
    </comment>
    <comment ref="F274" authorId="0" shapeId="0">
      <text>
        <t>======
ID#AAACHLjGn-o
Финмодель    (2026-09-15 12:46:16)
V5.1: Типы_продукта!A25:M25; Микс_продаж!B7; E16</t>
      </text>
    </comment>
    <comment ref="G274" authorId="0" shapeId="0">
      <text>
        <t>======
ID#AAACHLjGwj4
Финмодель    (2026-09-15 12:46:16)
V5.1: Типы_продукта!A25:M25; Микс_продаж!B7; E16</t>
      </text>
    </comment>
    <comment ref="H274" authorId="0" shapeId="0">
      <text>
        <t>======
ID#AAACHLjGwjQ
Финмодель    (2026-09-15 12:46:16)
V5.1: Типы_продукта!A25:M25; Микс_продаж!B7; E16</t>
      </text>
    </comment>
    <comment ref="I274" authorId="0" shapeId="0">
      <text>
        <t>======
ID#AAACHLjGwgA
Финмодель    (2026-09-15 12:46:16)
V5.1: Типы_продукта!A25:M25; Микс_продаж!B7; E16</t>
      </text>
    </comment>
    <comment ref="J274" authorId="0" shapeId="0">
      <text>
        <t>======
ID#AAACHLjGn8g
Финмодель    (2026-09-15 12:46:16)
V5.1: Типы_продукта!A25:M25; Микс_продаж!B7; E16</t>
      </text>
    </comment>
    <comment ref="K274" authorId="0" shapeId="0">
      <text>
        <t>======
ID#AAACHLjGoD0
Финмодель    (2026-09-15 12:46:16)
V5.1: Типы_продукта!A25:M25; Микс_продаж!B7; E16</t>
      </text>
    </comment>
    <comment ref="A275" authorId="0" shapeId="0">
      <text>
        <t>======
ID#AAACHLjGoDc
Финмодель    (2026-09-15 12:46:16)
V5.1: Типы_продукта!A26:M26; Микс_продаж!B8; B17</t>
      </text>
    </comment>
    <comment ref="B275" authorId="0" shapeId="0">
      <text>
        <t>======
ID#AAACHLjGwh0
Финмодель    (2026-09-15 12:46:16)
V5.1: Типы_продукта!A26:M26; Микс_продаж!B8; B17</t>
      </text>
    </comment>
    <comment ref="C275" authorId="0" shapeId="0">
      <text>
        <t>======
ID#AAACHLjGwmg
Финмодель    (2026-09-15 12:46:16)
V5.1: Типы_продукта!A26:M26; Микс_продаж!B8; B17</t>
      </text>
    </comment>
    <comment ref="D275" authorId="0" shapeId="0">
      <text>
        <t>======
ID#AAACHLjGn-A
Финмодель    (2026-09-15 12:46:16)
V5.1: Типы_продукта!A26:M26; Микс_продаж!B8; B17</t>
      </text>
    </comment>
    <comment ref="E275" authorId="0" shapeId="0">
      <text>
        <t>======
ID#AAACHLjGn-I
Финмодель    (2026-09-15 12:46:16)
V5.1: Типы_продукта!A26:M26; Микс_продаж!B8; B17</t>
      </text>
    </comment>
    <comment ref="F275" authorId="0" shapeId="0">
      <text>
        <t>======
ID#AAACHLjGoCU
Финмодель    (2026-09-15 12:46:16)
V5.1: Типы_продукта!A26:M26; Микс_продаж!B8; B17</t>
      </text>
    </comment>
    <comment ref="G275" authorId="0" shapeId="0">
      <text>
        <t>======
ID#AAACHLjGwiU
Финмодель    (2026-09-15 12:46:16)
V5.1: Типы_продукта!A26:M26; Микс_продаж!B8; B17</t>
      </text>
    </comment>
    <comment ref="H275" authorId="0" shapeId="0">
      <text>
        <t>======
ID#AAACHLjGwmo
Финмодель    (2026-09-15 12:46:16)
V5.1: Типы_продукта!A26:M26; Микс_продаж!B8; B17</t>
      </text>
    </comment>
    <comment ref="I275" authorId="0" shapeId="0">
      <text>
        <t>======
ID#AAACHLjGwgU
Финмодель    (2026-09-15 12:46:16)
V5.1: Типы_продукта!A26:M26; Микс_продаж!B8; B17</t>
      </text>
    </comment>
    <comment ref="J275" authorId="0" shapeId="0">
      <text>
        <t>======
ID#AAACHLjGwlE
Финмодель    (2026-09-15 12:46:16)
V5.1: Типы_продукта!A26:M26; Микс_продаж!B8; B17</t>
      </text>
    </comment>
    <comment ref="K275" authorId="0" shapeId="0">
      <text>
        <t>======
ID#AAACHLjGn-8
Финмодель    (2026-09-15 12:46:16)
V5.1: Типы_продукта!A26:M26; Микс_продаж!B8; B17</t>
      </text>
    </comment>
    <comment ref="A276" authorId="0" shapeId="0">
      <text>
        <t>======
ID#AAACHLjGwgE
Финмодель    (2026-09-15 12:46:16)
V5.1: Типы_продукта!A27:M27; Микс_продаж!B8; C17</t>
      </text>
    </comment>
    <comment ref="B276" authorId="0" shapeId="0">
      <text>
        <t>======
ID#AAACHLjGoEQ
Финмодель    (2026-09-15 12:46:16)
V5.1: Типы_продукта!A27:M27; Микс_продаж!B8; C17</t>
      </text>
    </comment>
    <comment ref="C276" authorId="0" shapeId="0">
      <text>
        <t>======
ID#AAACHLjGweA
Финмодель    (2026-09-15 12:46:16)
V5.1: Типы_продукта!A27:M27; Микс_продаж!B8; C17</t>
      </text>
    </comment>
    <comment ref="D276" authorId="0" shapeId="0">
      <text>
        <t>======
ID#AAACHLjGoC8
Финмодель    (2026-09-15 12:46:16)
V5.1: Типы_продукта!A27:M27; Микс_продаж!B8; C17</t>
      </text>
    </comment>
    <comment ref="E276" authorId="0" shapeId="0">
      <text>
        <t>======
ID#AAACHLjGwcM
Финмодель    (2026-09-15 12:46:16)
V5.1: Типы_продукта!A27:M27; Микс_продаж!B8; C17</t>
      </text>
    </comment>
    <comment ref="F276" authorId="0" shapeId="0">
      <text>
        <t>======
ID#AAACHLjGwjA
Финмодель    (2026-09-15 12:46:16)
V5.1: Типы_продукта!A27:M27; Микс_продаж!B8; C17</t>
      </text>
    </comment>
    <comment ref="G276" authorId="0" shapeId="0">
      <text>
        <t>======
ID#AAACHLjGoAY
Финмодель    (2026-09-15 12:46:16)
V5.1: Типы_продукта!A27:M27; Микс_продаж!B8; C17</t>
      </text>
    </comment>
    <comment ref="H276" authorId="0" shapeId="0">
      <text>
        <t>======
ID#AAACHLjGoDw
Финмодель    (2026-09-15 12:46:16)
V5.1: Типы_продукта!A27:M27; Микс_продаж!B8; C17</t>
      </text>
    </comment>
    <comment ref="I276" authorId="0" shapeId="0">
      <text>
        <t>======
ID#AAACHLjGwhA
Финмодель    (2026-09-15 12:46:16)
V5.1: Типы_продукта!A27:M27; Микс_продаж!B8; C17</t>
      </text>
    </comment>
    <comment ref="J276" authorId="0" shapeId="0">
      <text>
        <t>======
ID#AAACHLjGwew
Финмодель    (2026-09-15 12:46:16)
V5.1: Типы_продукта!A27:M27; Микс_продаж!B8; C17</t>
      </text>
    </comment>
    <comment ref="K276" authorId="0" shapeId="0">
      <text>
        <t>======
ID#AAACHLjGwpI
Финмодель    (2026-09-15 12:46:16)
V5.1: Типы_продукта!A27:M27; Микс_продаж!B8; C17</t>
      </text>
    </comment>
    <comment ref="A277" authorId="0" shapeId="0">
      <text>
        <t>======
ID#AAACHLjGwkM
Финмодель    (2026-09-15 12:46:16)
V5.1: Типы_продукта!A28:M28; Микс_продаж!B8; D17</t>
      </text>
    </comment>
    <comment ref="B277" authorId="0" shapeId="0">
      <text>
        <t>======
ID#AAACHLjGwng
Финмодель    (2026-09-15 12:46:16)
V5.1: Типы_продукта!A28:M28; Микс_продаж!B8; D17</t>
      </text>
    </comment>
    <comment ref="C277" authorId="0" shapeId="0">
      <text>
        <t>======
ID#AAACHLjGwdc
Финмодель    (2026-09-15 12:46:16)
V5.1: Типы_продукта!A28:M28; Микс_продаж!B8; D17</t>
      </text>
    </comment>
    <comment ref="D277" authorId="0" shapeId="0">
      <text>
        <t>======
ID#AAACHLjGwgQ
Финмодель    (2026-09-15 12:46:16)
V5.1: Типы_продукта!A28:M28; Микс_продаж!B8; D17</t>
      </text>
    </comment>
    <comment ref="E277" authorId="0" shapeId="0">
      <text>
        <t>======
ID#AAACHLjGwiE
Финмодель    (2026-09-15 12:46:16)
V5.1: Типы_продукта!A28:M28; Микс_продаж!B8; D17</t>
      </text>
    </comment>
    <comment ref="F277" authorId="0" shapeId="0">
      <text>
        <t>======
ID#AAACHLjGwpE
Финмодель    (2026-09-15 12:46:16)
V5.1: Типы_продукта!A28:M28; Микс_продаж!B8; D17</t>
      </text>
    </comment>
    <comment ref="G277" authorId="0" shapeId="0">
      <text>
        <t>======
ID#AAACHLjGwnA
Финмодель    (2026-09-15 12:46:16)
V5.1: Типы_продукта!A28:M28; Микс_продаж!B8; D17</t>
      </text>
    </comment>
    <comment ref="H277" authorId="0" shapeId="0">
      <text>
        <t>======
ID#AAACHLjGwd4
Финмодель    (2026-09-15 12:46:16)
V5.1: Типы_продукта!A28:M28; Микс_продаж!B8; D17</t>
      </text>
    </comment>
    <comment ref="I277" authorId="0" shapeId="0">
      <text>
        <t>======
ID#AAACHLjGn9k
Финмодель    (2026-09-15 12:46:16)
V5.1: Типы_продукта!A28:M28; Микс_продаж!B8; D17</t>
      </text>
    </comment>
    <comment ref="J277" authorId="0" shapeId="0">
      <text>
        <t>======
ID#AAACHLjGwhE
Финмодель    (2026-09-15 12:46:16)
V5.1: Типы_продукта!A28:M28; Микс_продаж!B8; D17</t>
      </text>
    </comment>
    <comment ref="K277" authorId="0" shapeId="0">
      <text>
        <t>======
ID#AAACHLjGwcw
Финмодель    (2026-09-15 12:46:16)
V5.1: Типы_продукта!A28:M28; Микс_продаж!B8; D17</t>
      </text>
    </comment>
    <comment ref="A278" authorId="0" shapeId="0">
      <text>
        <t>======
ID#AAACHLjGwe8
Финмодель    (2026-09-15 12:46:16)
V5.1: Типы_продукта!A29:M29; Микс_продаж!B8; E17</t>
      </text>
    </comment>
    <comment ref="B278" authorId="0" shapeId="0">
      <text>
        <t>======
ID#AAACHLjGoA8
Финмодель    (2026-09-15 12:46:16)
V5.1: Типы_продукта!A29:M29; Микс_продаж!B8; E17</t>
      </text>
    </comment>
    <comment ref="C278" authorId="0" shapeId="0">
      <text>
        <t>======
ID#AAACHLjGwoQ
Финмодель    (2026-09-15 12:46:16)
V5.1: Типы_продукта!A29:M29; Микс_продаж!B8; E17</t>
      </text>
    </comment>
    <comment ref="D278" authorId="0" shapeId="0">
      <text>
        <t>======
ID#AAACHLjGwe4
Финмодель    (2026-09-15 12:46:16)
V5.1: Типы_продукта!A29:M29; Микс_продаж!B8; E17</t>
      </text>
    </comment>
    <comment ref="E278" authorId="0" shapeId="0">
      <text>
        <t>======
ID#AAACHLjGwlk
Финмодель    (2026-09-15 12:46:16)
V5.1: Типы_продукта!A29:M29; Микс_продаж!B8; E17</t>
      </text>
    </comment>
    <comment ref="F278" authorId="0" shapeId="0">
      <text>
        <t>======
ID#AAACHLjGoE0
Финмодель    (2026-09-15 12:46:16)
V5.1: Типы_продукта!A29:M29; Микс_продаж!B8; E17</t>
      </text>
    </comment>
    <comment ref="G278" authorId="0" shapeId="0">
      <text>
        <t>======
ID#AAACHLjGwfo
Финмодель    (2026-09-15 12:46:16)
V5.1: Типы_продукта!A29:M29; Микс_продаж!B8; E17</t>
      </text>
    </comment>
    <comment ref="H278" authorId="0" shapeId="0">
      <text>
        <t>======
ID#AAACHLjGn8I
Финмодель    (2026-09-15 12:46:16)
V5.1: Типы_продукта!A29:M29; Микс_продаж!B8; E17</t>
      </text>
    </comment>
    <comment ref="I278" authorId="0" shapeId="0">
      <text>
        <t>======
ID#AAACHLjGwcY
Финмодель    (2026-09-15 12:46:16)
V5.1: Типы_продукта!A29:M29; Микс_продаж!B8; E17</t>
      </text>
    </comment>
    <comment ref="J278" authorId="0" shapeId="0">
      <text>
        <t>======
ID#AAACHLjGweg
Финмодель    (2026-09-15 12:46:16)
V5.1: Типы_продукта!A29:M29; Микс_продаж!B8; E17</t>
      </text>
    </comment>
    <comment ref="K278" authorId="0" shapeId="0">
      <text>
        <t>======
ID#AAACHLjGn7s
Финмодель    (2026-09-15 12:46:16)
V5.1: Типы_продукта!A29:M29; Микс_продаж!B8; E17</t>
      </text>
    </comment>
    <comment ref="A279" authorId="0" shapeId="0">
      <text>
        <t>======
ID#AAACHLjGwc0
Финмодель    (2026-09-15 12:46:16)
V5.1: Типы_продукта!A30:M30; Микс_продаж!B9; B18</t>
      </text>
    </comment>
    <comment ref="B279" authorId="0" shapeId="0">
      <text>
        <t>======
ID#AAACHLjGoCE
Финмодель    (2026-09-15 12:46:16)
V5.1: Типы_продукта!A30:M30; Микс_продаж!B9; B18</t>
      </text>
    </comment>
    <comment ref="C279" authorId="0" shapeId="0">
      <text>
        <t>======
ID#AAACHLjGwms
Финмодель    (2026-09-15 12:46:16)
V5.1: Типы_продукта!A30:M30; Микс_продаж!B9; B18</t>
      </text>
    </comment>
    <comment ref="D279" authorId="0" shapeId="0">
      <text>
        <t>======
ID#AAACHLjGweY
Финмодель    (2026-09-15 12:46:16)
V5.1: Типы_продукта!A30:M30; Микс_продаж!B9; B18</t>
      </text>
    </comment>
    <comment ref="E279" authorId="0" shapeId="0">
      <text>
        <t>======
ID#AAACHLjGoBU
Финмодель    (2026-09-15 12:46:16)
V5.1: Типы_продукта!A30:M30; Микс_продаж!B9; B18</t>
      </text>
    </comment>
    <comment ref="F279" authorId="0" shapeId="0">
      <text>
        <t>======
ID#AAACHLjGoEE
Финмодель    (2026-09-15 12:46:16)
V5.1: Типы_продукта!A30:M30; Микс_продаж!B9; B18</t>
      </text>
    </comment>
    <comment ref="G279" authorId="0" shapeId="0">
      <text>
        <t>======
ID#AAACHLjGn9M
Финмодель    (2026-09-15 12:46:16)
V5.1: Типы_продукта!A30:M30; Микс_продаж!B9; B18</t>
      </text>
    </comment>
    <comment ref="H279" authorId="0" shapeId="0">
      <text>
        <t>======
ID#AAACHLjGwnY
Финмодель    (2026-09-15 12:46:16)
V5.1: Типы_продукта!A30:M30; Микс_продаж!B9; B18</t>
      </text>
    </comment>
    <comment ref="I279" authorId="0" shapeId="0">
      <text>
        <t>======
ID#AAACHLjGwc8
Финмодель    (2026-09-15 12:46:16)
V5.1: Типы_продукта!A30:M30; Микс_продаж!B9; B18</t>
      </text>
    </comment>
    <comment ref="J279" authorId="0" shapeId="0">
      <text>
        <t>======
ID#AAACHLjGwjg
Финмодель    (2026-09-15 12:46:16)
V5.1: Типы_продукта!A30:M30; Микс_продаж!B9; B18</t>
      </text>
    </comment>
    <comment ref="K279" authorId="0" shapeId="0">
      <text>
        <t>======
ID#AAACHLjGwhQ
Финмодель    (2026-09-15 12:46:16)
V5.1: Типы_продукта!A30:M30; Микс_продаж!B9; B18</t>
      </text>
    </comment>
    <comment ref="A280" authorId="0" shapeId="0">
      <text>
        <t>======
ID#AAACHLjGoE8
Финмодель    (2026-09-15 12:46:16)
V5.1: Типы_продукта!A31:M31; Микс_продаж!B9; C18</t>
      </text>
    </comment>
    <comment ref="B280" authorId="0" shapeId="0">
      <text>
        <t>======
ID#AAACHLjGwc4
Финмодель    (2026-09-15 12:46:16)
V5.1: Типы_продукта!A31:M31; Микс_продаж!B9; C18</t>
      </text>
    </comment>
    <comment ref="C280" authorId="0" shapeId="0">
      <text>
        <t>======
ID#AAACHLjGwoY
Финмодель    (2026-09-15 12:46:16)
V5.1: Типы_продукта!A31:M31; Микс_продаж!B9; C18</t>
      </text>
    </comment>
    <comment ref="D280" authorId="0" shapeId="0">
      <text>
        <t>======
ID#AAACHLjGoFA
Финмодель    (2026-09-15 12:46:16)
V5.1: Типы_продукта!A31:M31; Микс_продаж!B9; C18</t>
      </text>
    </comment>
    <comment ref="E280" authorId="0" shapeId="0">
      <text>
        <t>======
ID#AAACHLjGn_s
Финмодель    (2026-09-15 12:46:16)
V5.1: Типы_продукта!A31:M31; Микс_продаж!B9; C18</t>
      </text>
    </comment>
    <comment ref="F280" authorId="0" shapeId="0">
      <text>
        <t>======
ID#AAACHLjGoE4
Финмодель    (2026-09-15 12:46:16)
V5.1: Типы_продукта!A31:M31; Микс_продаж!B9; C18</t>
      </text>
    </comment>
    <comment ref="G280" authorId="0" shapeId="0">
      <text>
        <t>======
ID#AAACHLjGwiY
Финмодель    (2026-09-15 12:46:16)
V5.1: Типы_продукта!A31:M31; Микс_продаж!B9; C18</t>
      </text>
    </comment>
    <comment ref="H280" authorId="0" shapeId="0">
      <text>
        <t>======
ID#AAACHLjGweM
Финмодель    (2026-09-15 12:46:16)
V5.1: Типы_продукта!A31:M31; Микс_продаж!B9; C18</t>
      </text>
    </comment>
    <comment ref="I280" authorId="0" shapeId="0">
      <text>
        <t>======
ID#AAACHLjGoF4
Финмодель    (2026-09-15 12:46:16)
V5.1: Типы_продукта!A31:M31; Микс_продаж!B9; C18</t>
      </text>
    </comment>
    <comment ref="J280" authorId="0" shapeId="0">
      <text>
        <t>======
ID#AAACHLjGoCI
Финмодель    (2026-09-15 12:46:16)
V5.1: Типы_продукта!A31:M31; Микс_продаж!B9; C18</t>
      </text>
    </comment>
    <comment ref="K280" authorId="0" shapeId="0">
      <text>
        <t>======
ID#AAACHLjGwm8
Финмодель    (2026-09-15 12:46:16)
V5.1: Типы_продукта!A31:M31; Микс_продаж!B9; C18</t>
      </text>
    </comment>
    <comment ref="A281" authorId="0" shapeId="0">
      <text>
        <t>======
ID#AAACHLjGoDY
Финмодель    (2026-09-15 12:46:16)
V5.1: Типы_продукта!A32:M32; Микс_продаж!B9; D18</t>
      </text>
    </comment>
    <comment ref="B281" authorId="0" shapeId="0">
      <text>
        <t>======
ID#AAACHLjGwpU
Финмодель    (2026-09-15 12:46:16)
V5.1: Типы_продукта!A32:M32; Микс_продаж!B9; D18</t>
      </text>
    </comment>
    <comment ref="C281" authorId="0" shapeId="0">
      <text>
        <t>======
ID#AAACHLjGoFc
Финмодель    (2026-09-15 12:46:16)
V5.1: Типы_продукта!A32:M32; Микс_продаж!B9; D18</t>
      </text>
    </comment>
    <comment ref="D281" authorId="0" shapeId="0">
      <text>
        <t>======
ID#AAACHLjGwfs
Финмодель    (2026-09-15 12:46:16)
V5.1: Типы_продукта!A32:M32; Микс_продаж!B9; D18</t>
      </text>
    </comment>
    <comment ref="E281" authorId="0" shapeId="0">
      <text>
        <t>======
ID#AAACHLjGoD4
Финмодель    (2026-09-15 12:46:16)
V5.1: Типы_продукта!A32:M32; Микс_продаж!B9; D18</t>
      </text>
    </comment>
    <comment ref="F281" authorId="0" shapeId="0">
      <text>
        <t>======
ID#AAACHLjGn7E
Финмодель    (2026-09-15 12:46:16)
V5.1: Типы_продукта!A32:M32; Микс_продаж!B9; D18</t>
      </text>
    </comment>
    <comment ref="G281" authorId="0" shapeId="0">
      <text>
        <t>======
ID#AAACHLjGwiM
Финмодель    (2026-09-15 12:46:16)
V5.1: Типы_продукта!A32:M32; Микс_продаж!B9; D18</t>
      </text>
    </comment>
    <comment ref="H281" authorId="0" shapeId="0">
      <text>
        <t>======
ID#AAACHLjGwko
Финмодель    (2026-09-15 12:46:16)
V5.1: Типы_продукта!A32:M32; Микс_продаж!B9; D18</t>
      </text>
    </comment>
    <comment ref="I281" authorId="0" shapeId="0">
      <text>
        <t>======
ID#AAACHLjGoBA
Финмодель    (2026-09-15 12:46:16)
V5.1: Типы_продукта!A32:M32; Микс_продаж!B9; D18</t>
      </text>
    </comment>
    <comment ref="J281" authorId="0" shapeId="0">
      <text>
        <t>======
ID#AAACHLjGn_0
Финмодель    (2026-09-15 12:46:16)
V5.1: Типы_продукта!A32:M32; Микс_продаж!B9; D18</t>
      </text>
    </comment>
    <comment ref="K281" authorId="0" shapeId="0">
      <text>
        <t>======
ID#AAACHLjGwkU
Финмодель    (2026-09-15 12:46:16)
V5.1: Типы_продукта!A32:M32; Микс_продаж!B9; D18</t>
      </text>
    </comment>
    <comment ref="A282" authorId="0" shapeId="0">
      <text>
        <t>======
ID#AAACHLjGwfc
Финмодель    (2026-09-15 12:46:16)
V5.1: Типы_продукта!A33:M33; Микс_продаж!B9; E18</t>
      </text>
    </comment>
    <comment ref="B282" authorId="0" shapeId="0">
      <text>
        <t>======
ID#AAACHLjGwl8
Финмодель    (2026-09-15 12:46:16)
V5.1: Типы_продукта!A33:M33; Микс_продаж!B9; E18</t>
      </text>
    </comment>
    <comment ref="C282" authorId="0" shapeId="0">
      <text>
        <t>======
ID#AAACHLjGn7c
Финмодель    (2026-09-15 12:46:16)
V5.1: Типы_продукта!A33:M33; Микс_продаж!B9; E18</t>
      </text>
    </comment>
    <comment ref="D282" authorId="0" shapeId="0">
      <text>
        <t>======
ID#AAACHLjGwow
Финмодель    (2026-09-15 12:46:16)
V5.1: Типы_продукта!A33:M33; Микс_продаж!B9; E18</t>
      </text>
    </comment>
    <comment ref="E282" authorId="0" shapeId="0">
      <text>
        <t>======
ID#AAACHLjGoAc
Финмодель    (2026-09-15 12:46:16)
V5.1: Типы_продукта!A33:M33; Микс_продаж!B9; E18</t>
      </text>
    </comment>
    <comment ref="F282" authorId="0" shapeId="0">
      <text>
        <t>======
ID#AAACHLjGoCY
Финмодель    (2026-09-15 12:46:16)
V5.1: Типы_продукта!A33:M33; Микс_продаж!B9; E18</t>
      </text>
    </comment>
    <comment ref="G282" authorId="0" shapeId="0">
      <text>
        <t>======
ID#AAACHLjGwpQ
Финмодель    (2026-09-15 12:46:16)
V5.1: Типы_продукта!A33:M33; Микс_продаж!B9; E18</t>
      </text>
    </comment>
    <comment ref="H282" authorId="0" shapeId="0">
      <text>
        <t>======
ID#AAACHLjGwjE
Финмодель    (2026-09-15 12:46:16)
V5.1: Типы_продукта!A33:M33; Микс_продаж!B9; E18</t>
      </text>
    </comment>
    <comment ref="I282" authorId="0" shapeId="0">
      <text>
        <t>======
ID#AAACHLjGwo4
Финмодель    (2026-09-15 12:46:16)
V5.1: Типы_продукта!A33:M33; Микс_продаж!B9; E18</t>
      </text>
    </comment>
    <comment ref="J282" authorId="0" shapeId="0">
      <text>
        <t>======
ID#AAACHLjGwl0
Финмодель    (2026-09-15 12:46:16)
V5.1: Типы_продукта!A33:M33; Микс_продаж!B9; E18</t>
      </text>
    </comment>
    <comment ref="K282" authorId="0" shapeId="0">
      <text>
        <t>======
ID#AAACHLjGn7Q
Финмодель    (2026-09-15 12:46:16)
V5.1: Типы_продукта!A33:M33; Микс_продаж!B9; E18</t>
      </text>
    </comment>
    <comment ref="C283" authorId="0" shapeId="0">
      <text>
        <t>======
ID#AAACHLjGwgw
Финмодель    (2026-09-15 12:46:16)
РАСЧЁТ, НЕ ВВОДИТЬ.
Эта ячейка считается формулой. Если вписать сюда число, связь со сценариями и тарифным миксом пропадёт.</t>
      </text>
    </comment>
    <comment ref="B286" authorId="0" shapeId="0">
      <text>
        <t>======
ID#AAACHLjGn90
Финмодель    (2026-09-15 12:46:16)
Финмодель франшизы Спартак — чистовая версия v4.0(1).xlsx; Допущения!B42; 1% выручки с НДС — сохранено правило v4; база не заменена молча на чистую выручку.</t>
      </text>
    </comment>
    <comment ref="B287" authorId="0" shapeId="0">
      <text>
        <t>======
ID#AAACHLjGn-w
Финмодель    (2026-09-15 12:46:16)
Финмодель франшизы Спартак — чистовая версия v4.0(1).xlsx; Допущения!B41; В приложенной v4 указано именно 1 000 ₽. Восстановлено без изменения суммы.</t>
      </text>
    </comment>
    <comment ref="B288" authorId="0" shapeId="0">
      <text>
        <t>======
ID#AAACHLjGwkA
Финмодель    (2026-09-15 12:46:16)
Финмодель франшизы Спартак — чистовая версия v4.0(1).xlsx; Допущения!B41:B42; По умолчанию С НДС, как в v4. Начисленная выручка всех направлений, не авансы.</t>
      </text>
    </comment>
    <comment ref="B289" authorId="0" shapeId="0">
      <text>
        <t>======
ID#AAACHLjGoCs
Финмодель    (2026-09-15 12:46:16)
ФОРМУЛА ПО УМОЛЧАНИЮ.
По умолчанию = дата старта модели (B7). Можно вписать свою дату.</t>
      </text>
    </comment>
    <comment ref="B290" authorId="0" shapeId="0">
      <text>
        <t>======
ID#AAACHLjGn8E
Финмодель    (2026-09-15 12:46:16)
Финмодель франшизы Спартак — чистовая версия v4.0(1).xlsx; Допущения!B41:B42; Да — CAPEX вычитается до возврата займа. Нет — контрольное воспроизведение V8.2.</t>
      </text>
    </comment>
    <comment ref="B293" authorId="0" shapeId="0">
      <text>
        <t>======
ID#AAACHLjGwkI
Финмодель    (2026-09-15 12:46:16)
Источник: подтверждение пользователя 09.09.2026; допущения v4 и формула постепенного набора.
Ежегодно в июне, как в v4; зарплаты отдельно в сентябре.</t>
      </text>
    </comment>
    <comment ref="B294" authorId="0" shapeId="0">
      <text>
        <t>======
ID#AAACHLjGwmE
Финмодель    (2026-09-15 12:46:16)
Источник: подтверждение пользователя 09.09.2026; допущения v4 и формула постепенного набора.
Абонемент, паушальный, форма, ERP, IT, юристы, реклама, SMM-подрядчики, резерв ротации. Офис, мин. роялти, лагеря не меняются.</t>
      </text>
    </comment>
    <comment ref="B295" authorId="0" shapeId="0">
      <text>
        <t>======
ID#AAACHLjGwck
Финмодель    (2026-09-15 12:46:16)
Источник: подтверждение пользователя 09.09.2026; допущения v4 и формула постепенного набора.
Месяцы 1-12: 1/12...12/12 плана 1-го года; 13-24: плавный переход к плану 2-го. Нет - только для сверки с V8.3.</t>
      </text>
    </comment>
    <comment ref="B296" authorId="0" shapeId="0">
      <text>
        <t>======
ID#AAACHLjGwlg
Финмодель    (2026-09-15 12:46:16)
Источник: подтверждение пользователя 09.09.2026; допущения v4 и формула постепенного набора.
С следующего сентября, но не раньше завершения трех первичных поставок. Без ожидания 12 месяцев.</t>
      </text>
    </comment>
    <comment ref="B297" authorId="0" shapeId="0">
      <text>
        <t>======
ID#AAACHLjGoB8
Финмодель    (2026-09-15 12:46:16)
Источник: подтверждение пользователя 09.09.2026; допущения v4 и формула постепенного набора.
В V8.3 было 0; в v4 - 2. Не изменено без отдельного подтверждения.</t>
      </text>
    </comment>
    <comment ref="B298" authorId="0" shapeId="0">
      <text>
        <t>======
ID#AAACHLjGwdM
Финмодель    (2026-09-15 12:46:16)
Источник: подтверждение пользователя 09.09.2026; допущения v4 и формула постепенного набора.
В V8.3 - 100%; база v4 - 95%. Закрытия отдельно в B13 (пока 0%).</t>
      </text>
    </comment>
    <comment ref="B301" authorId="0" shapeId="0">
      <text>
        <t>======
ID#AAACHLjGn7I
Финмодель    (2026-09-15 12:46:16)
Источник: v4, таблица допущений по инфляции; 7% в год.
2032 год продлевает технический запас прогноза с тем же плановым допущением.</t>
      </text>
    </comment>
    <comment ref="B302" authorId="0" shapeId="0">
      <text>
        <t>======
ID#AAACHLjGwgo
Финмодель    (2026-09-15 12:46:16)
Источник: v4, таблица допущений по инфляции; 7% в год.
2032 год продлевает технический запас прогноза с тем же плановым допущением.</t>
      </text>
    </comment>
    <comment ref="B303" authorId="0" shapeId="0">
      <text>
        <t>======
ID#AAACHLjGwnM
Финмодель    (2026-09-15 12:46:16)
Источник: v4, таблица допущений по инфляции; 7% в год.
2032 год продлевает технический запас прогноза с тем же плановым допущением.</t>
      </text>
    </comment>
    <comment ref="B304" authorId="0" shapeId="0">
      <text>
        <t>======
ID#AAACHLjGwhU
Финмодель    (2026-09-15 12:46:16)
Источник: v4, таблица допущений по инфляции; 7% в год.
2032 год продлевает технический запас прогноза с тем же плановым допущением.</t>
      </text>
    </comment>
    <comment ref="B305" authorId="0" shapeId="0">
      <text>
        <t>======
ID#AAACHLjGwn0
Финмодель    (2026-09-15 12:46:16)
Источник: v4, таблица допущений по инфляции; 7% в год.
2032 год продлевает технический запас прогноза с тем же плановым допущением.</t>
      </text>
    </comment>
    <comment ref="B306" authorId="0" shapeId="0">
      <text>
        <t>======
ID#AAACHLjGoEI
Финмодель    (2026-09-15 12:46:16)
Источник: v4, таблица допущений по инфляции; 7% в год.
2032 год продлевает технический запас прогноза с тем же плановым допущением.</t>
      </text>
    </comment>
    <comment ref="B307" authorId="0" shapeId="0">
      <text>
        <t>======
ID#AAACHLjGn_w
Финмодель    (2026-09-15 12:46:16)
Источник: v4, таблица допущений по инфляции; 7% в год.
2032 год продлевает технический запас прогноза с тем же плановым допущением.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38</row>
      <rowOff>0</rowOff>
    </from>
    <ext cx="7915275" cy="341947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11</col>
      <colOff>0</colOff>
      <row>38</row>
      <rowOff>0</rowOff>
    </from>
    <ext cx="7915275" cy="341947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  <oneCellAnchor>
    <from>
      <col>1</col>
      <colOff>0</colOff>
      <row>59</row>
      <rowOff>0</rowOff>
    </from>
    <ext cx="7915275" cy="3419475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 fLocksWithSheet="0"/>
  </oneCellAnchor>
  <oneCellAnchor>
    <from>
      <col>11</col>
      <colOff>0</colOff>
      <row>59</row>
      <rowOff>0</rowOff>
    </from>
    <ext cx="7915275" cy="3419475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 fLocksWithSheet="0"/>
  </oneCellAnchor>
  <oneCellAnchor>
    <from>
      <col>1</col>
      <colOff>0</colOff>
      <row>80</row>
      <rowOff>0</rowOff>
    </from>
    <ext cx="7915275" cy="3419475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 fLocksWithSheet="0"/>
  </oneCellAnchor>
  <oneCellAnchor>
    <from>
      <col>11</col>
      <colOff>0</colOff>
      <row>80</row>
      <rowOff>0</rowOff>
    </from>
    <ext cx="7915275" cy="3419475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 fLocksWithSheet="0"/>
  </oneCellAnchor>
  <oneCellAnchor>
    <from>
      <col>1</col>
      <colOff>0</colOff>
      <row>101</row>
      <rowOff>0</rowOff>
    </from>
    <ext cx="7915275" cy="3419475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L208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8" defaultColWidth="14.43" defaultRowHeight="15" customHeight="1" outlineLevelRow="1"/>
  <cols>
    <col width="3" customWidth="1" style="194" min="1" max="1"/>
    <col width="42" customWidth="1" style="194" min="2" max="2"/>
    <col width="19" customWidth="1" style="194" min="3" max="3"/>
    <col width="17" customWidth="1" style="194" min="4" max="10"/>
    <col width="8.710000000000001" customWidth="1" style="194" min="11" max="26"/>
  </cols>
  <sheetData>
    <row r="1"/>
    <row r="2">
      <c r="B2" s="90" t="inlineStr">
        <is>
          <t>Финмодель «Спартак» — итог</t>
        </is>
      </c>
      <c r="G2" s="92" t="inlineStr">
        <is>
          <t>Сценарий:</t>
        </is>
      </c>
      <c r="H2" s="96">
        <f>СценарийТекст</f>
        <v/>
      </c>
      <c r="I2" s="99" t="inlineStr">
        <is>
          <t>#gid=322657005&amp;range=B192</t>
        </is>
      </c>
    </row>
    <row r="3">
      <c r="B3" s="2">
        <f>"старт "&amp;TEXT(MONTH(СтартМодели),"00")&amp;"."&amp;YEAR(СтартМодели)&amp;"   ·   горизонт "&amp;ГоризонтМес&amp;" мес."</f>
        <v/>
      </c>
      <c r="G3" s="92" t="inlineStr">
        <is>
          <t>Сезон 25/26 в итоге:</t>
        </is>
      </c>
      <c r="H3" s="104">
        <f>УчитыватьИсторию</f>
        <v/>
      </c>
      <c r="I3" s="99" t="inlineStr">
        <is>
          <t>#gid=322657005&amp;range=B322</t>
        </is>
      </c>
    </row>
    <row r="4">
      <c r="G4" s="107">
        <f>IF(УчитыватьИсторию="Да","Колонка слева — факт сезона 25/26, итог справа считает и его.","Колонка слева пуста: итог только за пять лет прогноза.")&amp;" Сценарий пересчитывает всю модель, история — только показ."</f>
        <v/>
      </c>
    </row>
    <row r="5" ht="30" customHeight="1" s="194">
      <c r="B5" s="108" t="inlineStr">
        <is>
          <t>Показатель</t>
        </is>
      </c>
      <c r="C5" s="108" t="inlineStr">
        <is>
          <t>Сезон 25/26
09.2025 – 07.2026</t>
        </is>
      </c>
      <c r="D5" s="108">
        <f>"Год 1"&amp;CHAR(10)&amp;TEXT(MONTH(DATE(YEAR(СтартМодели),MONTH(СтартМодели)+0,1)),"00")&amp;"."&amp;YEAR(DATE(YEAR(СтартМодели),MONTH(СтартМодели)+0,1))&amp;" – "&amp;TEXT(MONTH(DATE(YEAR(СтартМодели),MONTH(СтартМодели)+11,1)),"00")&amp;"."&amp;YEAR(DATE(YEAR(СтартМодели),MONTH(СтартМодели)+11,1))</f>
        <v/>
      </c>
      <c r="E5" s="108">
        <f>"Год 2"&amp;CHAR(10)&amp;TEXT(MONTH(DATE(YEAR(СтартМодели),MONTH(СтартМодели)+12,1)),"00")&amp;"."&amp;YEAR(DATE(YEAR(СтартМодели),MONTH(СтартМодели)+12,1))&amp;" – "&amp;TEXT(MONTH(DATE(YEAR(СтартМодели),MONTH(СтартМодели)+23,1)),"00")&amp;"."&amp;YEAR(DATE(YEAR(СтартМодели),MONTH(СтартМодели)+23,1))</f>
        <v/>
      </c>
      <c r="F5" s="108">
        <f>"Год 3"&amp;CHAR(10)&amp;TEXT(MONTH(DATE(YEAR(СтартМодели),MONTH(СтартМодели)+24,1)),"00")&amp;"."&amp;YEAR(DATE(YEAR(СтартМодели),MONTH(СтартМодели)+24,1))&amp;" – "&amp;TEXT(MONTH(DATE(YEAR(СтартМодели),MONTH(СтартМодели)+35,1)),"00")&amp;"."&amp;YEAR(DATE(YEAR(СтартМодели),MONTH(СтартМодели)+35,1))</f>
        <v/>
      </c>
      <c r="G5" s="108">
        <f>"Год 4"&amp;CHAR(10)&amp;TEXT(MONTH(DATE(YEAR(СтартМодели),MONTH(СтартМодели)+36,1)),"00")&amp;"."&amp;YEAR(DATE(YEAR(СтартМодели),MONTH(СтартМодели)+36,1))&amp;" – "&amp;TEXT(MONTH(DATE(YEAR(СтартМодели),MONTH(СтартМодели)+47,1)),"00")&amp;"."&amp;YEAR(DATE(YEAR(СтартМодели),MONTH(СтартМодели)+47,1))</f>
        <v/>
      </c>
      <c r="H5" s="108">
        <f>"Год 5"&amp;CHAR(10)&amp;TEXT(MONTH(DATE(YEAR(СтартМодели),MONTH(СтартМодели)+48,1)),"00")&amp;"."&amp;YEAR(DATE(YEAR(СтартМодели),MONTH(СтартМодели)+48,1))&amp;" – "&amp;TEXT(MONTH(DATE(YEAR(СтартМодели),MONTH(СтартМодели)+59,1)),"00")&amp;"."&amp;YEAR(DATE(YEAR(СтартМодели),MONTH(СтартМодели)+59,1))</f>
        <v/>
      </c>
      <c r="I5" s="108">
        <f>"Итого 5 лет"&amp;CHAR(10)&amp;TEXT(MONTH(DATE(YEAR(СтартМодели),MONTH(СтартМодели)+0,1)),"00")&amp;"."&amp;YEAR(DATE(YEAR(СтартМодели),MONTH(СтартМодели)+0,1))&amp;" – "&amp;TEXT(MONTH(DATE(YEAR(СтартМодели),MONTH(СтартМодели)+59,1)),"00")&amp;"."&amp;YEAR(DATE(YEAR(СтартМодели),MONTH(СтартМодели)+59,1))</f>
        <v/>
      </c>
      <c r="J5" s="108" t="inlineStr">
        <is>
          <t>С сезоном 25/26</t>
        </is>
      </c>
    </row>
    <row r="6">
      <c r="B6" s="56" t="inlineStr">
        <is>
          <t>Паушальные взносы</t>
        </is>
      </c>
      <c r="C6" s="119">
        <f>IF(УчитыватьИсторию="Да",'01_Вводные'!$B$324,"")</f>
        <v/>
      </c>
      <c r="D6" s="87">
        <f>SUM('02_Результат'!L12:'02_Результат'!W12)</f>
        <v/>
      </c>
      <c r="E6" s="87">
        <f>SUM('02_Результат'!X12:'02_Результат'!AI12)</f>
        <v/>
      </c>
      <c r="F6" s="87">
        <f>SUM('02_Результат'!AJ12:'02_Результат'!AU12)</f>
        <v/>
      </c>
      <c r="G6" s="87">
        <f>SUM('02_Результат'!AV12:'02_Результат'!BG12)</f>
        <v/>
      </c>
      <c r="H6" s="87">
        <f>SUM('02_Результат'!BH12:'02_Результат'!BS12)</f>
        <v/>
      </c>
      <c r="I6" s="86">
        <f>SUM('02_Результат'!L12:'02_Результат'!BS12)</f>
        <v/>
      </c>
      <c r="J6" s="86">
        <f>I6+IF(УчитыватьИсторию="Да",'01_Вводные'!$B$324,0)</f>
        <v/>
      </c>
    </row>
    <row r="7">
      <c r="B7" s="56" t="inlineStr">
        <is>
          <t>Роялти</t>
        </is>
      </c>
      <c r="C7" s="119">
        <f>IF(УчитыватьИсторию="Да",'01_Вводные'!$B$325,"")</f>
        <v/>
      </c>
      <c r="D7" s="87">
        <f>SUM('02_Результат'!L13:'02_Результат'!W13)</f>
        <v/>
      </c>
      <c r="E7" s="87">
        <f>SUM('02_Результат'!X13:'02_Результат'!AI13)</f>
        <v/>
      </c>
      <c r="F7" s="87">
        <f>SUM('02_Результат'!AJ13:'02_Результат'!AU13)</f>
        <v/>
      </c>
      <c r="G7" s="87">
        <f>SUM('02_Результат'!AV13:'02_Результат'!BG13)</f>
        <v/>
      </c>
      <c r="H7" s="87">
        <f>SUM('02_Результат'!BH13:'02_Результат'!BS13)</f>
        <v/>
      </c>
      <c r="I7" s="86">
        <f>SUM('02_Результат'!L13:'02_Результат'!BS13)</f>
        <v/>
      </c>
      <c r="J7" s="86">
        <f>I7+IF(УчитыватьИсторию="Да",'01_Вводные'!$B$325,0)</f>
        <v/>
      </c>
    </row>
    <row r="8">
      <c r="B8" s="56" t="inlineStr">
        <is>
          <t>Мерч</t>
        </is>
      </c>
      <c r="C8" s="119">
        <f>IF(УчитыватьИсторию="Да",'01_Вводные'!$B$326,"")</f>
        <v/>
      </c>
      <c r="D8" s="87">
        <f>SUM('02_Результат'!L14:'02_Результат'!W14)</f>
        <v/>
      </c>
      <c r="E8" s="87">
        <f>SUM('02_Результат'!X14:'02_Результат'!AI14)</f>
        <v/>
      </c>
      <c r="F8" s="87">
        <f>SUM('02_Результат'!AJ14:'02_Результат'!AU14)</f>
        <v/>
      </c>
      <c r="G8" s="87">
        <f>SUM('02_Результат'!AV14:'02_Результат'!BG14)</f>
        <v/>
      </c>
      <c r="H8" s="87">
        <f>SUM('02_Результат'!BH14:'02_Результат'!BS14)</f>
        <v/>
      </c>
      <c r="I8" s="86">
        <f>SUM('02_Результат'!L14:'02_Результат'!BS14)</f>
        <v/>
      </c>
      <c r="J8" s="86">
        <f>I8+IF(УчитыватьИсторию="Да",'01_Вводные'!$B$326,0)</f>
        <v/>
      </c>
    </row>
    <row r="9">
      <c r="B9" s="130" t="inlineStr">
        <is>
          <t>Выручка без НДС</t>
        </is>
      </c>
      <c r="C9" s="132">
        <f>IF(УчитыватьИсторию="Да",'01_Вводные'!$B$327,"")</f>
        <v/>
      </c>
      <c r="D9" s="133">
        <f>SUM('02_Результат'!L16:'02_Результат'!W16)</f>
        <v/>
      </c>
      <c r="E9" s="133">
        <f>SUM('02_Результат'!X16:'02_Результат'!AI16)</f>
        <v/>
      </c>
      <c r="F9" s="133">
        <f>SUM('02_Результат'!AJ16:'02_Результат'!AU16)</f>
        <v/>
      </c>
      <c r="G9" s="133">
        <f>SUM('02_Результат'!AV16:'02_Результат'!BG16)</f>
        <v/>
      </c>
      <c r="H9" s="133">
        <f>SUM('02_Результат'!BH16:'02_Результат'!BS16)</f>
        <v/>
      </c>
      <c r="I9" s="134">
        <f>SUM('02_Результат'!L16:'02_Результат'!BS16)</f>
        <v/>
      </c>
      <c r="J9" s="134">
        <f>I9+IF(УчитыватьИсторию="Да",'01_Вводные'!$B$327,0)</f>
        <v/>
      </c>
    </row>
    <row r="10"/>
    <row r="11">
      <c r="B11" s="56" t="inlineStr">
        <is>
          <t>Прямые расходы</t>
        </is>
      </c>
      <c r="C11" s="119">
        <f>IF(УчитыватьИсторию="Да",'01_Вводные'!$B$328,"")</f>
        <v/>
      </c>
      <c r="D11" s="87">
        <f>SUM('02_Результат'!L22:'02_Результат'!W22)</f>
        <v/>
      </c>
      <c r="E11" s="87">
        <f>SUM('02_Результат'!X22:'02_Результат'!AI22)</f>
        <v/>
      </c>
      <c r="F11" s="87">
        <f>SUM('02_Результат'!AJ22:'02_Результат'!AU22)</f>
        <v/>
      </c>
      <c r="G11" s="87">
        <f>SUM('02_Результат'!AV22:'02_Результат'!BG22)</f>
        <v/>
      </c>
      <c r="H11" s="87">
        <f>SUM('02_Результат'!BH22:'02_Результат'!BS22)</f>
        <v/>
      </c>
      <c r="I11" s="86">
        <f>SUM('02_Результат'!L22:'02_Результат'!BS22)</f>
        <v/>
      </c>
      <c r="J11" s="86">
        <f>I11+IF(УчитыватьИсторию="Да",'01_Вводные'!$B$328,0)</f>
        <v/>
      </c>
    </row>
    <row r="12">
      <c r="B12" s="130" t="inlineStr">
        <is>
          <t>Валовая прибыль</t>
        </is>
      </c>
      <c r="C12" s="132">
        <f>IF(УчитыватьИсторию="Да",'01_Вводные'!$B$329,"")</f>
        <v/>
      </c>
      <c r="D12" s="133">
        <f>SUM('02_Результат'!L23:'02_Результат'!W23)</f>
        <v/>
      </c>
      <c r="E12" s="133">
        <f>SUM('02_Результат'!X23:'02_Результат'!AI23)</f>
        <v/>
      </c>
      <c r="F12" s="133">
        <f>SUM('02_Результат'!AJ23:'02_Результат'!AU23)</f>
        <v/>
      </c>
      <c r="G12" s="133">
        <f>SUM('02_Результат'!AV23:'02_Результат'!BG23)</f>
        <v/>
      </c>
      <c r="H12" s="133">
        <f>SUM('02_Результат'!BH23:'02_Результат'!BS23)</f>
        <v/>
      </c>
      <c r="I12" s="134">
        <f>SUM('02_Результат'!L23:'02_Результат'!BS23)</f>
        <v/>
      </c>
      <c r="J12" s="134">
        <f>I12+IF(УчитыватьИсторию="Да",'01_Вводные'!$B$329,0)</f>
        <v/>
      </c>
    </row>
    <row r="13">
      <c r="B13" s="56" t="inlineStr">
        <is>
          <t>ФОТ и кадровые расходы</t>
        </is>
      </c>
      <c r="C13" s="119">
        <f>IF(УчитыватьИсторию="Да",'01_Вводные'!$B$330,"")</f>
        <v/>
      </c>
      <c r="D13" s="87">
        <f>SUM('02_Результат'!L24:'02_Результат'!W24)</f>
        <v/>
      </c>
      <c r="E13" s="87">
        <f>SUM('02_Результат'!X24:'02_Результат'!AI24)</f>
        <v/>
      </c>
      <c r="F13" s="87">
        <f>SUM('02_Результат'!AJ24:'02_Результат'!AU24)</f>
        <v/>
      </c>
      <c r="G13" s="87">
        <f>SUM('02_Результат'!AV24:'02_Результат'!BG24)</f>
        <v/>
      </c>
      <c r="H13" s="87">
        <f>SUM('02_Результат'!BH24:'02_Результат'!BS24)</f>
        <v/>
      </c>
      <c r="I13" s="86">
        <f>SUM('02_Результат'!L24:'02_Результат'!BS24)</f>
        <v/>
      </c>
      <c r="J13" s="86">
        <f>I13+IF(УчитыватьИсторию="Да",'01_Вводные'!$B$330,0)</f>
        <v/>
      </c>
    </row>
    <row r="14">
      <c r="B14" s="56" t="inlineStr">
        <is>
          <t>OPEX — прочие (без ФОТ)</t>
        </is>
      </c>
      <c r="C14" s="119">
        <f>IF(УчитыватьИсторию="Да",'01_Вводные'!$B$331,"")</f>
        <v/>
      </c>
      <c r="D14" s="87">
        <f>SUM('02_Результат'!L31:'02_Результат'!W31)</f>
        <v/>
      </c>
      <c r="E14" s="87">
        <f>SUM('02_Результат'!X31:'02_Результат'!AI31)</f>
        <v/>
      </c>
      <c r="F14" s="87">
        <f>SUM('02_Результат'!AJ31:'02_Результат'!AU31)</f>
        <v/>
      </c>
      <c r="G14" s="87">
        <f>SUM('02_Результат'!AV31:'02_Результат'!BG31)</f>
        <v/>
      </c>
      <c r="H14" s="87">
        <f>SUM('02_Результат'!BH31:'02_Результат'!BS31)</f>
        <v/>
      </c>
      <c r="I14" s="86">
        <f>SUM('02_Результат'!L31:'02_Результат'!BS31)</f>
        <v/>
      </c>
      <c r="J14" s="86">
        <f>I14+IF(УчитыватьИсторию="Да",'01_Вводные'!$B$331,0)</f>
        <v/>
      </c>
    </row>
    <row r="15">
      <c r="B15" s="130" t="inlineStr">
        <is>
          <t>EBITDA</t>
        </is>
      </c>
      <c r="C15" s="132">
        <f>IF(УчитыватьИсторию="Да",'01_Вводные'!$B$332,"")</f>
        <v/>
      </c>
      <c r="D15" s="133">
        <f>SUM('02_Результат'!L33:'02_Результат'!W33)</f>
        <v/>
      </c>
      <c r="E15" s="133">
        <f>SUM('02_Результат'!X33:'02_Результат'!AI33)</f>
        <v/>
      </c>
      <c r="F15" s="133">
        <f>SUM('02_Результат'!AJ33:'02_Результат'!AU33)</f>
        <v/>
      </c>
      <c r="G15" s="133">
        <f>SUM('02_Результат'!AV33:'02_Результат'!BG33)</f>
        <v/>
      </c>
      <c r="H15" s="133">
        <f>SUM('02_Результат'!BH33:'02_Результат'!BS33)</f>
        <v/>
      </c>
      <c r="I15" s="134">
        <f>SUM('02_Результат'!L33:'02_Результат'!BS33)</f>
        <v/>
      </c>
      <c r="J15" s="134">
        <f>I15+IF(УчитыватьИсторию="Да",'01_Вводные'!$B$332,0)</f>
        <v/>
      </c>
    </row>
    <row r="16">
      <c r="B16" s="56" t="inlineStr">
        <is>
          <t>УСН / минимальный налог</t>
        </is>
      </c>
      <c r="C16" s="119">
        <f>IF(УчитыватьИсторию="Да",'01_Вводные'!$B$333,"")</f>
        <v/>
      </c>
      <c r="D16" s="87">
        <f>SUM('02_Результат'!L35:'02_Результат'!W35)</f>
        <v/>
      </c>
      <c r="E16" s="87">
        <f>SUM('02_Результат'!X35:'02_Результат'!AI35)</f>
        <v/>
      </c>
      <c r="F16" s="87">
        <f>SUM('02_Результат'!AJ35:'02_Результат'!AU35)</f>
        <v/>
      </c>
      <c r="G16" s="87">
        <f>SUM('02_Результат'!AV35:'02_Результат'!BG35)</f>
        <v/>
      </c>
      <c r="H16" s="87">
        <f>SUM('02_Результат'!BH35:'02_Результат'!BS35)</f>
        <v/>
      </c>
      <c r="I16" s="86">
        <f>SUM('02_Результат'!L35:'02_Результат'!BS35)</f>
        <v/>
      </c>
      <c r="J16" s="86">
        <f>I16+IF(УчитыватьИсторию="Да",'01_Вводные'!$B$333,0)</f>
        <v/>
      </c>
    </row>
    <row r="17">
      <c r="B17" s="130" t="inlineStr">
        <is>
          <t>Прибыль после налога</t>
        </is>
      </c>
      <c r="C17" s="132">
        <f>IF(УчитыватьИсторию="Да",'01_Вводные'!$B$334,"")</f>
        <v/>
      </c>
      <c r="D17" s="133">
        <f>SUM('02_Результат'!L36:'02_Результат'!W36)</f>
        <v/>
      </c>
      <c r="E17" s="133">
        <f>SUM('02_Результат'!X36:'02_Результат'!AI36)</f>
        <v/>
      </c>
      <c r="F17" s="133">
        <f>SUM('02_Результат'!AJ36:'02_Результат'!AU36)</f>
        <v/>
      </c>
      <c r="G17" s="133">
        <f>SUM('02_Результат'!AV36:'02_Результат'!BG36)</f>
        <v/>
      </c>
      <c r="H17" s="133">
        <f>SUM('02_Результат'!BH36:'02_Результат'!BS36)</f>
        <v/>
      </c>
      <c r="I17" s="134">
        <f>SUM('02_Результат'!L36:'02_Результат'!BS36)</f>
        <v/>
      </c>
      <c r="J17" s="134">
        <f>I17+IF(УчитыватьИсторию="Да",'01_Вводные'!$B$334,0)</f>
        <v/>
      </c>
    </row>
    <row r="18"/>
    <row r="19">
      <c r="B19" s="56" t="inlineStr">
        <is>
          <t>Денежный поток за период</t>
        </is>
      </c>
      <c r="C19" s="119">
        <f>IF(УчитыватьИсторию="Да",'01_Вводные'!$B$335,"")</f>
        <v/>
      </c>
      <c r="D19" s="87">
        <f>SUM('02_Результат'!L58:'02_Результат'!W58)</f>
        <v/>
      </c>
      <c r="E19" s="154">
        <f>SUM('02_Результат'!X58:'02_Результат'!AI58)</f>
        <v/>
      </c>
      <c r="F19" s="87">
        <f>SUM('02_Результат'!AJ58:'02_Результат'!AU58)</f>
        <v/>
      </c>
      <c r="G19" s="87">
        <f>SUM('02_Результат'!AV58:'02_Результат'!BG58)</f>
        <v/>
      </c>
      <c r="H19" s="87">
        <f>SUM('02_Результат'!BH58:'02_Результат'!BS58)</f>
        <v/>
      </c>
      <c r="I19" s="86">
        <f>SUM('02_Результат'!L58:'02_Результат'!BS58)</f>
        <v/>
      </c>
      <c r="J19" s="86">
        <f>I19+IF(УчитыватьИсторию="Да",'01_Вводные'!$B$335,0)</f>
        <v/>
      </c>
    </row>
    <row r="20">
      <c r="B20" s="130" t="inlineStr">
        <is>
          <t>Деньги на конец периода</t>
        </is>
      </c>
      <c r="C20" s="132">
        <f>IF(УчитыватьИсторию="Да",'01_Вводные'!$B$336,"")</f>
        <v/>
      </c>
      <c r="D20" s="133">
        <f>'02_Результат'!W59</f>
        <v/>
      </c>
      <c r="E20" s="133">
        <f>'02_Результат'!AI59</f>
        <v/>
      </c>
      <c r="F20" s="133">
        <f>'02_Результат'!AU59</f>
        <v/>
      </c>
      <c r="G20" s="133">
        <f>'02_Результат'!BG59</f>
        <v/>
      </c>
      <c r="H20" s="133">
        <f>'02_Результат'!BS59</f>
        <v/>
      </c>
      <c r="I20" s="134">
        <f>'02_Результат'!BS59</f>
        <v/>
      </c>
      <c r="J20" s="134">
        <f>I20</f>
        <v/>
      </c>
    </row>
    <row r="21" ht="15.75" customHeight="1" s="194"/>
    <row r="22" ht="15.75" customHeight="1" s="194">
      <c r="B22" s="56" t="inlineStr">
        <is>
          <t>Школы на конец периода</t>
        </is>
      </c>
      <c r="C22" s="155">
        <f>IF(УчитыватьИсторию="Да",'01_Вводные'!$B$337,"")</f>
        <v/>
      </c>
      <c r="D22" s="62">
        <f>'02_Результат'!W7</f>
        <v/>
      </c>
      <c r="E22" s="62">
        <f>'02_Результат'!AI7</f>
        <v/>
      </c>
      <c r="F22" s="62">
        <f>'02_Результат'!AU7</f>
        <v/>
      </c>
      <c r="G22" s="62">
        <f>'02_Результат'!BG7</f>
        <v/>
      </c>
      <c r="H22" s="62">
        <f>'02_Результат'!BS7</f>
        <v/>
      </c>
      <c r="I22" s="61">
        <f>'02_Результат'!BS7</f>
        <v/>
      </c>
      <c r="J22" s="61">
        <f>I22</f>
        <v/>
      </c>
    </row>
    <row r="23" ht="15.75" customHeight="1" s="194">
      <c r="B23" s="56" t="inlineStr">
        <is>
          <t>Партнёры на конец периода</t>
        </is>
      </c>
      <c r="C23" s="155">
        <f>IF(УчитыватьИсторию="Да",'01_Вводные'!$B$338,"")</f>
        <v/>
      </c>
      <c r="D23" s="62">
        <f>'02_Результат'!W8</f>
        <v/>
      </c>
      <c r="E23" s="62">
        <f>'02_Результат'!AI8</f>
        <v/>
      </c>
      <c r="F23" s="62">
        <f>'02_Результат'!AU8</f>
        <v/>
      </c>
      <c r="G23" s="62">
        <f>'02_Результат'!BG8</f>
        <v/>
      </c>
      <c r="H23" s="62">
        <f>'02_Результат'!BS8</f>
        <v/>
      </c>
      <c r="I23" s="61">
        <f>'02_Результат'!BS8</f>
        <v/>
      </c>
      <c r="J23" s="61">
        <f>I23</f>
        <v/>
      </c>
    </row>
    <row r="24" ht="15.75" customHeight="1" s="194">
      <c r="B24" s="130" t="inlineStr">
        <is>
          <t>Дети, среднее за период</t>
        </is>
      </c>
      <c r="C24" s="132">
        <f>IF(УчитыватьИсторию="Да",'01_Вводные'!$B$339,"")</f>
        <v/>
      </c>
      <c r="D24" s="158">
        <f>AVERAGE('02_Результат'!L9:'02_Результат'!W9)</f>
        <v/>
      </c>
      <c r="E24" s="158">
        <f>AVERAGE('02_Результат'!X9:'02_Результат'!AI9)</f>
        <v/>
      </c>
      <c r="F24" s="158">
        <f>AVERAGE('02_Результат'!AJ9:'02_Результат'!AU9)</f>
        <v/>
      </c>
      <c r="G24" s="158">
        <f>AVERAGE('02_Результат'!AV9:'02_Результат'!BG9)</f>
        <v/>
      </c>
      <c r="H24" s="158">
        <f>AVERAGE('02_Результат'!BH9:'02_Результат'!BS9)</f>
        <v/>
      </c>
      <c r="I24" s="159">
        <f>AVERAGE('02_Результат'!L9:'02_Результат'!BS9)</f>
        <v/>
      </c>
      <c r="J24" s="159">
        <f>I24</f>
        <v/>
      </c>
      <c r="K24" s="160" t="inlineStr">
        <is>
          <t>дети на март сезона</t>
        </is>
      </c>
    </row>
    <row r="25" ht="15.75" customHeight="1" s="194">
      <c r="B25" s="130" t="inlineStr">
        <is>
          <t>Дети на пике сезона (март)</t>
        </is>
      </c>
      <c r="C25" s="132" t="n"/>
      <c r="D25" s="158">
        <f>SUMPRODUCT((MONTH('02_Результат'!L$5:W$5)=3)*'02_Результат'!L9:W9)</f>
        <v/>
      </c>
      <c r="E25" s="158">
        <f>SUMPRODUCT((MONTH('02_Результат'!X$5:AI$5)=3)*'02_Результат'!X9:AI9)</f>
        <v/>
      </c>
      <c r="F25" s="158">
        <f>SUMPRODUCT((MONTH('02_Результат'!AJ$5:AU$5)=3)*'02_Результат'!AJ9:AU9)</f>
        <v/>
      </c>
      <c r="G25" s="158">
        <f>SUMPRODUCT((MONTH('02_Результат'!AV$5:BG$5)=3)*'02_Результат'!AV9:BG9)</f>
        <v/>
      </c>
      <c r="H25" s="158">
        <f>SUMPRODUCT((MONTH('02_Результат'!BH$5:BS$5)=3)*'02_Результат'!BH9:BS9)</f>
        <v/>
      </c>
      <c r="I25" s="159">
        <f>H25</f>
        <v/>
      </c>
      <c r="J25" s="159">
        <f>I25</f>
        <v/>
      </c>
    </row>
    <row r="26" ht="15.75" customHeight="1" s="194">
      <c r="B26" s="161" t="inlineStr">
        <is>
          <t>На что смотреть</t>
        </is>
      </c>
    </row>
    <row r="27" ht="15.75" customHeight="1" s="194">
      <c r="B27" s="56" t="inlineStr">
        <is>
          <t>Минимальный остаток денег за все 60 месяцев</t>
        </is>
      </c>
      <c r="C27" s="87">
        <f>MIN('02_Результат'!L59:'02_Результат'!BS59)</f>
        <v/>
      </c>
    </row>
    <row r="28" ht="15.75" customHeight="1" s="194">
      <c r="B28" s="56" t="inlineStr">
        <is>
          <t>Месяцев с отрицательным остатком</t>
        </is>
      </c>
      <c r="C28" s="87">
        <f>COUNTIF('02_Результат'!L59:'02_Результат'!BS59,"&lt;0")</f>
        <v/>
      </c>
    </row>
    <row r="29" ht="15.75" customHeight="1" s="194">
      <c r="B29" s="162" t="inlineStr">
        <is>
          <t>Срок закрытия займа клубу, мес.</t>
        </is>
      </c>
      <c r="C29" s="154">
        <f>IF('06_Деньги'!BS19&gt;0.01,"не закрыт за 60 мес.",SUMPRODUCT(--('06_Деньги'!L19:BS19&gt;0.01))+1)</f>
        <v/>
      </c>
      <c r="D29" s="163">
        <f t="array" ref="D29">IF(ISNUMBER(C29),INDEX('02_Результат'!$L$5:$BS$5,C29),"")</f>
        <v/>
      </c>
    </row>
    <row r="30" ht="15.75" customHeight="1" s="194">
      <c r="B30" s="56" t="inlineStr">
        <is>
          <t>Рентабельность EBITDA за 5 лет</t>
        </is>
      </c>
      <c r="C30" s="141">
        <f>IF(I9=0,0,I15/I9)</f>
        <v/>
      </c>
    </row>
    <row r="31" ht="15.75" customHeight="1" s="194"/>
    <row r="32" ht="15.75" customHeight="1" s="194">
      <c r="B32" s="9" t="inlineStr">
        <is>
          <t>Ограничение: минимальный остаток на счёте</t>
        </is>
      </c>
      <c r="C32" s="164">
        <f>МинОстатокДляЗайма</f>
        <v/>
      </c>
    </row>
    <row r="33" ht="61.5" customHeight="1" s="194">
      <c r="B33" s="57" t="inlineStr">
        <is>
          <t>Клубу возвращаем займ только теми деньгами, что остаются сверх этого порога и сверх запаса на ближайшие убыточные месяцы. Сезон проседает летом — в июле и августе активны 14 % детей от мартовского уровня, а аренда и ФОТ идут как обычно, — и без такого резерва платёж клубу уводил счёт в минус. Поэтому в первые два года «Чистый поток за год» близок к нулю: вся свободная сумма уходит на склад формы и в погашение займа, а остаток на конец упирается в порог. Это не потеря денег, а их перекладывание в склад и в уменьшение долга — видно по строкам «Закупка на склад» и «Займ на конец» листа 06_Деньги. Порог меняется на листе 01_Вводные.</t>
        </is>
      </c>
    </row>
    <row r="34" ht="15.75" customHeight="1" s="194"/>
    <row r="35" ht="15.75" customHeight="1" s="194">
      <c r="B35" s="165" t="inlineStr">
        <is>
          <t>Как это выглядит</t>
        </is>
      </c>
    </row>
    <row r="36" ht="15.75" customHeight="1" s="194">
      <c r="B36" s="107" t="inlineStr">
        <is>
          <t>Шесть графиков по годам — значения подписаны на самих точках, деньги в миллионах. Нижний по месяцам: склад живёт внутри года, годовой срез его не показывает. Над каждым графиком строка «что смотреть».</t>
        </is>
      </c>
    </row>
    <row r="37" ht="15.75" customHeight="1" s="194"/>
    <row r="38" ht="15.75" customHeight="1" s="194">
      <c r="B38" s="107" t="inlineStr">
        <is>
          <t>Выручка и EBITDA по годам. Масштаб бизнеса и сколько от него остаётся. Разрыв между столбцами — операционные расходы года.</t>
        </is>
      </c>
      <c r="L38" s="107" t="inlineStr">
        <is>
          <t>Откуда выручка: паушальные, роялти, мерч. Чем дальше год, тем меньше доля разовых паушальных и больше повторяющихся роялти и мерча — это и есть устойчивость модели.</t>
        </is>
      </c>
    </row>
    <row r="39" ht="15.75" customHeight="1" s="194"/>
    <row r="40" ht="15.75" customHeight="1" s="194"/>
    <row r="41" ht="15.75" customHeight="1" s="194"/>
    <row r="42" ht="15.75" customHeight="1" s="194"/>
    <row r="43" ht="15.75" customHeight="1" s="194"/>
    <row r="44" ht="15.75" customHeight="1" s="194"/>
    <row r="45" ht="15.75" customHeight="1" s="194"/>
    <row r="46" ht="15.75" customHeight="1" s="194"/>
    <row r="47" ht="15.75" customHeight="1" s="194"/>
    <row r="48" ht="15.75" customHeight="1" s="194"/>
    <row r="49" ht="15.75" customHeight="1" s="194"/>
    <row r="50" ht="15.75" customHeight="1" s="194"/>
    <row r="51" ht="15.75" customHeight="1" s="194"/>
    <row r="52" ht="15.75" customHeight="1" s="194"/>
    <row r="53" ht="15.75" customHeight="1" s="194"/>
    <row r="54" ht="15.75" customHeight="1" s="194"/>
    <row r="55" ht="15.75" customHeight="1" s="194"/>
    <row r="56" ht="15.75" customHeight="1" s="194"/>
    <row r="57" ht="15.75" customHeight="1" s="194"/>
    <row r="58" ht="15.75" customHeight="1" s="194"/>
    <row r="59" ht="15.75" customHeight="1" s="194">
      <c r="B59" s="107" t="inlineStr">
        <is>
          <t>Продажи франшиз и открытия школ за год. Открытий больше, чем продаж: один партнёр со временем открывает несколько школ. Разрыв — это лаг открытия следующих школ.</t>
        </is>
      </c>
      <c r="L59" s="107" t="inlineStr">
        <is>
          <t>Сеть на конец года: школы и дети. Накопленный размер сети. Дети на правой оси: школа выходит на мощность за два года, поэтому линия отстаёт от столбцов.</t>
        </is>
      </c>
    </row>
    <row r="60" ht="15.75" customHeight="1" s="194"/>
    <row r="61" ht="15.75" customHeight="1" s="194"/>
    <row r="62" ht="15.75" customHeight="1" s="194"/>
    <row r="63" ht="15.75" customHeight="1" s="194"/>
    <row r="64" ht="15.75" customHeight="1" s="194"/>
    <row r="65" ht="15.75" customHeight="1" s="194"/>
    <row r="66" ht="15.75" customHeight="1" s="194"/>
    <row r="67" ht="15.75" customHeight="1" s="194"/>
    <row r="68" ht="15.75" customHeight="1" s="194"/>
    <row r="69" ht="15.75" customHeight="1" s="194"/>
    <row r="70" ht="15.75" customHeight="1" s="194"/>
    <row r="71" ht="15.75" customHeight="1" s="194"/>
    <row r="72" ht="15.75" customHeight="1" s="194"/>
    <row r="73" ht="15.75" customHeight="1" s="194"/>
    <row r="74" ht="15.75" customHeight="1" s="194"/>
    <row r="75" ht="15.75" customHeight="1" s="194"/>
    <row r="76" ht="15.75" customHeight="1" s="194"/>
    <row r="77" ht="15.75" customHeight="1" s="194"/>
    <row r="78" ht="15.75" customHeight="1" s="194"/>
    <row r="79" ht="15.75" customHeight="1" s="194"/>
    <row r="80" ht="15.75" customHeight="1" s="194">
      <c r="B80" s="107" t="inlineStr">
        <is>
          <t>Форма: выручка и прибыль за год. Мерч — второй по размеру источник денег. Нижний столбец — что остаётся до того, как клуб заберёт свою долю.</t>
        </is>
      </c>
      <c r="L80" s="107" t="inlineStr">
        <is>
          <t>Займ клубу: погашено за год и остаток на конец. Как гасится займ на мерч. Гасим только свободными деньгами — линия остатка идёт вниз ступенями, а не равномерно.</t>
        </is>
      </c>
    </row>
    <row r="81" ht="15.75" customHeight="1" s="194"/>
    <row r="82" ht="15.75" customHeight="1" s="194"/>
    <row r="83" ht="15.75" customHeight="1" s="194"/>
    <row r="84" ht="15.75" customHeight="1" s="194"/>
    <row r="85" ht="15.75" customHeight="1" s="194"/>
    <row r="86" ht="15.75" customHeight="1" s="194"/>
    <row r="87" ht="15.75" customHeight="1" s="194"/>
    <row r="88" ht="15.75" customHeight="1" s="194"/>
    <row r="89" ht="15.75" customHeight="1" s="194"/>
    <row r="90" ht="15.75" customHeight="1" s="194"/>
    <row r="91" ht="15.75" customHeight="1" s="194"/>
    <row r="92" ht="15.75" customHeight="1" s="194"/>
    <row r="93" ht="15.75" customHeight="1" s="194"/>
    <row r="94" ht="15.75" customHeight="1" s="194"/>
    <row r="95" ht="15.75" customHeight="1" s="194"/>
    <row r="96" ht="15.75" customHeight="1" s="194"/>
    <row r="97" ht="15.75" customHeight="1" s="194"/>
    <row r="98" ht="15.75" customHeight="1" s="194"/>
    <row r="99" ht="15.75" customHeight="1" s="194"/>
    <row r="100" ht="15.75" customHeight="1" s="194"/>
    <row r="101" ht="15.75" customHeight="1" s="194">
      <c r="B101" s="107" t="inlineStr">
        <is>
          <t>Склад формы по месяцам. Хватает ли формы на складе. Пока синяя линия выше оранжевой, спрос обеспечен; провал под неё — дефицит формы.</t>
        </is>
      </c>
    </row>
    <row r="102" ht="15.75" customHeight="1" s="194"/>
    <row r="103" ht="15.75" customHeight="1" s="194"/>
    <row r="104" ht="15.75" customHeight="1" s="194"/>
    <row r="105" ht="15.75" customHeight="1" s="194"/>
    <row r="106" ht="15.75" customHeight="1" s="194"/>
    <row r="107" ht="15.75" customHeight="1" s="194"/>
    <row r="108" ht="15.75" customHeight="1" s="194"/>
    <row r="109" ht="15.75" customHeight="1" s="194"/>
    <row r="110" ht="15.75" customHeight="1" s="194"/>
    <row r="111" ht="15.75" customHeight="1" s="194"/>
    <row r="112" ht="15.75" customHeight="1" s="194"/>
    <row r="113" ht="15.75" customHeight="1" s="194"/>
    <row r="114" ht="15.75" customHeight="1" s="194"/>
    <row r="115" ht="15.75" customHeight="1" s="194"/>
    <row r="116" ht="15.75" customHeight="1" s="194"/>
    <row r="117" ht="15.75" customHeight="1" s="194"/>
    <row r="118" ht="15.75" customHeight="1" s="194"/>
    <row r="119" ht="15.75" customHeight="1" s="194"/>
    <row r="120" ht="15.75" customHeight="1" s="194"/>
    <row r="121" ht="15.75" customHeight="1" s="194"/>
    <row r="122" ht="15.75" customHeight="1" s="194"/>
    <row r="123" ht="15.75" customHeight="1" s="194">
      <c r="B123" s="161" t="inlineStr">
        <is>
          <t>Где что лежит</t>
        </is>
      </c>
    </row>
    <row r="124" ht="15.75" customHeight="1" s="194">
      <c r="B124" s="9" t="inlineStr">
        <is>
          <t>01_Вводные</t>
        </is>
      </c>
      <c r="C124" s="56" t="inlineStr">
        <is>
          <t>Единственное место, где что-то вводится руками</t>
        </is>
      </c>
    </row>
    <row r="125" ht="15.75" customHeight="1" s="194">
      <c r="B125" s="9" t="inlineStr">
        <is>
          <t>02_Результат</t>
        </is>
      </c>
      <c r="C125" s="56" t="inlineStr">
        <is>
          <t>БДР и БДДС: годы слева, месяцы справа</t>
        </is>
      </c>
    </row>
    <row r="126" ht="15.75" customHeight="1" s="194">
      <c r="B126" s="9" t="inlineStr">
        <is>
          <t>03_Сеть</t>
        </is>
      </c>
      <c r="C126" s="56" t="inlineStr">
        <is>
          <t>Расшифровка: продажи, открытия, школы, дети</t>
        </is>
      </c>
    </row>
    <row r="127" ht="15.75" customHeight="1" s="194">
      <c r="B127" s="9" t="inlineStr">
        <is>
          <t>04_Доходы</t>
        </is>
      </c>
      <c r="C127" s="56" t="inlineStr">
        <is>
          <t>Расшифровка: паушальные, роялти, мерч</t>
        </is>
      </c>
    </row>
    <row r="128" ht="15.75" customHeight="1" s="194">
      <c r="B128" s="9" t="inlineStr">
        <is>
          <t>05_Расходы</t>
        </is>
      </c>
      <c r="C128" s="56" t="inlineStr">
        <is>
          <t>Расшифровка: ФОТ, OPEX, выплаты ФК</t>
        </is>
      </c>
    </row>
    <row r="129" ht="15.75" customHeight="1" s="194">
      <c r="B129" s="9" t="inlineStr">
        <is>
          <t>06_Деньги</t>
        </is>
      </c>
      <c r="C129" s="56" t="inlineStr">
        <is>
          <t>Расшифровка: склад, займ, НДС, оборотка</t>
        </is>
      </c>
    </row>
    <row r="130" ht="15.75" customHeight="1" s="194">
      <c r="B130" s="9" t="inlineStr">
        <is>
          <t>07_Тарифы</t>
        </is>
      </c>
      <c r="C130" s="56" t="inlineStr">
        <is>
          <t>Справочник: индексы цен, возрастные тарифы</t>
        </is>
      </c>
    </row>
    <row r="131" ht="15.75" customHeight="1" s="194">
      <c r="B131" s="9" t="inlineStr">
        <is>
          <t>08_Проверки</t>
        </is>
      </c>
      <c r="C131" s="56" t="inlineStr">
        <is>
          <t>Основные контроли — их немного и они по делу</t>
        </is>
      </c>
    </row>
    <row r="132" ht="15.75" customHeight="1" s="194">
      <c r="B132" s="9" t="inlineStr">
        <is>
          <t>09_Инструкция</t>
        </is>
      </c>
      <c r="C132" s="56" t="inlineStr">
        <is>
          <t>Как пользоваться, гипотезы и словарь терминов</t>
        </is>
      </c>
    </row>
    <row r="133" ht="15.75" customHeight="1" s="194">
      <c r="B133" s="9" t="inlineStr">
        <is>
          <t>10_История</t>
        </is>
      </c>
      <c r="C133" s="56" t="inlineStr">
        <is>
          <t>Сезон 25/26 фактом: P&amp;L, реестр начислений</t>
        </is>
      </c>
    </row>
    <row r="134" ht="15.75" customHeight="1" s="194"/>
    <row r="135" ht="15.75" customHeight="1" s="194"/>
    <row r="136" ht="15.75" customHeight="1" s="194"/>
    <row r="137" ht="15.75" customHeight="1" s="194"/>
    <row r="138" ht="15.75" customHeight="1" s="194"/>
    <row r="139" ht="15.75" customHeight="1" s="194"/>
    <row r="140" ht="15.75" customHeight="1" s="194"/>
    <row r="141" ht="15.75" customHeight="1" s="194"/>
    <row r="142" ht="15.75" customHeight="1" s="194"/>
    <row r="143" ht="15.75" customHeight="1" s="194"/>
    <row r="144" ht="15.75" customHeight="1" s="194"/>
    <row r="145" ht="15.75" customHeight="1" s="194"/>
    <row r="146" ht="15.75" customHeight="1" s="194"/>
    <row r="147" ht="15.75" customHeight="1" s="194"/>
    <row r="148" ht="15.75" customHeight="1" s="194"/>
    <row r="149" ht="15.75" customHeight="1" s="194"/>
    <row r="150" ht="15.75" customHeight="1" s="194"/>
    <row r="151" ht="15.75" customHeight="1" s="194"/>
    <row r="152" ht="15.75" customHeight="1" s="194"/>
    <row r="153" ht="15.75" customHeight="1" s="194"/>
    <row r="154" ht="15.75" customHeight="1" s="194"/>
    <row r="155" ht="15.75" customHeight="1" s="194"/>
    <row r="156" ht="15.75" customHeight="1" s="194"/>
    <row r="157" ht="15.75" customHeight="1" s="194"/>
    <row r="158" ht="15.75" customHeight="1" s="194"/>
    <row r="159" ht="15.75" customHeight="1" s="194"/>
    <row r="160" ht="15.75" customHeight="1" s="194"/>
    <row r="161" ht="15.75" customHeight="1" s="194"/>
    <row r="162" ht="15.75" customHeight="1" s="194"/>
    <row r="163" ht="15.75" customHeight="1" s="194"/>
    <row r="164" ht="15.75" customHeight="1" s="194"/>
    <row r="165" ht="15.75" customHeight="1" s="194"/>
    <row r="166" ht="15.75" customHeight="1" s="194"/>
    <row r="167" ht="15.75" customHeight="1" s="194"/>
    <row r="168" ht="15.75" customHeight="1" s="194"/>
    <row r="169" ht="15.75" customHeight="1" s="194"/>
    <row r="170" ht="15.75" customHeight="1" s="194"/>
    <row r="171" ht="15.75" customHeight="1" s="194"/>
    <row r="172" ht="15.75" customHeight="1" s="194"/>
    <row r="173" ht="15.75" customHeight="1" s="194"/>
    <row r="174" ht="15.75" customHeight="1" s="194"/>
    <row r="175" ht="15.75" customHeight="1" s="194"/>
    <row r="176" ht="15.75" customHeight="1" s="194"/>
    <row r="177" ht="15.75" customHeight="1" s="194"/>
    <row r="178" ht="15.75" customHeight="1" s="194"/>
    <row r="179" ht="15.75" customHeight="1" s="194"/>
    <row r="180" ht="15.75" customHeight="1" s="194"/>
    <row r="181" ht="15.75" customHeight="1" s="194"/>
    <row r="182" ht="15.75" customHeight="1" s="194"/>
    <row r="183" ht="15.75" customHeight="1" s="194"/>
    <row r="184" ht="15.75" customHeight="1" s="194"/>
    <row r="185" ht="15.75" customHeight="1" s="194"/>
    <row r="186" ht="15.75" customHeight="1" s="194"/>
    <row r="187" ht="15.75" customHeight="1" s="194"/>
    <row r="188" ht="15.75" customHeight="1" s="194"/>
    <row r="189" ht="15.75" customHeight="1" s="194"/>
    <row r="190" ht="15.75" customHeight="1" s="194"/>
    <row r="191" ht="15.75" customHeight="1" s="194"/>
    <row r="192" ht="15.75" customHeight="1" s="194"/>
    <row r="193" ht="15.75" customHeight="1" s="194"/>
    <row r="194" ht="15.75" customHeight="1" s="194"/>
    <row r="195" ht="15.75" customHeight="1" s="194"/>
    <row r="196" ht="15.75" customHeight="1" s="194"/>
    <row r="197" ht="15.75" customHeight="1" s="194"/>
    <row r="198" ht="15.75" customHeight="1" s="194">
      <c r="B198" s="166" t="inlineStr">
        <is>
          <t>Служебное: те же годовые значения в миллионах — из них графики берут подписи. Ничего не вводится и не считается заново.</t>
        </is>
      </c>
    </row>
    <row r="199" ht="15.75" customHeight="1" s="194"/>
    <row r="200" ht="15.75" customHeight="1" s="194">
      <c r="B200" s="167" t="inlineStr">
        <is>
          <t>02_Результат строка 16</t>
        </is>
      </c>
      <c r="E200" s="168">
        <f>'02_Результат'!E16/1000000</f>
        <v/>
      </c>
      <c r="F200" s="168">
        <f>'02_Результат'!F16/1000000</f>
        <v/>
      </c>
      <c r="G200" s="168">
        <f>'02_Результат'!G16/1000000</f>
        <v/>
      </c>
      <c r="H200" s="168">
        <f>'02_Результат'!H16/1000000</f>
        <v/>
      </c>
      <c r="I200" s="168">
        <f>'02_Результат'!I16/1000000</f>
        <v/>
      </c>
    </row>
    <row r="201" ht="15.75" customHeight="1" s="194">
      <c r="B201" s="167" t="inlineStr">
        <is>
          <t>02_Результат строка 33</t>
        </is>
      </c>
      <c r="E201" s="168">
        <f>'02_Результат'!E33/1000000</f>
        <v/>
      </c>
      <c r="F201" s="168">
        <f>'02_Результат'!F33/1000000</f>
        <v/>
      </c>
      <c r="G201" s="168">
        <f>'02_Результат'!G33/1000000</f>
        <v/>
      </c>
      <c r="H201" s="168">
        <f>'02_Результат'!H33/1000000</f>
        <v/>
      </c>
      <c r="I201" s="168">
        <f>'02_Результат'!I33/1000000</f>
        <v/>
      </c>
    </row>
    <row r="202" ht="15.75" customHeight="1" s="194">
      <c r="B202" s="167" t="inlineStr">
        <is>
          <t>02_Результат строка 12</t>
        </is>
      </c>
      <c r="E202" s="168">
        <f>'02_Результат'!E12/1000000</f>
        <v/>
      </c>
      <c r="F202" s="168">
        <f>'02_Результат'!F12/1000000</f>
        <v/>
      </c>
      <c r="G202" s="168">
        <f>'02_Результат'!G12/1000000</f>
        <v/>
      </c>
      <c r="H202" s="168">
        <f>'02_Результат'!H12/1000000</f>
        <v/>
      </c>
      <c r="I202" s="168">
        <f>'02_Результат'!I12/1000000</f>
        <v/>
      </c>
    </row>
    <row r="203" ht="15.75" customHeight="1" s="194">
      <c r="B203" s="167" t="inlineStr">
        <is>
          <t>02_Результат строка 13</t>
        </is>
      </c>
      <c r="E203" s="168">
        <f>'02_Результат'!E13/1000000</f>
        <v/>
      </c>
      <c r="F203" s="168">
        <f>'02_Результат'!F13/1000000</f>
        <v/>
      </c>
      <c r="G203" s="168">
        <f>'02_Результат'!G13/1000000</f>
        <v/>
      </c>
      <c r="H203" s="168">
        <f>'02_Результат'!H13/1000000</f>
        <v/>
      </c>
      <c r="I203" s="168">
        <f>'02_Результат'!I13/1000000</f>
        <v/>
      </c>
    </row>
    <row r="204" ht="15.75" customHeight="1" s="194">
      <c r="B204" s="167" t="inlineStr">
        <is>
          <t>02_Результат строка 14</t>
        </is>
      </c>
      <c r="E204" s="168">
        <f>'02_Результат'!E14/1000000</f>
        <v/>
      </c>
      <c r="F204" s="168">
        <f>'02_Результат'!F14/1000000</f>
        <v/>
      </c>
      <c r="G204" s="168">
        <f>'02_Результат'!G14/1000000</f>
        <v/>
      </c>
      <c r="H204" s="168">
        <f>'02_Результат'!H14/1000000</f>
        <v/>
      </c>
      <c r="I204" s="168">
        <f>'02_Результат'!I14/1000000</f>
        <v/>
      </c>
    </row>
    <row r="205" ht="15.75" customHeight="1" s="194">
      <c r="B205" s="167" t="inlineStr">
        <is>
          <t>04_Доходы строка 131</t>
        </is>
      </c>
      <c r="E205" s="168">
        <f>'04_Доходы'!E131/1000000</f>
        <v/>
      </c>
      <c r="F205" s="168">
        <f>'04_Доходы'!F131/1000000</f>
        <v/>
      </c>
      <c r="G205" s="168">
        <f>'04_Доходы'!G131/1000000</f>
        <v/>
      </c>
      <c r="H205" s="168">
        <f>'04_Доходы'!H131/1000000</f>
        <v/>
      </c>
      <c r="I205" s="168">
        <f>'04_Доходы'!I131/1000000</f>
        <v/>
      </c>
    </row>
    <row r="206" ht="15.75" customHeight="1" s="194">
      <c r="B206" s="167" t="inlineStr">
        <is>
          <t>04_Доходы строка 135</t>
        </is>
      </c>
      <c r="E206" s="168">
        <f>'04_Доходы'!E135/1000000</f>
        <v/>
      </c>
      <c r="F206" s="168">
        <f>'04_Доходы'!F135/1000000</f>
        <v/>
      </c>
      <c r="G206" s="168">
        <f>'04_Доходы'!G135/1000000</f>
        <v/>
      </c>
      <c r="H206" s="168">
        <f>'04_Доходы'!H135/1000000</f>
        <v/>
      </c>
      <c r="I206" s="168">
        <f>'04_Доходы'!I135/1000000</f>
        <v/>
      </c>
    </row>
    <row r="207" ht="15.75" customHeight="1" s="194">
      <c r="B207" s="167" t="inlineStr">
        <is>
          <t>02_Результат строка 57</t>
        </is>
      </c>
      <c r="E207" s="168">
        <f>'02_Результат'!E57/1000000</f>
        <v/>
      </c>
      <c r="F207" s="168">
        <f>'02_Результат'!F57/1000000</f>
        <v/>
      </c>
      <c r="G207" s="168">
        <f>'02_Результат'!G57/1000000</f>
        <v/>
      </c>
      <c r="H207" s="168">
        <f>'02_Результат'!H57/1000000</f>
        <v/>
      </c>
      <c r="I207" s="168">
        <f>'02_Результат'!I57/1000000</f>
        <v/>
      </c>
    </row>
    <row r="208" ht="15.75" customHeight="1" s="194">
      <c r="B208" s="167" t="inlineStr">
        <is>
          <t>06_Деньги строка 19</t>
        </is>
      </c>
      <c r="E208" s="168">
        <f>'06_Деньги'!E19/1000000</f>
        <v/>
      </c>
      <c r="F208" s="168">
        <f>'06_Деньги'!F19/1000000</f>
        <v/>
      </c>
      <c r="G208" s="168">
        <f>'06_Деньги'!G19/1000000</f>
        <v/>
      </c>
      <c r="H208" s="168">
        <f>'06_Деньги'!H19/1000000</f>
        <v/>
      </c>
      <c r="I208" s="168">
        <f>'06_Деньги'!I19/1000000</f>
        <v/>
      </c>
    </row>
    <row r="209" ht="15.75" customHeight="1" s="194"/>
    <row r="210" ht="15.75" customHeight="1" s="194"/>
    <row r="211" ht="15.75" customHeight="1" s="194"/>
    <row r="212" ht="15.75" customHeight="1" s="194"/>
    <row r="213" ht="15.75" customHeight="1" s="194"/>
    <row r="214" ht="15.75" customHeight="1" s="194"/>
    <row r="215" ht="15.75" customHeight="1" s="194"/>
    <row r="216" ht="15.75" customHeight="1" s="194"/>
    <row r="217" ht="15.75" customHeight="1" s="194"/>
    <row r="218" ht="15.75" customHeight="1" s="194"/>
    <row r="219" ht="15.75" customHeight="1" s="194"/>
    <row r="220" ht="15.75" customHeight="1" s="194"/>
    <row r="221" ht="15.75" customHeight="1" s="194"/>
    <row r="222" ht="15.75" customHeight="1" s="194"/>
    <row r="223" ht="15.75" customHeight="1" s="194"/>
    <row r="224" ht="15.75" customHeight="1" s="194"/>
    <row r="225" ht="15.75" customHeight="1" s="194"/>
    <row r="226" ht="15.75" customHeight="1" s="194"/>
    <row r="227" ht="15.75" customHeight="1" s="194"/>
    <row r="228" ht="15.75" customHeight="1" s="194"/>
    <row r="229" ht="15.75" customHeight="1" s="194"/>
    <row r="230" ht="15.75" customHeight="1" s="194"/>
    <row r="231" ht="15.75" customHeight="1" s="194"/>
    <row r="232" ht="15.75" customHeight="1" s="194"/>
    <row r="233" ht="15.75" customHeight="1" s="194"/>
    <row r="234" ht="15.75" customHeight="1" s="194"/>
    <row r="235" ht="15.75" customHeight="1" s="194"/>
    <row r="236" ht="15.75" customHeight="1" s="194"/>
    <row r="237" ht="15.75" customHeight="1" s="194"/>
    <row r="238" ht="15.75" customHeight="1" s="194"/>
    <row r="239" ht="15.75" customHeight="1" s="194"/>
    <row r="240" ht="15.75" customHeight="1" s="194"/>
    <row r="241" ht="15.75" customHeight="1" s="194"/>
    <row r="242" ht="15.75" customHeight="1" s="194"/>
    <row r="243" ht="15.75" customHeight="1" s="194"/>
    <row r="244" ht="15.75" customHeight="1" s="194"/>
    <row r="245" ht="15.75" customHeight="1" s="194"/>
    <row r="246" ht="15.75" customHeight="1" s="194"/>
    <row r="247" ht="15.75" customHeight="1" s="194"/>
    <row r="248" ht="15.75" customHeight="1" s="194"/>
    <row r="249" ht="15.75" customHeight="1" s="194"/>
    <row r="250" ht="15.75" customHeight="1" s="194"/>
    <row r="251" ht="15.75" customHeight="1" s="194"/>
    <row r="252" ht="15.75" customHeight="1" s="194"/>
    <row r="253" ht="15.75" customHeight="1" s="194"/>
    <row r="254" ht="15.75" customHeight="1" s="194"/>
    <row r="255" ht="15.75" customHeight="1" s="194"/>
    <row r="256" ht="15.75" customHeight="1" s="194"/>
    <row r="257" ht="15.75" customHeight="1" s="194"/>
    <row r="258" ht="15.75" customHeight="1" s="194"/>
    <row r="259" ht="15.75" customHeight="1" s="194"/>
    <row r="260" ht="15.75" customHeight="1" s="194"/>
    <row r="261" ht="15.75" customHeight="1" s="194"/>
    <row r="262" ht="15.75" customHeight="1" s="194"/>
    <row r="263" ht="15.75" customHeight="1" s="194"/>
    <row r="264" ht="15.75" customHeight="1" s="194"/>
    <row r="265" ht="15.75" customHeight="1" s="194"/>
    <row r="266" ht="15.75" customHeight="1" s="194"/>
    <row r="267" ht="15.75" customHeight="1" s="194"/>
    <row r="268" ht="15.75" customHeight="1" s="194"/>
    <row r="269" ht="15.75" customHeight="1" s="194"/>
    <row r="270" ht="15.75" customHeight="1" s="194"/>
    <row r="271" ht="15.75" customHeight="1" s="194"/>
    <row r="272" ht="15.75" customHeight="1" s="194"/>
    <row r="273" ht="15.75" customHeight="1" s="194"/>
    <row r="274" ht="15.75" customHeight="1" s="194"/>
    <row r="275" ht="15.75" customHeight="1" s="194"/>
    <row r="276" ht="15.75" customHeight="1" s="194"/>
    <row r="277" ht="15.75" customHeight="1" s="194"/>
    <row r="278" ht="15.75" customHeight="1" s="194"/>
    <row r="279" ht="15.75" customHeight="1" s="194"/>
    <row r="280" ht="15.75" customHeight="1" s="194"/>
    <row r="281" ht="15.75" customHeight="1" s="194"/>
    <row r="282" ht="15.75" customHeight="1" s="194"/>
    <row r="283" ht="15.75" customHeight="1" s="194"/>
    <row r="284" ht="15.75" customHeight="1" s="194"/>
    <row r="285" ht="15.75" customHeight="1" s="194"/>
    <row r="286" ht="15.75" customHeight="1" s="194"/>
    <row r="287" ht="15.75" customHeight="1" s="194"/>
    <row r="288" ht="15.75" customHeight="1" s="194"/>
    <row r="289" ht="15.75" customHeight="1" s="194"/>
    <row r="290" ht="15.75" customHeight="1" s="194"/>
    <row r="291" ht="15.75" customHeight="1" s="194"/>
    <row r="292" ht="15.75" customHeight="1" s="194"/>
    <row r="293" ht="15.75" customHeight="1" s="194"/>
    <row r="294" ht="15.75" customHeight="1" s="194"/>
    <row r="295" ht="15.75" customHeight="1" s="194"/>
    <row r="296" ht="15.75" customHeight="1" s="194"/>
    <row r="297" ht="15.75" customHeight="1" s="194"/>
    <row r="298" ht="15.75" customHeight="1" s="194"/>
    <row r="299" ht="15.75" customHeight="1" s="194"/>
    <row r="300" ht="15.75" customHeight="1" s="194"/>
    <row r="301" ht="15.75" customHeight="1" s="194"/>
    <row r="302" ht="15.75" customHeight="1" s="194"/>
    <row r="303" ht="15.75" customHeight="1" s="194"/>
    <row r="304" ht="15.75" customHeight="1" s="194"/>
    <row r="305" ht="15.75" customHeight="1" s="194"/>
    <row r="306" ht="15.75" customHeight="1" s="194"/>
    <row r="307" ht="15.75" customHeight="1" s="194"/>
    <row r="308" ht="15.75" customHeight="1" s="194"/>
    <row r="309" ht="15.75" customHeight="1" s="194"/>
    <row r="310" ht="15.75" customHeight="1" s="194"/>
    <row r="311" ht="15.75" customHeight="1" s="194"/>
    <row r="312" ht="15.75" customHeight="1" s="194"/>
    <row r="313" ht="15.75" customHeight="1" s="194"/>
    <row r="314" ht="15.75" customHeight="1" s="194"/>
    <row r="315" ht="15.75" customHeight="1" s="194"/>
    <row r="316" ht="15.75" customHeight="1" s="194"/>
    <row r="317" ht="15.75" customHeight="1" s="194"/>
    <row r="318" ht="15.75" customHeight="1" s="194"/>
    <row r="319" ht="15.75" customHeight="1" s="194"/>
    <row r="320" ht="15.75" customHeight="1" s="194"/>
    <row r="321" ht="15.75" customHeight="1" s="194"/>
    <row r="322" ht="15.75" customHeight="1" s="194"/>
    <row r="323" ht="15.75" customHeight="1" s="194"/>
    <row r="324" ht="15.75" customHeight="1" s="194"/>
    <row r="325" ht="15.75" customHeight="1" s="194"/>
    <row r="326" ht="15.75" customHeight="1" s="194"/>
    <row r="327" ht="15.75" customHeight="1" s="194"/>
    <row r="328" ht="15.75" customHeight="1" s="194"/>
    <row r="329" ht="15.75" customHeight="1" s="194"/>
    <row r="330" ht="15.75" customHeight="1" s="194"/>
    <row r="331" ht="15.75" customHeight="1" s="194"/>
    <row r="332" ht="15.75" customHeight="1" s="194"/>
    <row r="333" ht="15.75" customHeight="1" s="194"/>
    <row r="334" ht="15.75" customHeight="1" s="194"/>
    <row r="335" ht="15.75" customHeight="1" s="194"/>
    <row r="336" ht="15.75" customHeight="1" s="194"/>
    <row r="337" ht="15.75" customHeight="1" s="194"/>
    <row r="338" ht="15.75" customHeight="1" s="194"/>
    <row r="339" ht="15.75" customHeight="1" s="194"/>
    <row r="340" ht="15.75" customHeight="1" s="194"/>
    <row r="341" ht="15.75" customHeight="1" s="194"/>
    <row r="342" ht="15.75" customHeight="1" s="194"/>
    <row r="343" ht="15.75" customHeight="1" s="194"/>
    <row r="344" ht="15.75" customHeight="1" s="194"/>
    <row r="345" ht="15.75" customHeight="1" s="194"/>
    <row r="346" ht="15.75" customHeight="1" s="194"/>
    <row r="347" ht="15.75" customHeight="1" s="194"/>
    <row r="348" ht="15.75" customHeight="1" s="194"/>
    <row r="349" ht="15.75" customHeight="1" s="194"/>
    <row r="350" ht="15.75" customHeight="1" s="194"/>
    <row r="351" ht="15.75" customHeight="1" s="194"/>
    <row r="352" ht="15.75" customHeight="1" s="194"/>
    <row r="353" ht="15.75" customHeight="1" s="194"/>
    <row r="354" ht="15.75" customHeight="1" s="194"/>
    <row r="355" ht="15.75" customHeight="1" s="194"/>
    <row r="356" ht="15.75" customHeight="1" s="194"/>
    <row r="357" ht="15.75" customHeight="1" s="194"/>
    <row r="358" ht="15.75" customHeight="1" s="194"/>
    <row r="359" ht="15.75" customHeight="1" s="194"/>
    <row r="360" ht="15.75" customHeight="1" s="194"/>
    <row r="361" ht="15.75" customHeight="1" s="194"/>
    <row r="362" ht="15.75" customHeight="1" s="194"/>
    <row r="363" ht="15.75" customHeight="1" s="194"/>
    <row r="364" ht="15.75" customHeight="1" s="194"/>
    <row r="365" ht="15.75" customHeight="1" s="194"/>
    <row r="366" ht="15.75" customHeight="1" s="194"/>
    <row r="367" ht="15.75" customHeight="1" s="194"/>
    <row r="368" ht="15.75" customHeight="1" s="194"/>
    <row r="369" ht="15.75" customHeight="1" s="194"/>
    <row r="370" ht="15.75" customHeight="1" s="194"/>
    <row r="371" ht="15.75" customHeight="1" s="194"/>
    <row r="372" ht="15.75" customHeight="1" s="194"/>
    <row r="373" ht="15.75" customHeight="1" s="194"/>
    <row r="374" ht="15.75" customHeight="1" s="194"/>
    <row r="375" ht="15.75" customHeight="1" s="194"/>
    <row r="376" ht="15.75" customHeight="1" s="194"/>
    <row r="377" ht="15.75" customHeight="1" s="194"/>
    <row r="378" ht="15.75" customHeight="1" s="194"/>
    <row r="379" ht="15.75" customHeight="1" s="194"/>
    <row r="380" ht="15.75" customHeight="1" s="194"/>
    <row r="381" ht="15.75" customHeight="1" s="194"/>
    <row r="382" ht="15.75" customHeight="1" s="194"/>
    <row r="383" ht="15.75" customHeight="1" s="194"/>
    <row r="384" ht="15.75" customHeight="1" s="194"/>
    <row r="385" ht="15.75" customHeight="1" s="194"/>
    <row r="386" ht="15.75" customHeight="1" s="194"/>
    <row r="387" ht="15.75" customHeight="1" s="194"/>
    <row r="388" ht="15.75" customHeight="1" s="194"/>
    <row r="389" ht="15.75" customHeight="1" s="194"/>
    <row r="390" ht="15.75" customHeight="1" s="194"/>
    <row r="391" ht="15.75" customHeight="1" s="194"/>
    <row r="392" ht="15.75" customHeight="1" s="194"/>
    <row r="393" ht="15.75" customHeight="1" s="194"/>
    <row r="394" ht="15.75" customHeight="1" s="194"/>
    <row r="395" ht="15.75" customHeight="1" s="194"/>
    <row r="396" ht="15.75" customHeight="1" s="194"/>
    <row r="397" ht="15.75" customHeight="1" s="194"/>
    <row r="398" ht="15.75" customHeight="1" s="194"/>
    <row r="399" ht="15.75" customHeight="1" s="194"/>
    <row r="400" ht="15.75" customHeight="1" s="194"/>
    <row r="401" ht="15.75" customHeight="1" s="194"/>
    <row r="402" ht="15.75" customHeight="1" s="194"/>
    <row r="403" ht="15.75" customHeight="1" s="194"/>
    <row r="404" ht="15.75" customHeight="1" s="194"/>
    <row r="405" ht="15.75" customHeight="1" s="194"/>
    <row r="406" ht="15.75" customHeight="1" s="194"/>
    <row r="407" ht="15.75" customHeight="1" s="194"/>
    <row r="408" ht="15.75" customHeight="1" s="194"/>
    <row r="409" ht="15.75" customHeight="1" s="194"/>
    <row r="410" ht="15.75" customHeight="1" s="194"/>
    <row r="411" ht="15.75" customHeight="1" s="194"/>
    <row r="412" ht="15.75" customHeight="1" s="194"/>
    <row r="413" ht="15.75" customHeight="1" s="194"/>
    <row r="414" ht="15.75" customHeight="1" s="194"/>
    <row r="415" ht="15.75" customHeight="1" s="194"/>
    <row r="416" ht="15.75" customHeight="1" s="194"/>
    <row r="417" ht="15.75" customHeight="1" s="194"/>
    <row r="418" ht="15.75" customHeight="1" s="194"/>
    <row r="419" ht="15.75" customHeight="1" s="194"/>
    <row r="420" ht="15.75" customHeight="1" s="194"/>
    <row r="421" ht="15.75" customHeight="1" s="194"/>
    <row r="422" ht="15.75" customHeight="1" s="194"/>
    <row r="423" ht="15.75" customHeight="1" s="194"/>
    <row r="424" ht="15.75" customHeight="1" s="194"/>
    <row r="425" ht="15.75" customHeight="1" s="194"/>
    <row r="426" ht="15.75" customHeight="1" s="194"/>
    <row r="427" ht="15.75" customHeight="1" s="194"/>
    <row r="428" ht="15.75" customHeight="1" s="194"/>
    <row r="429" ht="15.75" customHeight="1" s="194"/>
    <row r="430" ht="15.75" customHeight="1" s="194"/>
    <row r="431" ht="15.75" customHeight="1" s="194"/>
    <row r="432" ht="15.75" customHeight="1" s="194"/>
    <row r="433" ht="15.75" customHeight="1" s="194"/>
    <row r="434" ht="15.75" customHeight="1" s="194"/>
    <row r="435" ht="15.75" customHeight="1" s="194"/>
    <row r="436" ht="15.75" customHeight="1" s="194"/>
    <row r="437" ht="15.75" customHeight="1" s="194"/>
    <row r="438" ht="15.75" customHeight="1" s="194"/>
    <row r="439" ht="15.75" customHeight="1" s="194"/>
    <row r="440" ht="15.75" customHeight="1" s="194"/>
    <row r="441" ht="15.75" customHeight="1" s="194"/>
    <row r="442" ht="15.75" customHeight="1" s="194"/>
    <row r="443" ht="15.75" customHeight="1" s="194"/>
    <row r="444" ht="15.75" customHeight="1" s="194"/>
    <row r="445" ht="15.75" customHeight="1" s="194"/>
    <row r="446" ht="15.75" customHeight="1" s="194"/>
    <row r="447" ht="15.75" customHeight="1" s="194"/>
    <row r="448" ht="15.75" customHeight="1" s="194"/>
    <row r="449" ht="15.75" customHeight="1" s="194"/>
    <row r="450" ht="15.75" customHeight="1" s="194"/>
    <row r="451" ht="15.75" customHeight="1" s="194"/>
    <row r="452" ht="15.75" customHeight="1" s="194"/>
    <row r="453" ht="15.75" customHeight="1" s="194"/>
    <row r="454" ht="15.75" customHeight="1" s="194"/>
    <row r="455" ht="15.75" customHeight="1" s="194"/>
    <row r="456" ht="15.75" customHeight="1" s="194"/>
    <row r="457" ht="15.75" customHeight="1" s="194"/>
    <row r="458" ht="15.75" customHeight="1" s="194"/>
    <row r="459" ht="15.75" customHeight="1" s="194"/>
    <row r="460" ht="15.75" customHeight="1" s="194"/>
    <row r="461" ht="15.75" customHeight="1" s="194"/>
    <row r="462" ht="15.75" customHeight="1" s="194"/>
    <row r="463" ht="15.75" customHeight="1" s="194"/>
    <row r="464" ht="15.75" customHeight="1" s="194"/>
    <row r="465" ht="15.75" customHeight="1" s="194"/>
    <row r="466" ht="15.75" customHeight="1" s="194"/>
    <row r="467" ht="15.75" customHeight="1" s="194"/>
    <row r="468" ht="15.75" customHeight="1" s="194"/>
    <row r="469" ht="15.75" customHeight="1" s="194"/>
    <row r="470" ht="15.75" customHeight="1" s="194"/>
    <row r="471" ht="15.75" customHeight="1" s="194"/>
    <row r="472" ht="15.75" customHeight="1" s="194"/>
    <row r="473" ht="15.75" customHeight="1" s="194"/>
    <row r="474" ht="15.75" customHeight="1" s="194"/>
    <row r="475" ht="15.75" customHeight="1" s="194"/>
    <row r="476" ht="15.75" customHeight="1" s="194"/>
    <row r="477" ht="15.75" customHeight="1" s="194"/>
    <row r="478" ht="15.75" customHeight="1" s="194"/>
    <row r="479" ht="15.75" customHeight="1" s="194"/>
    <row r="480" ht="15.75" customHeight="1" s="194"/>
    <row r="481" ht="15.75" customHeight="1" s="194"/>
    <row r="482" ht="15.75" customHeight="1" s="194"/>
    <row r="483" ht="15.75" customHeight="1" s="194"/>
    <row r="484" ht="15.75" customHeight="1" s="194"/>
    <row r="485" ht="15.75" customHeight="1" s="194"/>
    <row r="486" ht="15.75" customHeight="1" s="194"/>
    <row r="487" ht="15.75" customHeight="1" s="194"/>
    <row r="488" ht="15.75" customHeight="1" s="194"/>
    <row r="489" ht="15.75" customHeight="1" s="194"/>
    <row r="490" ht="15.75" customHeight="1" s="194"/>
    <row r="491" ht="15.75" customHeight="1" s="194"/>
    <row r="492" ht="15.75" customHeight="1" s="194"/>
    <row r="493" ht="15.75" customHeight="1" s="194"/>
    <row r="494" ht="15.75" customHeight="1" s="194"/>
    <row r="495" ht="15.75" customHeight="1" s="194"/>
    <row r="496" ht="15.75" customHeight="1" s="194"/>
    <row r="497" ht="15.75" customHeight="1" s="194"/>
    <row r="498" ht="15.75" customHeight="1" s="194"/>
    <row r="499" ht="15.75" customHeight="1" s="194"/>
    <row r="500" ht="15.75" customHeight="1" s="194"/>
    <row r="501" ht="15.75" customHeight="1" s="194"/>
    <row r="502" ht="15.75" customHeight="1" s="194"/>
    <row r="503" ht="15.75" customHeight="1" s="194"/>
    <row r="504" ht="15.75" customHeight="1" s="194"/>
    <row r="505" ht="15.75" customHeight="1" s="194"/>
    <row r="506" ht="15.75" customHeight="1" s="194"/>
    <row r="507" ht="15.75" customHeight="1" s="194"/>
    <row r="508" ht="15.75" customHeight="1" s="194"/>
    <row r="509" ht="15.75" customHeight="1" s="194"/>
    <row r="510" ht="15.75" customHeight="1" s="194"/>
    <row r="511" ht="15.75" customHeight="1" s="194"/>
    <row r="512" ht="15.75" customHeight="1" s="194"/>
    <row r="513" ht="15.75" customHeight="1" s="194"/>
    <row r="514" ht="15.75" customHeight="1" s="194"/>
    <row r="515" ht="15.75" customHeight="1" s="194"/>
    <row r="516" ht="15.75" customHeight="1" s="194"/>
    <row r="517" ht="15.75" customHeight="1" s="194"/>
    <row r="518" ht="15.75" customHeight="1" s="194"/>
    <row r="519" ht="15.75" customHeight="1" s="194"/>
    <row r="520" ht="15.75" customHeight="1" s="194"/>
    <row r="521" ht="15.75" customHeight="1" s="194"/>
    <row r="522" ht="15.75" customHeight="1" s="194"/>
    <row r="523" ht="15.75" customHeight="1" s="194"/>
    <row r="524" ht="15.75" customHeight="1" s="194"/>
    <row r="525" ht="15.75" customHeight="1" s="194"/>
    <row r="526" ht="15.75" customHeight="1" s="194"/>
    <row r="527" ht="15.75" customHeight="1" s="194"/>
    <row r="528" ht="15.75" customHeight="1" s="194"/>
    <row r="529" ht="15.75" customHeight="1" s="194"/>
    <row r="530" ht="15.75" customHeight="1" s="194"/>
    <row r="531" ht="15.75" customHeight="1" s="194"/>
    <row r="532" ht="15.75" customHeight="1" s="194"/>
    <row r="533" ht="15.75" customHeight="1" s="194"/>
    <row r="534" ht="15.75" customHeight="1" s="194"/>
    <row r="535" ht="15.75" customHeight="1" s="194"/>
    <row r="536" ht="15.75" customHeight="1" s="194"/>
    <row r="537" ht="15.75" customHeight="1" s="194"/>
    <row r="538" ht="15.75" customHeight="1" s="194"/>
    <row r="539" ht="15.75" customHeight="1" s="194"/>
    <row r="540" ht="15.75" customHeight="1" s="194"/>
    <row r="541" ht="15.75" customHeight="1" s="194"/>
    <row r="542" ht="15.75" customHeight="1" s="194"/>
    <row r="543" ht="15.75" customHeight="1" s="194"/>
    <row r="544" ht="15.75" customHeight="1" s="194"/>
    <row r="545" ht="15.75" customHeight="1" s="194"/>
    <row r="546" ht="15.75" customHeight="1" s="194"/>
    <row r="547" ht="15.75" customHeight="1" s="194"/>
    <row r="548" ht="15.75" customHeight="1" s="194"/>
    <row r="549" ht="15.75" customHeight="1" s="194"/>
    <row r="550" ht="15.75" customHeight="1" s="194"/>
    <row r="551" ht="15.75" customHeight="1" s="194"/>
    <row r="552" ht="15.75" customHeight="1" s="194"/>
    <row r="553" ht="15.75" customHeight="1" s="194"/>
    <row r="554" ht="15.75" customHeight="1" s="194"/>
    <row r="555" ht="15.75" customHeight="1" s="194"/>
    <row r="556" ht="15.75" customHeight="1" s="194"/>
    <row r="557" ht="15.75" customHeight="1" s="194"/>
    <row r="558" ht="15.75" customHeight="1" s="194"/>
    <row r="559" ht="15.75" customHeight="1" s="194"/>
    <row r="560" ht="15.75" customHeight="1" s="194"/>
    <row r="561" ht="15.75" customHeight="1" s="194"/>
    <row r="562" ht="15.75" customHeight="1" s="194"/>
    <row r="563" ht="15.75" customHeight="1" s="194"/>
    <row r="564" ht="15.75" customHeight="1" s="194"/>
    <row r="565" ht="15.75" customHeight="1" s="194"/>
    <row r="566" ht="15.75" customHeight="1" s="194"/>
    <row r="567" ht="15.75" customHeight="1" s="194"/>
    <row r="568" ht="15.75" customHeight="1" s="194"/>
    <row r="569" ht="15.75" customHeight="1" s="194"/>
    <row r="570" ht="15.75" customHeight="1" s="194"/>
    <row r="571" ht="15.75" customHeight="1" s="194"/>
    <row r="572" ht="15.75" customHeight="1" s="194"/>
    <row r="573" ht="15.75" customHeight="1" s="194"/>
    <row r="574" ht="15.75" customHeight="1" s="194"/>
    <row r="575" ht="15.75" customHeight="1" s="194"/>
    <row r="576" ht="15.75" customHeight="1" s="194"/>
    <row r="577" ht="15.75" customHeight="1" s="194"/>
    <row r="578" ht="15.75" customHeight="1" s="194"/>
    <row r="579" ht="15.75" customHeight="1" s="194"/>
    <row r="580" ht="15.75" customHeight="1" s="194"/>
    <row r="581" ht="15.75" customHeight="1" s="194"/>
    <row r="582" ht="15.75" customHeight="1" s="194"/>
    <row r="583" ht="15.75" customHeight="1" s="194"/>
    <row r="584" ht="15.75" customHeight="1" s="194"/>
    <row r="585" ht="15.75" customHeight="1" s="194"/>
    <row r="586" ht="15.75" customHeight="1" s="194"/>
    <row r="587" ht="15.75" customHeight="1" s="194"/>
    <row r="588" ht="15.75" customHeight="1" s="194"/>
    <row r="589" ht="15.75" customHeight="1" s="194"/>
    <row r="590" ht="15.75" customHeight="1" s="194"/>
    <row r="591" ht="15.75" customHeight="1" s="194"/>
    <row r="592" ht="15.75" customHeight="1" s="194"/>
    <row r="593" ht="15.75" customHeight="1" s="194"/>
    <row r="594" ht="15.75" customHeight="1" s="194"/>
    <row r="595" ht="15.75" customHeight="1" s="194"/>
    <row r="596" ht="15.75" customHeight="1" s="194"/>
    <row r="597" ht="15.75" customHeight="1" s="194"/>
    <row r="598" ht="15.75" customHeight="1" s="194"/>
    <row r="599" ht="15.75" customHeight="1" s="194"/>
    <row r="600" ht="15.75" customHeight="1" s="194"/>
    <row r="601" ht="15.75" customHeight="1" s="194"/>
    <row r="602" ht="15.75" customHeight="1" s="194"/>
    <row r="603" ht="15.75" customHeight="1" s="194"/>
    <row r="604" ht="15.75" customHeight="1" s="194"/>
    <row r="605" ht="15.75" customHeight="1" s="194"/>
    <row r="606" ht="15.75" customHeight="1" s="194"/>
    <row r="607" ht="15.75" customHeight="1" s="194"/>
    <row r="608" ht="15.75" customHeight="1" s="194"/>
    <row r="609" ht="15.75" customHeight="1" s="194"/>
    <row r="610" ht="15.75" customHeight="1" s="194"/>
    <row r="611" ht="15.75" customHeight="1" s="194"/>
    <row r="612" ht="15.75" customHeight="1" s="194"/>
    <row r="613" ht="15.75" customHeight="1" s="194"/>
    <row r="614" ht="15.75" customHeight="1" s="194"/>
    <row r="615" ht="15.75" customHeight="1" s="194"/>
    <row r="616" ht="15.75" customHeight="1" s="194"/>
    <row r="617" ht="15.75" customHeight="1" s="194"/>
    <row r="618" ht="15.75" customHeight="1" s="194"/>
    <row r="619" ht="15.75" customHeight="1" s="194"/>
    <row r="620" ht="15.75" customHeight="1" s="194"/>
    <row r="621" ht="15.75" customHeight="1" s="194"/>
    <row r="622" ht="15.75" customHeight="1" s="194"/>
    <row r="623" ht="15.75" customHeight="1" s="194"/>
    <row r="624" ht="15.75" customHeight="1" s="194"/>
    <row r="625" ht="15.75" customHeight="1" s="194"/>
    <row r="626" ht="15.75" customHeight="1" s="194"/>
    <row r="627" ht="15.75" customHeight="1" s="194"/>
    <row r="628" ht="15.75" customHeight="1" s="194"/>
    <row r="629" ht="15.75" customHeight="1" s="194"/>
    <row r="630" ht="15.75" customHeight="1" s="194"/>
    <row r="631" ht="15.75" customHeight="1" s="194"/>
    <row r="632" ht="15.75" customHeight="1" s="194"/>
    <row r="633" ht="15.75" customHeight="1" s="194"/>
    <row r="634" ht="15.75" customHeight="1" s="194"/>
    <row r="635" ht="15.75" customHeight="1" s="194"/>
    <row r="636" ht="15.75" customHeight="1" s="194"/>
    <row r="637" ht="15.75" customHeight="1" s="194"/>
    <row r="638" ht="15.75" customHeight="1" s="194"/>
    <row r="639" ht="15.75" customHeight="1" s="194"/>
    <row r="640" ht="15.75" customHeight="1" s="194"/>
    <row r="641" ht="15.75" customHeight="1" s="194"/>
    <row r="642" ht="15.75" customHeight="1" s="194"/>
    <row r="643" ht="15.75" customHeight="1" s="194"/>
    <row r="644" ht="15.75" customHeight="1" s="194"/>
    <row r="645" ht="15.75" customHeight="1" s="194"/>
    <row r="646" ht="15.75" customHeight="1" s="194"/>
    <row r="647" ht="15.75" customHeight="1" s="194"/>
    <row r="648" ht="15.75" customHeight="1" s="194"/>
    <row r="649" ht="15.75" customHeight="1" s="194"/>
    <row r="650" ht="15.75" customHeight="1" s="194"/>
    <row r="651" ht="15.75" customHeight="1" s="194"/>
    <row r="652" ht="15.75" customHeight="1" s="194"/>
    <row r="653" ht="15.75" customHeight="1" s="194"/>
    <row r="654" ht="15.75" customHeight="1" s="194"/>
    <row r="655" ht="15.75" customHeight="1" s="194"/>
    <row r="656" ht="15.75" customHeight="1" s="194"/>
    <row r="657" ht="15.75" customHeight="1" s="194"/>
    <row r="658" ht="15.75" customHeight="1" s="194"/>
    <row r="659" ht="15.75" customHeight="1" s="194"/>
    <row r="660" ht="15.75" customHeight="1" s="194"/>
    <row r="661" ht="15.75" customHeight="1" s="194"/>
    <row r="662" ht="15.75" customHeight="1" s="194"/>
    <row r="663" ht="15.75" customHeight="1" s="194"/>
    <row r="664" ht="15.75" customHeight="1" s="194"/>
    <row r="665" ht="15.75" customHeight="1" s="194"/>
    <row r="666" ht="15.75" customHeight="1" s="194"/>
    <row r="667" ht="15.75" customHeight="1" s="194"/>
    <row r="668" ht="15.75" customHeight="1" s="194"/>
    <row r="669" ht="15.75" customHeight="1" s="194"/>
    <row r="670" ht="15.75" customHeight="1" s="194"/>
    <row r="671" ht="15.75" customHeight="1" s="194"/>
    <row r="672" ht="15.75" customHeight="1" s="194"/>
    <row r="673" ht="15.75" customHeight="1" s="194"/>
    <row r="674" ht="15.75" customHeight="1" s="194"/>
    <row r="675" ht="15.75" customHeight="1" s="194"/>
    <row r="676" ht="15.75" customHeight="1" s="194"/>
    <row r="677" ht="15.75" customHeight="1" s="194"/>
    <row r="678" ht="15.75" customHeight="1" s="194"/>
    <row r="679" ht="15.75" customHeight="1" s="194"/>
    <row r="680" ht="15.75" customHeight="1" s="194"/>
    <row r="681" ht="15.75" customHeight="1" s="194"/>
    <row r="682" ht="15.75" customHeight="1" s="194"/>
    <row r="683" ht="15.75" customHeight="1" s="194"/>
    <row r="684" ht="15.75" customHeight="1" s="194"/>
    <row r="685" ht="15.75" customHeight="1" s="194"/>
    <row r="686" ht="15.75" customHeight="1" s="194"/>
    <row r="687" ht="15.75" customHeight="1" s="194"/>
    <row r="688" ht="15.75" customHeight="1" s="194"/>
    <row r="689" ht="15.75" customHeight="1" s="194"/>
    <row r="690" ht="15.75" customHeight="1" s="194"/>
    <row r="691" ht="15.75" customHeight="1" s="194"/>
    <row r="692" ht="15.75" customHeight="1" s="194"/>
    <row r="693" ht="15.75" customHeight="1" s="194"/>
    <row r="694" ht="15.75" customHeight="1" s="194"/>
    <row r="695" ht="15.75" customHeight="1" s="194"/>
    <row r="696" ht="15.75" customHeight="1" s="194"/>
    <row r="697" ht="15.75" customHeight="1" s="194"/>
    <row r="698" ht="15.75" customHeight="1" s="194"/>
    <row r="699" ht="15.75" customHeight="1" s="194"/>
    <row r="700" ht="15.75" customHeight="1" s="194"/>
    <row r="701" ht="15.75" customHeight="1" s="194"/>
    <row r="702" ht="15.75" customHeight="1" s="194"/>
    <row r="703" ht="15.75" customHeight="1" s="194"/>
    <row r="704" ht="15.75" customHeight="1" s="194"/>
    <row r="705" ht="15.75" customHeight="1" s="194"/>
    <row r="706" ht="15.75" customHeight="1" s="194"/>
    <row r="707" ht="15.75" customHeight="1" s="194"/>
    <row r="708" ht="15.75" customHeight="1" s="194"/>
    <row r="709" ht="15.75" customHeight="1" s="194"/>
    <row r="710" ht="15.75" customHeight="1" s="194"/>
    <row r="711" ht="15.75" customHeight="1" s="194"/>
    <row r="712" ht="15.75" customHeight="1" s="194"/>
    <row r="713" ht="15.75" customHeight="1" s="194"/>
    <row r="714" ht="15.75" customHeight="1" s="194"/>
    <row r="715" ht="15.75" customHeight="1" s="194"/>
    <row r="716" ht="15.75" customHeight="1" s="194"/>
    <row r="717" ht="15.75" customHeight="1" s="194"/>
    <row r="718" ht="15.75" customHeight="1" s="194"/>
    <row r="719" ht="15.75" customHeight="1" s="194"/>
    <row r="720" ht="15.75" customHeight="1" s="194"/>
    <row r="721" ht="15.75" customHeight="1" s="194"/>
    <row r="722" ht="15.75" customHeight="1" s="194"/>
    <row r="723" ht="15.75" customHeight="1" s="194"/>
    <row r="724" ht="15.75" customHeight="1" s="194"/>
    <row r="725" ht="15.75" customHeight="1" s="194"/>
    <row r="726" ht="15.75" customHeight="1" s="194"/>
    <row r="727" ht="15.75" customHeight="1" s="194"/>
    <row r="728" ht="15.75" customHeight="1" s="194"/>
    <row r="729" ht="15.75" customHeight="1" s="194"/>
    <row r="730" ht="15.75" customHeight="1" s="194"/>
    <row r="731" ht="15.75" customHeight="1" s="194"/>
    <row r="732" ht="15.75" customHeight="1" s="194"/>
    <row r="733" ht="15.75" customHeight="1" s="194"/>
    <row r="734" ht="15.75" customHeight="1" s="194"/>
    <row r="735" ht="15.75" customHeight="1" s="194"/>
    <row r="736" ht="15.75" customHeight="1" s="194"/>
    <row r="737" ht="15.75" customHeight="1" s="194"/>
    <row r="738" ht="15.75" customHeight="1" s="194"/>
    <row r="739" ht="15.75" customHeight="1" s="194"/>
    <row r="740" ht="15.75" customHeight="1" s="194"/>
    <row r="741" ht="15.75" customHeight="1" s="194"/>
    <row r="742" ht="15.75" customHeight="1" s="194"/>
    <row r="743" ht="15.75" customHeight="1" s="194"/>
    <row r="744" ht="15.75" customHeight="1" s="194"/>
    <row r="745" ht="15.75" customHeight="1" s="194"/>
    <row r="746" ht="15.75" customHeight="1" s="194"/>
    <row r="747" ht="15.75" customHeight="1" s="194"/>
    <row r="748" ht="15.75" customHeight="1" s="194"/>
    <row r="749" ht="15.75" customHeight="1" s="194"/>
    <row r="750" ht="15.75" customHeight="1" s="194"/>
    <row r="751" ht="15.75" customHeight="1" s="194"/>
    <row r="752" ht="15.75" customHeight="1" s="194"/>
    <row r="753" ht="15.75" customHeight="1" s="194"/>
    <row r="754" ht="15.75" customHeight="1" s="194"/>
    <row r="755" ht="15.75" customHeight="1" s="194"/>
    <row r="756" ht="15.75" customHeight="1" s="194"/>
    <row r="757" ht="15.75" customHeight="1" s="194"/>
    <row r="758" ht="15.75" customHeight="1" s="194"/>
    <row r="759" ht="15.75" customHeight="1" s="194"/>
    <row r="760" ht="15.75" customHeight="1" s="194"/>
    <row r="761" ht="15.75" customHeight="1" s="194"/>
    <row r="762" ht="15.75" customHeight="1" s="194"/>
    <row r="763" ht="15.75" customHeight="1" s="194"/>
    <row r="764" ht="15.75" customHeight="1" s="194"/>
    <row r="765" ht="15.75" customHeight="1" s="194"/>
    <row r="766" ht="15.75" customHeight="1" s="194"/>
    <row r="767" ht="15.75" customHeight="1" s="194"/>
    <row r="768" ht="15.75" customHeight="1" s="194"/>
    <row r="769" ht="15.75" customHeight="1" s="194"/>
    <row r="770" ht="15.75" customHeight="1" s="194"/>
    <row r="771" ht="15.75" customHeight="1" s="194"/>
    <row r="772" ht="15.75" customHeight="1" s="194"/>
    <row r="773" ht="15.75" customHeight="1" s="194"/>
    <row r="774" ht="15.75" customHeight="1" s="194"/>
    <row r="775" ht="15.75" customHeight="1" s="194"/>
    <row r="776" ht="15.75" customHeight="1" s="194"/>
    <row r="777" ht="15.75" customHeight="1" s="194"/>
    <row r="778" ht="15.75" customHeight="1" s="194"/>
    <row r="779" ht="15.75" customHeight="1" s="194"/>
    <row r="780" ht="15.75" customHeight="1" s="194"/>
    <row r="781" ht="15.75" customHeight="1" s="194"/>
    <row r="782" ht="15.75" customHeight="1" s="194"/>
    <row r="783" ht="15.75" customHeight="1" s="194"/>
    <row r="784" ht="15.75" customHeight="1" s="194"/>
    <row r="785" ht="15.75" customHeight="1" s="194"/>
    <row r="786" ht="15.75" customHeight="1" s="194"/>
    <row r="787" ht="15.75" customHeight="1" s="194"/>
    <row r="788" ht="15.75" customHeight="1" s="194"/>
    <row r="789" ht="15.75" customHeight="1" s="194"/>
    <row r="790" ht="15.75" customHeight="1" s="194"/>
    <row r="791" ht="15.75" customHeight="1" s="194"/>
    <row r="792" ht="15.75" customHeight="1" s="194"/>
    <row r="793" ht="15.75" customHeight="1" s="194"/>
    <row r="794" ht="15.75" customHeight="1" s="194"/>
    <row r="795" ht="15.75" customHeight="1" s="194"/>
    <row r="796" ht="15.75" customHeight="1" s="194"/>
    <row r="797" ht="15.75" customHeight="1" s="194"/>
    <row r="798" ht="15.75" customHeight="1" s="194"/>
    <row r="799" ht="15.75" customHeight="1" s="194"/>
    <row r="800" ht="15.75" customHeight="1" s="194"/>
    <row r="801" ht="15.75" customHeight="1" s="194"/>
    <row r="802" ht="15.75" customHeight="1" s="194"/>
    <row r="803" ht="15.75" customHeight="1" s="194"/>
    <row r="804" ht="15.75" customHeight="1" s="194"/>
    <row r="805" ht="15.75" customHeight="1" s="194"/>
    <row r="806" ht="15.75" customHeight="1" s="194"/>
    <row r="807" ht="15.75" customHeight="1" s="194"/>
    <row r="808" ht="15.75" customHeight="1" s="194"/>
    <row r="809" ht="15.75" customHeight="1" s="194"/>
    <row r="810" ht="15.75" customHeight="1" s="194"/>
    <row r="811" ht="15.75" customHeight="1" s="194"/>
    <row r="812" ht="15.75" customHeight="1" s="194"/>
    <row r="813" ht="15.75" customHeight="1" s="194"/>
    <row r="814" ht="15.75" customHeight="1" s="194"/>
    <row r="815" ht="15.75" customHeight="1" s="194"/>
    <row r="816" ht="15.75" customHeight="1" s="194"/>
    <row r="817" ht="15.75" customHeight="1" s="194"/>
    <row r="818" ht="15.75" customHeight="1" s="194"/>
    <row r="819" ht="15.75" customHeight="1" s="194"/>
    <row r="820" ht="15.75" customHeight="1" s="194"/>
    <row r="821" ht="15.75" customHeight="1" s="194"/>
    <row r="822" ht="15.75" customHeight="1" s="194"/>
    <row r="823" ht="15.75" customHeight="1" s="194"/>
    <row r="824" ht="15.75" customHeight="1" s="194"/>
    <row r="825" ht="15.75" customHeight="1" s="194"/>
    <row r="826" ht="15.75" customHeight="1" s="194"/>
    <row r="827" ht="15.75" customHeight="1" s="194"/>
    <row r="828" ht="15.75" customHeight="1" s="194"/>
    <row r="829" ht="15.75" customHeight="1" s="194"/>
    <row r="830" ht="15.75" customHeight="1" s="194"/>
    <row r="831" ht="15.75" customHeight="1" s="194"/>
    <row r="832" ht="15.75" customHeight="1" s="194"/>
    <row r="833" ht="15.75" customHeight="1" s="194"/>
    <row r="834" ht="15.75" customHeight="1" s="194"/>
    <row r="835" ht="15.75" customHeight="1" s="194"/>
    <row r="836" ht="15.75" customHeight="1" s="194"/>
    <row r="837" ht="15.75" customHeight="1" s="194"/>
    <row r="838" ht="15.75" customHeight="1" s="194"/>
    <row r="839" ht="15.75" customHeight="1" s="194"/>
    <row r="840" ht="15.75" customHeight="1" s="194"/>
    <row r="841" ht="15.75" customHeight="1" s="194"/>
    <row r="842" ht="15.75" customHeight="1" s="194"/>
    <row r="843" ht="15.75" customHeight="1" s="194"/>
    <row r="844" ht="15.75" customHeight="1" s="194"/>
    <row r="845" ht="15.75" customHeight="1" s="194"/>
    <row r="846" ht="15.75" customHeight="1" s="194"/>
    <row r="847" ht="15.75" customHeight="1" s="194"/>
    <row r="848" ht="15.75" customHeight="1" s="194"/>
    <row r="849" ht="15.75" customHeight="1" s="194"/>
    <row r="850" ht="15.75" customHeight="1" s="194"/>
    <row r="851" ht="15.75" customHeight="1" s="194"/>
    <row r="852" ht="15.75" customHeight="1" s="194"/>
    <row r="853" ht="15.75" customHeight="1" s="194"/>
    <row r="854" ht="15.75" customHeight="1" s="194"/>
    <row r="855" ht="15.75" customHeight="1" s="194"/>
    <row r="856" ht="15.75" customHeight="1" s="194"/>
    <row r="857" ht="15.75" customHeight="1" s="194"/>
    <row r="858" ht="15.75" customHeight="1" s="194"/>
    <row r="859" ht="15.75" customHeight="1" s="194"/>
    <row r="860" ht="15.75" customHeight="1" s="194"/>
    <row r="861" ht="15.75" customHeight="1" s="194"/>
    <row r="862" ht="15.75" customHeight="1" s="194"/>
    <row r="863" ht="15.75" customHeight="1" s="194"/>
    <row r="864" ht="15.75" customHeight="1" s="194"/>
    <row r="865" ht="15.75" customHeight="1" s="194"/>
    <row r="866" ht="15.75" customHeight="1" s="194"/>
    <row r="867" ht="15.75" customHeight="1" s="194"/>
    <row r="868" ht="15.75" customHeight="1" s="194"/>
    <row r="869" ht="15.75" customHeight="1" s="194"/>
    <row r="870" ht="15.75" customHeight="1" s="194"/>
    <row r="871" ht="15.75" customHeight="1" s="194"/>
    <row r="872" ht="15.75" customHeight="1" s="194"/>
    <row r="873" ht="15.75" customHeight="1" s="194"/>
    <row r="874" ht="15.75" customHeight="1" s="194"/>
    <row r="875" ht="15.75" customHeight="1" s="194"/>
    <row r="876" ht="15.75" customHeight="1" s="194"/>
    <row r="877" ht="15.75" customHeight="1" s="194"/>
    <row r="878" ht="15.75" customHeight="1" s="194"/>
    <row r="879" ht="15.75" customHeight="1" s="194"/>
    <row r="880" ht="15.75" customHeight="1" s="194"/>
    <row r="881" ht="15.75" customHeight="1" s="194"/>
    <row r="882" ht="15.75" customHeight="1" s="194"/>
    <row r="883" ht="15.75" customHeight="1" s="194"/>
    <row r="884" ht="15.75" customHeight="1" s="194"/>
    <row r="885" ht="15.75" customHeight="1" s="194"/>
    <row r="886" ht="15.75" customHeight="1" s="194"/>
    <row r="887" ht="15.75" customHeight="1" s="194"/>
    <row r="888" ht="15.75" customHeight="1" s="194"/>
    <row r="889" ht="15.75" customHeight="1" s="194"/>
    <row r="890" ht="15.75" customHeight="1" s="194"/>
    <row r="891" ht="15.75" customHeight="1" s="194"/>
    <row r="892" ht="15.75" customHeight="1" s="194"/>
    <row r="893" ht="15.75" customHeight="1" s="194"/>
    <row r="894" ht="15.75" customHeight="1" s="194"/>
    <row r="895" ht="15.75" customHeight="1" s="194"/>
    <row r="896" ht="15.75" customHeight="1" s="194"/>
    <row r="897" ht="15.75" customHeight="1" s="194"/>
    <row r="898" ht="15.75" customHeight="1" s="194"/>
    <row r="899" ht="15.75" customHeight="1" s="194"/>
    <row r="900" ht="15.75" customHeight="1" s="194"/>
    <row r="901" ht="15.75" customHeight="1" s="194"/>
    <row r="902" ht="15.75" customHeight="1" s="194"/>
    <row r="903" ht="15.75" customHeight="1" s="194"/>
    <row r="904" ht="15.75" customHeight="1" s="194"/>
    <row r="905" ht="15.75" customHeight="1" s="194"/>
    <row r="906" ht="15.75" customHeight="1" s="194"/>
    <row r="907" ht="15.75" customHeight="1" s="194"/>
    <row r="908" ht="15.75" customHeight="1" s="194"/>
    <row r="909" ht="15.75" customHeight="1" s="194"/>
    <row r="910" ht="15.75" customHeight="1" s="194"/>
    <row r="911" ht="15.75" customHeight="1" s="194"/>
    <row r="912" ht="15.75" customHeight="1" s="194"/>
    <row r="913" ht="15.75" customHeight="1" s="194"/>
    <row r="914" ht="15.75" customHeight="1" s="194"/>
    <row r="915" ht="15.75" customHeight="1" s="194"/>
    <row r="916" ht="15.75" customHeight="1" s="194"/>
    <row r="917" ht="15.75" customHeight="1" s="194"/>
    <row r="918" ht="15.75" customHeight="1" s="194"/>
    <row r="919" ht="15.75" customHeight="1" s="194"/>
    <row r="920" ht="15.75" customHeight="1" s="194"/>
    <row r="921" ht="15.75" customHeight="1" s="194"/>
    <row r="922" ht="15.75" customHeight="1" s="194"/>
    <row r="923" ht="15.75" customHeight="1" s="194"/>
    <row r="924" ht="15.75" customHeight="1" s="194"/>
    <row r="925" ht="15.75" customHeight="1" s="194"/>
    <row r="926" ht="15.75" customHeight="1" s="194"/>
    <row r="927" ht="15.75" customHeight="1" s="194"/>
    <row r="928" ht="15.75" customHeight="1" s="194"/>
    <row r="929" ht="15.75" customHeight="1" s="194"/>
    <row r="930" ht="15.75" customHeight="1" s="194"/>
    <row r="931" ht="15.75" customHeight="1" s="194"/>
    <row r="932" ht="15.75" customHeight="1" s="194"/>
    <row r="933" ht="15.75" customHeight="1" s="194"/>
    <row r="934" ht="15.75" customHeight="1" s="194"/>
    <row r="935" ht="15.75" customHeight="1" s="194"/>
    <row r="936" ht="15.75" customHeight="1" s="194"/>
    <row r="937" ht="15.75" customHeight="1" s="194"/>
    <row r="938" ht="15.75" customHeight="1" s="194"/>
    <row r="939" ht="15.75" customHeight="1" s="194"/>
    <row r="940" ht="15.75" customHeight="1" s="194"/>
    <row r="941" ht="15.75" customHeight="1" s="194"/>
    <row r="942" ht="15.75" customHeight="1" s="194"/>
    <row r="943" ht="15.75" customHeight="1" s="194"/>
    <row r="944" ht="15.75" customHeight="1" s="194"/>
    <row r="945" ht="15.75" customHeight="1" s="194"/>
    <row r="946" ht="15.75" customHeight="1" s="194"/>
    <row r="947" ht="15.75" customHeight="1" s="194"/>
    <row r="948" ht="15.75" customHeight="1" s="194"/>
    <row r="949" ht="15.75" customHeight="1" s="194"/>
    <row r="950" ht="15.75" customHeight="1" s="194"/>
    <row r="951" ht="15.75" customHeight="1" s="194"/>
    <row r="952" ht="15.75" customHeight="1" s="194"/>
    <row r="953" ht="15.75" customHeight="1" s="194"/>
    <row r="954" ht="15.75" customHeight="1" s="194"/>
    <row r="955" ht="15.75" customHeight="1" s="194"/>
    <row r="956" ht="15.75" customHeight="1" s="194"/>
    <row r="957" ht="15.75" customHeight="1" s="194"/>
    <row r="958" ht="15.75" customHeight="1" s="194"/>
    <row r="959" ht="15.75" customHeight="1" s="194"/>
    <row r="960" ht="15.75" customHeight="1" s="194"/>
    <row r="961" ht="15.75" customHeight="1" s="194"/>
    <row r="962" ht="15.75" customHeight="1" s="194"/>
    <row r="963" ht="15.75" customHeight="1" s="194"/>
    <row r="964" ht="15.75" customHeight="1" s="194"/>
    <row r="965" ht="15.75" customHeight="1" s="194"/>
    <row r="966" ht="15.75" customHeight="1" s="194"/>
    <row r="967" ht="15.75" customHeight="1" s="194"/>
    <row r="968" ht="15.75" customHeight="1" s="194"/>
    <row r="969" ht="15.75" customHeight="1" s="194"/>
    <row r="970" ht="15.75" customHeight="1" s="194"/>
    <row r="971" ht="15.75" customHeight="1" s="194"/>
    <row r="972" ht="15.75" customHeight="1" s="194"/>
    <row r="973" ht="15.75" customHeight="1" s="194"/>
    <row r="974" ht="15.75" customHeight="1" s="194"/>
    <row r="975" ht="15.75" customHeight="1" s="194"/>
    <row r="976" ht="15.75" customHeight="1" s="194"/>
    <row r="977" ht="15.75" customHeight="1" s="194"/>
    <row r="978" ht="15.75" customHeight="1" s="194"/>
    <row r="979" ht="15.75" customHeight="1" s="194"/>
    <row r="980" ht="15.75" customHeight="1" s="194"/>
    <row r="981" ht="15.75" customHeight="1" s="194"/>
    <row r="982" ht="15.75" customHeight="1" s="194"/>
    <row r="983" ht="15.75" customHeight="1" s="194"/>
    <row r="984" ht="15.75" customHeight="1" s="194"/>
    <row r="985" ht="15.75" customHeight="1" s="194"/>
    <row r="986" ht="15.75" customHeight="1" s="194"/>
    <row r="987" ht="15.75" customHeight="1" s="194"/>
    <row r="988" ht="15.75" customHeight="1" s="194"/>
    <row r="989" ht="15.75" customHeight="1" s="194"/>
    <row r="990" ht="15.75" customHeight="1" s="194"/>
    <row r="991" ht="15.75" customHeight="1" s="194"/>
    <row r="992" ht="15.75" customHeight="1" s="194"/>
    <row r="993" ht="15.75" customHeight="1" s="194"/>
    <row r="994" ht="15.75" customHeight="1" s="194"/>
    <row r="995" ht="15.75" customHeight="1" s="194"/>
    <row r="996" ht="15.75" customHeight="1" s="194"/>
    <row r="997" ht="15.75" customHeight="1" s="194"/>
    <row r="998" ht="15.75" customHeight="1" s="194"/>
    <row r="999" ht="15.75" customHeight="1" s="194"/>
    <row r="1000" ht="15.75" customHeight="1" s="194"/>
  </sheetData>
  <mergeCells count="12">
    <mergeCell ref="B33:J33"/>
    <mergeCell ref="C125:H125"/>
    <mergeCell ref="C130:H130"/>
    <mergeCell ref="C131:H131"/>
    <mergeCell ref="C132:H132"/>
    <mergeCell ref="C124:H124"/>
    <mergeCell ref="C126:H126"/>
    <mergeCell ref="C133:H133"/>
    <mergeCell ref="C128:H128"/>
    <mergeCell ref="C129:H129"/>
    <mergeCell ref="C127:H127"/>
    <mergeCell ref="G4:K4"/>
  </mergeCells>
  <hyperlinks>
    <hyperlink ref="I2" location="'01_Вводные'!B192" display="#gid=322657005&amp;range=B192"/>
    <hyperlink ref="I3" location="'01_Вводные'!B322" display="#gid=322657005&amp;range=B322"/>
  </hyperlinks>
  <pageMargins left="0.75" right="0.75" top="1" bottom="1" header="0" footer="0"/>
  <pageSetup orientation="landscape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377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8" defaultColWidth="14.43" defaultRowHeight="15" customHeight="1" outlineLevelRow="1"/>
  <cols>
    <col width="54" customWidth="1" style="194" min="1" max="1"/>
    <col width="31" customWidth="1" style="194" min="2" max="2"/>
    <col width="18" customWidth="1" style="194" min="3" max="3"/>
    <col width="22" customWidth="1" style="194" min="4" max="4"/>
    <col width="90" customWidth="1" style="194" min="5" max="5"/>
    <col width="60" customWidth="1" style="194" min="6" max="6"/>
    <col width="40" customWidth="1" style="194" min="7" max="7"/>
    <col width="36" customWidth="1" style="194" min="8" max="8"/>
    <col width="18" customWidth="1" style="194" min="9" max="10"/>
    <col width="45" customWidth="1" style="194" min="11" max="11"/>
    <col width="11" customWidth="1" style="194" min="12" max="15"/>
    <col width="8.710000000000001" customWidth="1" style="194" min="16" max="26"/>
  </cols>
  <sheetData>
    <row r="1" ht="14.25" customHeight="1" s="194">
      <c r="A1" s="195" t="inlineStr">
        <is>
          <t>Финмодель Спартак — единый лист вводных</t>
        </is>
      </c>
    </row>
    <row r="2" ht="14.25" customHeight="1" s="194">
      <c r="A2" s="9" t="inlineStr">
        <is>
          <t>Легенда:</t>
        </is>
      </c>
      <c r="B2" s="10" t="inlineStr">
        <is>
          <t>ввод</t>
        </is>
      </c>
      <c r="C2" s="11" t="inlineStr">
        <is>
          <t>уточнить</t>
        </is>
      </c>
      <c r="D2" s="12" t="inlineStr">
        <is>
          <t>переключатель</t>
        </is>
      </c>
      <c r="E2" s="202" t="inlineStr">
        <is>
          <t>добавлено по договору</t>
        </is>
      </c>
      <c r="F2" s="14" t="inlineStr">
        <is>
          <t>формула — не трогать</t>
        </is>
      </c>
      <c r="G2" s="15" t="inlineStr">
        <is>
          <t>#gid=561835286</t>
        </is>
      </c>
      <c r="H2" s="15" t="inlineStr">
        <is>
          <t>#gid=724336794</t>
        </is>
      </c>
    </row>
    <row r="3" ht="14.25" customHeight="1" s="194">
      <c r="A3" s="67" t="inlineStr">
        <is>
          <t>Правило работы</t>
        </is>
      </c>
      <c r="B3" s="196" t="inlineStr">
        <is>
          <t>Менять жёлтые ячейки только здесь. Сценарий: B192. Чувствительность: B233:B234. Параметры, микс и история собраны на одном листе.</t>
        </is>
      </c>
    </row>
    <row r="4" ht="14.25" customHeight="1" s="194">
      <c r="A4" s="18" t="inlineStr">
        <is>
          <t>#gid=322657005&amp;range=A190</t>
        </is>
      </c>
      <c r="G4" s="19" t="inlineStr">
        <is>
          <t>#gid=322657005&amp;range=A190</t>
        </is>
      </c>
      <c r="H4" s="19" t="inlineStr">
        <is>
          <t>#gid=322657005&amp;range=A260</t>
        </is>
      </c>
    </row>
    <row r="5" ht="14.25" customHeight="1" s="194">
      <c r="A5" s="197" t="inlineStr">
        <is>
          <t>1. Календарь, стартовая сеть и оборотный капитал</t>
        </is>
      </c>
    </row>
    <row r="6" ht="14.25" customHeight="1" s="194">
      <c r="A6" s="21" t="inlineStr">
        <is>
          <t>Параметр</t>
        </is>
      </c>
      <c r="B6" s="21" t="inlineStr">
        <is>
          <t>Значение</t>
        </is>
      </c>
      <c r="C6" s="21" t="inlineStr">
        <is>
          <t>Ед.</t>
        </is>
      </c>
      <c r="D6" s="21" t="inlineStr">
        <is>
          <t>Статус / источник</t>
        </is>
      </c>
      <c r="E6" s="21" t="inlineStr">
        <is>
          <t>Комментарий</t>
        </is>
      </c>
      <c r="G6" s="19" t="inlineStr">
        <is>
          <t>#gid=322657005&amp;range=A232</t>
        </is>
      </c>
      <c r="H6" s="22" t="inlineStr">
        <is>
          <t>#gid=322657005&amp;range=A285</t>
        </is>
      </c>
    </row>
    <row r="7" ht="28.5" customHeight="1" s="194">
      <c r="A7" s="67" t="inlineStr">
        <is>
          <t>Дата старта модели</t>
        </is>
      </c>
      <c r="B7" s="23" t="n">
        <v>46266</v>
      </c>
      <c r="C7" s="24" t="inlineStr">
        <is>
          <t>дата</t>
        </is>
      </c>
      <c r="D7" s="24" t="n"/>
      <c r="E7" s="145" t="inlineStr">
        <is>
          <t>Сезон считается от даты старта: 12 месяцев — один сезон. Сезонность посещаемости, веса плана продаж и согласованный мерч привязаны к календарю и не зависят от месяца старта.</t>
        </is>
      </c>
    </row>
    <row r="8" ht="28.5" customHeight="1" s="194">
      <c r="A8" s="67" t="inlineStr">
        <is>
          <t>Горизонт прогноза</t>
        </is>
      </c>
      <c r="B8" s="26" t="n">
        <v>60</v>
      </c>
      <c r="C8" s="24" t="inlineStr">
        <is>
          <t>мес.</t>
        </is>
      </c>
      <c r="D8" s="24" t="n"/>
      <c r="E8" s="145" t="n"/>
      <c r="G8" s="27" t="inlineStr">
        <is>
          <t>#gid=322657005&amp;range=A309</t>
        </is>
      </c>
      <c r="H8" s="27" t="inlineStr">
        <is>
          <t>#gid=322657005&amp;range=A321</t>
        </is>
      </c>
    </row>
    <row r="9" ht="28.5" customHeight="1" s="194">
      <c r="A9" s="67" t="inlineStr">
        <is>
          <t>Активные школы действующей сети на старте</t>
        </is>
      </c>
      <c r="B9" s="28" t="n">
        <v>104</v>
      </c>
      <c r="C9" s="24" t="inlineStr">
        <is>
          <t>шт.</t>
        </is>
      </c>
      <c r="D9" s="24" t="inlineStr">
        <is>
          <t>Фактический реестр на 09.09.2026</t>
        </is>
      </c>
      <c r="E9" s="145" t="inlineStr">
        <is>
          <t>104 действующие школы у 51 действующего партнёра; 3 новых партнёра пока без школ и в 104 не входят.</t>
        </is>
      </c>
    </row>
    <row r="10" ht="28.5" customHeight="1" s="194">
      <c r="A10" s="67" t="inlineStr">
        <is>
          <t>Активные юрлица на старте</t>
        </is>
      </c>
      <c r="B10" s="28" t="n">
        <v>49</v>
      </c>
      <c r="C10" s="24" t="inlineStr">
        <is>
          <t>шт.</t>
        </is>
      </c>
      <c r="D10" s="24" t="inlineStr">
        <is>
          <t>Реестр сети 21.08.2026</t>
        </is>
      </c>
      <c r="E10" s="145" t="n"/>
    </row>
    <row r="11" ht="14.25" customHeight="1" s="194">
      <c r="A11" s="67" t="inlineStr">
        <is>
          <t>Дети действующей сети, 100% база</t>
        </is>
      </c>
      <c r="B11" s="29" t="n">
        <v>5200</v>
      </c>
      <c r="C11" s="24" t="inlineStr">
        <is>
          <t>чел.</t>
        </is>
      </c>
      <c r="D11" s="24" t="n"/>
      <c r="E11" s="145" t="n"/>
    </row>
    <row r="12" ht="14.25" customHeight="1" s="194">
      <c r="A12" s="67" t="inlineStr">
        <is>
          <t>Рост детей действующей сети</t>
        </is>
      </c>
      <c r="B12" s="30" t="n">
        <v>0.1</v>
      </c>
      <c r="C12" s="24" t="inlineStr">
        <is>
          <t>%/год</t>
        </is>
      </c>
      <c r="D12" s="24" t="n"/>
      <c r="E12" s="145" t="inlineStr">
        <is>
          <t>Сложный рост, пересчёт каждый сентябрь</t>
        </is>
      </c>
    </row>
    <row r="13" ht="14.25" customHeight="1" s="194">
      <c r="A13" s="67" t="inlineStr">
        <is>
          <t>Закрытие школ / юрлиц</t>
        </is>
      </c>
      <c r="B13" s="31" t="n">
        <v>0.03</v>
      </c>
      <c r="C13" s="24" t="inlineStr">
        <is>
          <t>%/год</t>
        </is>
      </c>
      <c r="D13" s="24" t="n"/>
      <c r="E13" s="145">
        <f>IF($B$13=0,"Механика работает, пока 0%","Закрывается "&amp;ROUND($B$13*100,1)&amp;" % школ и юрлиц в год; помесячно через коэффициент B14")</f>
        <v/>
      </c>
    </row>
    <row r="14" ht="14.25" customHeight="1" s="194">
      <c r="A14" s="67" t="inlineStr">
        <is>
          <t>Месячный коэффициент сохранения</t>
        </is>
      </c>
      <c r="B14" s="33">
        <f>(1-B13)^(1/12)</f>
        <v/>
      </c>
      <c r="C14" s="24" t="inlineStr">
        <is>
          <t>коэфф.</t>
        </is>
      </c>
      <c r="D14" s="24" t="n"/>
      <c r="E14" s="24" t="inlineStr">
        <is>
          <t>Технический коэффициент для закрытий</t>
        </is>
      </c>
    </row>
    <row r="15" ht="14.25" customHeight="1" s="194">
      <c r="A15" s="67" t="inlineStr">
        <is>
          <t>Лаг продажа → открытие</t>
        </is>
      </c>
      <c r="B15" s="34" t="n">
        <v>2</v>
      </c>
      <c r="C15" s="24" t="inlineStr">
        <is>
          <t>мес.</t>
        </is>
      </c>
      <c r="D15" s="24" t="n"/>
      <c r="E15" s="145" t="inlineStr">
        <is>
          <t>Продажа, открытие и ERP — разные события</t>
        </is>
      </c>
    </row>
    <row r="16" ht="14.25" customHeight="1" s="194">
      <c r="A16" s="67" t="inlineStr">
        <is>
          <t>Новых юрлиц на 1 продажу</t>
        </is>
      </c>
      <c r="B16" s="35" t="n">
        <v>1</v>
      </c>
      <c r="C16" s="24" t="inlineStr">
        <is>
          <t>юрлиц/продажу</t>
        </is>
      </c>
      <c r="D16" s="24" t="inlineStr">
        <is>
          <t>Временно</t>
        </is>
      </c>
      <c r="E16" s="145" t="inlineStr">
        <is>
          <t>Связь продаж с новыми юрлицами. Пока 1:1; отдельно от количества школ на партнёра.</t>
        </is>
      </c>
    </row>
    <row r="17" ht="14.25" customHeight="1" s="194">
      <c r="A17" s="67" t="inlineStr">
        <is>
          <t>Стартовый денежный остаток</t>
        </is>
      </c>
      <c r="B17" s="36" t="n">
        <v>187878</v>
      </c>
      <c r="C17" s="24" t="inlineStr">
        <is>
          <t>₽</t>
        </is>
      </c>
      <c r="D17" s="24" t="inlineStr">
        <is>
          <t>ДДС на 02.07.2026</t>
        </is>
      </c>
      <c r="E17" s="145" t="n"/>
    </row>
    <row r="18" ht="14.25" customHeight="1" s="194">
      <c r="A18" s="67" t="inlineStr">
        <is>
          <t>Дебиторка</t>
        </is>
      </c>
      <c r="B18" s="37">
        <f>$B$225*$F$203</f>
        <v/>
      </c>
      <c r="C18" s="24" t="inlineStr">
        <is>
          <t>дней</t>
        </is>
      </c>
      <c r="D18" s="24" t="inlineStr">
        <is>
          <t>Расчет по сценарию</t>
        </is>
      </c>
      <c r="E18" s="145" t="inlineStr">
        <is>
          <t>Базовое допущение</t>
        </is>
      </c>
      <c r="G18" s="38" t="inlineStr">
        <is>
          <t>← формула; база: B225</t>
        </is>
      </c>
    </row>
    <row r="19" ht="14.25" customHeight="1" s="194">
      <c r="A19" s="67" t="inlineStr">
        <is>
          <t>Кредиторка</t>
        </is>
      </c>
      <c r="B19" s="39" t="n">
        <v>15</v>
      </c>
      <c r="C19" s="24" t="inlineStr">
        <is>
          <t>дней</t>
        </is>
      </c>
      <c r="D19" s="24" t="n"/>
      <c r="E19" s="145" t="inlineStr">
        <is>
          <t>Базовое допущение</t>
        </is>
      </c>
    </row>
    <row r="20" ht="14.25" customHeight="1" s="194">
      <c r="A20" s="67" t="inlineStr">
        <is>
          <t>Доля поступления в текущем месяце</t>
        </is>
      </c>
      <c r="B20" s="40">
        <f>MAX(0,MIN(1,(30-B18)/30))</f>
        <v/>
      </c>
      <c r="C20" s="24" t="inlineStr">
        <is>
          <t>%</t>
        </is>
      </c>
      <c r="D20" s="24" t="n"/>
      <c r="E20" s="24" t="inlineStr">
        <is>
          <t>15 дней ≈ 50% текущий / 50% следующий месяц</t>
        </is>
      </c>
    </row>
    <row r="21" ht="14.25" customHeight="1" s="194">
      <c r="A21" s="67" t="inlineStr">
        <is>
          <t>Доля оплаты в текущем месяце</t>
        </is>
      </c>
      <c r="B21" s="40">
        <f>MAX(0,MIN(1,(30-B19)/30))</f>
        <v/>
      </c>
      <c r="C21" s="24" t="inlineStr">
        <is>
          <t>%</t>
        </is>
      </c>
      <c r="D21" s="24" t="n"/>
      <c r="E21" s="24" t="inlineStr">
        <is>
          <t>15 дней ≈ 50% текущий / 50% следующий месяц</t>
        </is>
      </c>
    </row>
    <row r="22" ht="14.25" customHeight="1" s="194">
      <c r="A22" s="67" t="inlineStr">
        <is>
          <t>Новых школ на 1 продажу / нового партнёра</t>
        </is>
      </c>
      <c r="B22" s="41" t="n">
        <v>1.1</v>
      </c>
      <c r="C22" s="24" t="inlineStr">
        <is>
          <t>школ/продажу</t>
        </is>
      </c>
      <c r="D22" s="24" t="n"/>
      <c r="E22" s="145">
        <f>"Новый партнёр открывает "&amp;ROUND($B$22,1)&amp;" школы. Действующая сеть: 2,04 школы на партнёра (104 на 51)"</f>
        <v/>
      </c>
    </row>
    <row r="23" ht="14.25" customHeight="1" s="194">
      <c r="A23" s="197" t="inlineStr">
        <is>
          <t>2. Продажи франшиз и маркетинг</t>
        </is>
      </c>
    </row>
    <row r="24" ht="14.25" customHeight="1" s="194">
      <c r="A24" s="21" t="inlineStr">
        <is>
          <t>Параметр</t>
        </is>
      </c>
      <c r="B24" s="21" t="inlineStr">
        <is>
          <t>Значение</t>
        </is>
      </c>
      <c r="C24" s="21" t="inlineStr">
        <is>
          <t>Ед.</t>
        </is>
      </c>
      <c r="D24" s="21" t="inlineStr">
        <is>
          <t>Статус / источник</t>
        </is>
      </c>
      <c r="E24" s="21" t="inlineStr">
        <is>
          <t>Комментарий</t>
        </is>
      </c>
    </row>
    <row r="25" ht="14.25" customHeight="1" s="194">
      <c r="A25" s="67" t="inlineStr">
        <is>
          <t>Конверсия лид → продажа</t>
        </is>
      </c>
      <c r="B25" s="30" t="n">
        <v>0.03</v>
      </c>
      <c r="C25" s="24" t="inlineStr">
        <is>
          <t>%</t>
        </is>
      </c>
      <c r="D25" s="24" t="n"/>
      <c r="E25" s="145" t="n"/>
    </row>
    <row r="26" ht="14.25" customHeight="1" s="194">
      <c r="A26" s="67" t="inlineStr">
        <is>
          <t>Таргет на будущую продажу</t>
        </is>
      </c>
      <c r="B26" s="42">
        <f>$B$224*$F$202</f>
        <v/>
      </c>
      <c r="C26" s="24" t="inlineStr">
        <is>
          <t>₽/продажа</t>
        </is>
      </c>
      <c r="D26" s="24" t="inlineStr">
        <is>
          <t>Расчет по сценарию</t>
        </is>
      </c>
      <c r="E26" s="145" t="inlineStr">
        <is>
          <t>Обычно M-2; для октября 2026 исключение M-1</t>
        </is>
      </c>
      <c r="G26" s="38" t="inlineStr">
        <is>
          <t>← формула; база: B224</t>
        </is>
      </c>
    </row>
    <row r="27" ht="14.25" customHeight="1" s="194">
      <c r="A27" s="67" t="inlineStr">
        <is>
          <t>Лаг таргета до продажи</t>
        </is>
      </c>
      <c r="B27" s="34" t="n">
        <v>2</v>
      </c>
      <c r="C27" s="24" t="inlineStr">
        <is>
          <t>мес.</t>
        </is>
      </c>
      <c r="D27" s="24" t="n"/>
      <c r="E27" s="145" t="inlineStr">
        <is>
          <t>Октябрь 2026 — отдельное исключение</t>
        </is>
      </c>
    </row>
    <row r="28" ht="14.25" customHeight="1" s="194">
      <c r="A28" s="67" t="inlineStr">
        <is>
          <t>БИБОСС — сумма</t>
        </is>
      </c>
      <c r="B28" s="64" t="n">
        <v>200000</v>
      </c>
      <c r="C28" s="24" t="inlineStr">
        <is>
          <t>₽</t>
        </is>
      </c>
      <c r="D28" s="24" t="n"/>
      <c r="E28" s="145" t="inlineStr">
        <is>
          <t>Ежегодно</t>
        </is>
      </c>
    </row>
    <row r="29" ht="14.25" customHeight="1" s="194">
      <c r="A29" s="67" t="inlineStr">
        <is>
          <t>БИБОСС — месяц</t>
        </is>
      </c>
      <c r="B29" s="44" t="n">
        <v>10</v>
      </c>
      <c r="C29" s="24" t="inlineStr">
        <is>
          <t>номер месяца</t>
        </is>
      </c>
      <c r="D29" s="24" t="n"/>
      <c r="E29" s="145" t="inlineStr">
        <is>
          <t>Октябрь</t>
        </is>
      </c>
    </row>
    <row r="30" ht="14.25" customHeight="1" s="194">
      <c r="A30" s="67" t="inlineStr">
        <is>
          <t>TopFranchise — сумма</t>
        </is>
      </c>
      <c r="B30" s="64" t="n">
        <v>200000</v>
      </c>
      <c r="C30" s="24" t="inlineStr">
        <is>
          <t>₽</t>
        </is>
      </c>
      <c r="D30" s="24" t="n"/>
      <c r="E30" s="145" t="inlineStr">
        <is>
          <t>Ежегодно</t>
        </is>
      </c>
    </row>
    <row r="31" ht="14.25" customHeight="1" s="194">
      <c r="A31" s="67" t="inlineStr">
        <is>
          <t>TopFranchise — месяц</t>
        </is>
      </c>
      <c r="B31" s="44" t="n">
        <v>11</v>
      </c>
      <c r="C31" s="24" t="inlineStr">
        <is>
          <t>номер месяца</t>
        </is>
      </c>
      <c r="D31" s="24" t="n"/>
      <c r="E31" s="145" t="inlineStr">
        <is>
          <t>Ноябрь</t>
        </is>
      </c>
    </row>
    <row r="32" ht="14.25" customHeight="1" s="194">
      <c r="A32" s="67" t="inlineStr">
        <is>
          <t>Forbes — сумма</t>
        </is>
      </c>
      <c r="B32" s="64" t="n">
        <v>200000</v>
      </c>
      <c r="C32" s="24" t="inlineStr">
        <is>
          <t>₽</t>
        </is>
      </c>
      <c r="D32" s="24" t="n"/>
      <c r="E32" s="145" t="inlineStr">
        <is>
          <t>Ежегодно</t>
        </is>
      </c>
    </row>
    <row r="33" ht="14.25" customHeight="1" s="194">
      <c r="A33" s="67" t="inlineStr">
        <is>
          <t>Forbes — месяц</t>
        </is>
      </c>
      <c r="B33" s="44" t="n">
        <v>12</v>
      </c>
      <c r="C33" s="24" t="inlineStr">
        <is>
          <t>номер месяца</t>
        </is>
      </c>
      <c r="D33" s="24" t="n"/>
      <c r="E33" s="145" t="inlineStr">
        <is>
          <t>Декабрь</t>
        </is>
      </c>
    </row>
    <row r="34" ht="14.25" customHeight="1" s="194">
      <c r="A34" s="198" t="inlineStr">
        <is>
          <t>2а. Планы продаж и сезонность (веса — по календарным месяцам, первый месяц модели без продаж)</t>
        </is>
      </c>
    </row>
    <row r="35" ht="14.25" customHeight="1" s="194">
      <c r="A35" s="21" t="inlineStr">
        <is>
          <t>Сезон</t>
        </is>
      </c>
      <c r="B35" s="21" t="inlineStr">
        <is>
          <t>Годовой план</t>
        </is>
      </c>
      <c r="C35" s="21" t="inlineStr">
        <is>
          <t>Сен</t>
        </is>
      </c>
      <c r="D35" s="21" t="inlineStr">
        <is>
          <t>Окт</t>
        </is>
      </c>
      <c r="E35" s="21" t="inlineStr">
        <is>
          <t>Ноя</t>
        </is>
      </c>
      <c r="F35" s="21" t="inlineStr">
        <is>
          <t>Дек</t>
        </is>
      </c>
      <c r="G35" s="21" t="inlineStr">
        <is>
          <t>Янв</t>
        </is>
      </c>
      <c r="H35" s="21" t="inlineStr">
        <is>
          <t>Фев</t>
        </is>
      </c>
      <c r="I35" s="21" t="inlineStr">
        <is>
          <t>Мар</t>
        </is>
      </c>
      <c r="J35" s="21" t="inlineStr">
        <is>
          <t>Апр</t>
        </is>
      </c>
      <c r="K35" s="21" t="inlineStr">
        <is>
          <t>Май</t>
        </is>
      </c>
      <c r="L35" s="21" t="inlineStr">
        <is>
          <t>Июн</t>
        </is>
      </c>
      <c r="M35" s="21" t="inlineStr">
        <is>
          <t>Июл</t>
        </is>
      </c>
      <c r="N35" s="21" t="inlineStr">
        <is>
          <t>Авг</t>
        </is>
      </c>
      <c r="O35" s="21" t="inlineStr">
        <is>
          <t>Контроль</t>
        </is>
      </c>
    </row>
    <row r="36" ht="14.25" customHeight="1" s="194">
      <c r="A36" s="46" t="n">
        <v>1</v>
      </c>
      <c r="B36" s="42">
        <f>$B$210*$F$198</f>
        <v/>
      </c>
      <c r="C36" s="30" t="n">
        <v>0.18</v>
      </c>
      <c r="D36" s="47" t="n">
        <v>0.04</v>
      </c>
      <c r="E36" s="30" t="n">
        <v>0.03</v>
      </c>
      <c r="F36" s="30" t="n">
        <v>0.02</v>
      </c>
      <c r="G36" s="30" t="n">
        <v>0.08</v>
      </c>
      <c r="H36" s="30" t="n">
        <v>0.13</v>
      </c>
      <c r="I36" s="47" t="n">
        <v>0.1</v>
      </c>
      <c r="J36" s="30" t="n">
        <v>0.06</v>
      </c>
      <c r="K36" s="30" t="n">
        <v>0.08</v>
      </c>
      <c r="L36" s="30" t="n">
        <v>0.05</v>
      </c>
      <c r="M36" s="30" t="n">
        <v>0.09</v>
      </c>
      <c r="N36" s="30" t="n">
        <v>0.14</v>
      </c>
      <c r="O36" s="40">
        <f>SUM(C36:N36)</f>
        <v/>
      </c>
    </row>
    <row r="37" ht="14.25" customHeight="1" s="194">
      <c r="A37" s="46" t="n">
        <v>2</v>
      </c>
      <c r="B37" s="42">
        <f>$B$211*$F$198</f>
        <v/>
      </c>
      <c r="C37" s="30" t="n">
        <v>0.18</v>
      </c>
      <c r="D37" s="30" t="n">
        <v>0.09</v>
      </c>
      <c r="E37" s="30" t="n">
        <v>0.03</v>
      </c>
      <c r="F37" s="30" t="n">
        <v>0.02</v>
      </c>
      <c r="G37" s="30" t="n">
        <v>0.08</v>
      </c>
      <c r="H37" s="30" t="n">
        <v>0.13</v>
      </c>
      <c r="I37" s="30" t="n">
        <v>0.05</v>
      </c>
      <c r="J37" s="30" t="n">
        <v>0.06</v>
      </c>
      <c r="K37" s="30" t="n">
        <v>0.08</v>
      </c>
      <c r="L37" s="30" t="n">
        <v>0.05</v>
      </c>
      <c r="M37" s="30" t="n">
        <v>0.09</v>
      </c>
      <c r="N37" s="30" t="n">
        <v>0.14</v>
      </c>
      <c r="O37" s="40">
        <f>SUM(C37:N37)</f>
        <v/>
      </c>
    </row>
    <row r="38" ht="14.25" customHeight="1" s="194">
      <c r="A38" s="46" t="n">
        <v>3</v>
      </c>
      <c r="B38" s="42">
        <f>$B$212*$F$198</f>
        <v/>
      </c>
      <c r="C38" s="30" t="n">
        <v>0.18</v>
      </c>
      <c r="D38" s="30" t="n">
        <v>0.09</v>
      </c>
      <c r="E38" s="30" t="n">
        <v>0.03</v>
      </c>
      <c r="F38" s="30" t="n">
        <v>0.02</v>
      </c>
      <c r="G38" s="30" t="n">
        <v>0.08</v>
      </c>
      <c r="H38" s="30" t="n">
        <v>0.13</v>
      </c>
      <c r="I38" s="30" t="n">
        <v>0.05</v>
      </c>
      <c r="J38" s="30" t="n">
        <v>0.06</v>
      </c>
      <c r="K38" s="30" t="n">
        <v>0.08</v>
      </c>
      <c r="L38" s="30" t="n">
        <v>0.05</v>
      </c>
      <c r="M38" s="30" t="n">
        <v>0.09</v>
      </c>
      <c r="N38" s="30" t="n">
        <v>0.14</v>
      </c>
      <c r="O38" s="40">
        <f>SUM(C38:N38)</f>
        <v/>
      </c>
    </row>
    <row r="39" ht="14.25" customHeight="1" s="194">
      <c r="A39" s="46" t="n">
        <v>4</v>
      </c>
      <c r="B39" s="42">
        <f>$B$213*$F$198</f>
        <v/>
      </c>
      <c r="C39" s="30" t="n">
        <v>0.18</v>
      </c>
      <c r="D39" s="30" t="n">
        <v>0.09</v>
      </c>
      <c r="E39" s="30" t="n">
        <v>0.03</v>
      </c>
      <c r="F39" s="30" t="n">
        <v>0.02</v>
      </c>
      <c r="G39" s="30" t="n">
        <v>0.08</v>
      </c>
      <c r="H39" s="30" t="n">
        <v>0.13</v>
      </c>
      <c r="I39" s="30" t="n">
        <v>0.05</v>
      </c>
      <c r="J39" s="30" t="n">
        <v>0.06</v>
      </c>
      <c r="K39" s="30" t="n">
        <v>0.08</v>
      </c>
      <c r="L39" s="30" t="n">
        <v>0.05</v>
      </c>
      <c r="M39" s="30" t="n">
        <v>0.09</v>
      </c>
      <c r="N39" s="30" t="n">
        <v>0.14</v>
      </c>
      <c r="O39" s="40">
        <f>SUM(C39:N39)</f>
        <v/>
      </c>
    </row>
    <row r="40" ht="14.25" customHeight="1" s="194">
      <c r="A40" s="46" t="n">
        <v>5</v>
      </c>
      <c r="B40" s="42">
        <f>$B$214*$F$198</f>
        <v/>
      </c>
      <c r="C40" s="30" t="n">
        <v>0.18</v>
      </c>
      <c r="D40" s="30" t="n">
        <v>0.09</v>
      </c>
      <c r="E40" s="30" t="n">
        <v>0.03</v>
      </c>
      <c r="F40" s="30" t="n">
        <v>0.02</v>
      </c>
      <c r="G40" s="30" t="n">
        <v>0.08</v>
      </c>
      <c r="H40" s="30" t="n">
        <v>0.13</v>
      </c>
      <c r="I40" s="30" t="n">
        <v>0.05</v>
      </c>
      <c r="J40" s="30" t="n">
        <v>0.06</v>
      </c>
      <c r="K40" s="30" t="n">
        <v>0.08</v>
      </c>
      <c r="L40" s="30" t="n">
        <v>0.05</v>
      </c>
      <c r="M40" s="30" t="n">
        <v>0.09</v>
      </c>
      <c r="N40" s="30" t="n">
        <v>0.14</v>
      </c>
      <c r="O40" s="40">
        <f>SUM(C40:N40)</f>
        <v/>
      </c>
    </row>
    <row r="41" ht="14.25" customHeight="1" s="194"/>
    <row r="42" ht="14.25" customHeight="1" s="194">
      <c r="A42" s="197" t="inlineStr">
        <is>
          <t>3. Дети и сезонность посещаемости</t>
        </is>
      </c>
    </row>
    <row r="43" ht="14.25" customHeight="1" s="194">
      <c r="A43" s="21" t="inlineStr">
        <is>
          <t>Месяц</t>
        </is>
      </c>
      <c r="B43" s="21" t="inlineStr">
        <is>
          <t>Янв</t>
        </is>
      </c>
      <c r="C43" s="21" t="inlineStr">
        <is>
          <t>Фев</t>
        </is>
      </c>
      <c r="D43" s="21" t="inlineStr">
        <is>
          <t>Мар</t>
        </is>
      </c>
      <c r="E43" s="21" t="inlineStr">
        <is>
          <t>Апр</t>
        </is>
      </c>
      <c r="F43" s="21" t="inlineStr">
        <is>
          <t>Май</t>
        </is>
      </c>
      <c r="G43" s="21" t="inlineStr">
        <is>
          <t>Июн</t>
        </is>
      </c>
      <c r="H43" s="21" t="inlineStr">
        <is>
          <t>Июл</t>
        </is>
      </c>
      <c r="I43" s="21" t="inlineStr">
        <is>
          <t>Авг</t>
        </is>
      </c>
      <c r="J43" s="21" t="inlineStr">
        <is>
          <t>Сен</t>
        </is>
      </c>
      <c r="K43" s="21" t="inlineStr">
        <is>
          <t>Окт</t>
        </is>
      </c>
      <c r="L43" s="21" t="inlineStr">
        <is>
          <t>Ноя</t>
        </is>
      </c>
      <c r="M43" s="21" t="inlineStr">
        <is>
          <t>Дек</t>
        </is>
      </c>
    </row>
    <row r="44" ht="14.25" customHeight="1" s="194">
      <c r="A44" s="67" t="inlineStr">
        <is>
          <t>Индекс посещаемости</t>
        </is>
      </c>
      <c r="B44" s="30" t="n">
        <v>0.963235294117647</v>
      </c>
      <c r="C44" s="30" t="n">
        <v>1</v>
      </c>
      <c r="D44" s="30" t="n">
        <v>0.9926470588235294</v>
      </c>
      <c r="E44" s="30" t="n">
        <v>0.926470588235294</v>
      </c>
      <c r="F44" s="30" t="n">
        <v>0.8235294117647058</v>
      </c>
      <c r="G44" s="30" t="n">
        <v>0.3161764705882353</v>
      </c>
      <c r="H44" s="30" t="n">
        <v>0.1397058823529412</v>
      </c>
      <c r="I44" s="30" t="n">
        <v>0.1397058823529412</v>
      </c>
      <c r="J44" s="30" t="n">
        <v>0.7941176470588235</v>
      </c>
      <c r="K44" s="30" t="n">
        <v>0.9411764705882353</v>
      </c>
      <c r="L44" s="30" t="n">
        <v>0.9411764705882353</v>
      </c>
      <c r="M44" s="30" t="n">
        <v>0.926470588235294</v>
      </c>
    </row>
    <row r="45" ht="14.25" customHeight="1" s="194"/>
    <row r="46" ht="14.25" customHeight="1" s="194">
      <c r="A46" s="48" t="inlineStr">
        <is>
          <t>Дети к концу 12-го месяца, 100%</t>
        </is>
      </c>
      <c r="B46" s="49">
        <f>$B$215*$F$199</f>
        <v/>
      </c>
      <c r="C46" s="24" t="inlineStr">
        <is>
          <t>чел. при 100%</t>
        </is>
      </c>
      <c r="D46" s="24" t="inlineStr">
        <is>
          <t>Расчет по сценарию</t>
        </is>
      </c>
      <c r="E46" s="145" t="inlineStr">
        <is>
          <t>Взвешенное среднее</t>
        </is>
      </c>
      <c r="G46" s="38" t="inlineStr">
        <is>
          <t>← формула; база: B215</t>
        </is>
      </c>
    </row>
    <row r="47" ht="14.25" customHeight="1" s="194">
      <c r="A47" s="48" t="inlineStr">
        <is>
          <t>Дети к концу 24-го месяца, 100%</t>
        </is>
      </c>
      <c r="B47" s="49">
        <f>$B$216*$F$199</f>
        <v/>
      </c>
      <c r="C47" s="24" t="inlineStr">
        <is>
          <t>чел. при 100%</t>
        </is>
      </c>
      <c r="D47" s="24" t="n"/>
      <c r="E47" s="50" t="inlineStr">
        <is>
          <t>Не полный план с 13-го месяца: плавный рост за месяцы 13-24.</t>
        </is>
      </c>
      <c r="G47" s="38" t="inlineStr">
        <is>
          <t>← формула; база: B216</t>
        </is>
      </c>
    </row>
    <row r="48" ht="14.25" customHeight="1" s="194"/>
    <row r="49" ht="14.25" customHeight="1" s="194">
      <c r="A49" s="197" t="inlineStr">
        <is>
          <t>4. Паушальный взнос и роялти</t>
        </is>
      </c>
    </row>
    <row r="50" ht="14.25" customHeight="1" s="194">
      <c r="A50" s="21" t="inlineStr">
        <is>
          <t>Параметр</t>
        </is>
      </c>
      <c r="B50" s="21" t="inlineStr">
        <is>
          <t>Значение</t>
        </is>
      </c>
      <c r="C50" s="21" t="inlineStr">
        <is>
          <t>Ед.</t>
        </is>
      </c>
      <c r="D50" s="21" t="inlineStr">
        <is>
          <t>Статус / источник</t>
        </is>
      </c>
      <c r="E50" s="21" t="inlineStr">
        <is>
          <t>Комментарий</t>
        </is>
      </c>
    </row>
    <row r="51" ht="14.25" customHeight="1" s="194">
      <c r="A51" s="67" t="inlineStr">
        <is>
          <t>Абонемент действующей сети</t>
        </is>
      </c>
      <c r="B51" s="42">
        <f>$B$217*$F$200</f>
        <v/>
      </c>
      <c r="C51" s="24" t="inlineStr">
        <is>
          <t>₽/мес.</t>
        </is>
      </c>
      <c r="D51" s="24" t="inlineStr">
        <is>
          <t>Расчет по сценарию</t>
        </is>
      </c>
      <c r="E51" s="145" t="n"/>
      <c r="G51" s="38" t="inlineStr">
        <is>
          <t>← формула; база: B217</t>
        </is>
      </c>
    </row>
    <row r="52" ht="28.5" customHeight="1" s="194">
      <c r="A52" s="67" t="inlineStr">
        <is>
          <t>Средний фикс на точку начисления</t>
        </is>
      </c>
      <c r="B52" s="36">
        <f>SUMPRODUCT(B314:B318,D314:D318)/SUM(B314:B318)</f>
        <v/>
      </c>
      <c r="C52" s="24" t="inlineStr">
        <is>
          <t>₽/точку/мес.</t>
        </is>
      </c>
      <c r="D52" s="24" t="inlineStr">
        <is>
          <t>Расчёт из групп</t>
        </is>
      </c>
      <c r="E52" s="145" t="inlineStr">
        <is>
          <t>Считается из таблицы групп в разделе 16. Руками не вводится: в роялти входят фиксы групп, а не это среднее.</t>
        </is>
      </c>
    </row>
    <row r="53" ht="14.25" customHeight="1" s="194">
      <c r="A53" s="67" t="inlineStr">
        <is>
          <t>Мин. роялти новой школы — 1-й год</t>
        </is>
      </c>
      <c r="B53" s="51">
        <f>SUMPRODUCT($C$263:$C$282,$I$263:$I$282)/$C$283</f>
        <v/>
      </c>
      <c r="C53" s="24" t="inlineStr">
        <is>
          <t>₽/школа/мес.</t>
        </is>
      </c>
      <c r="D53" s="24" t="inlineStr">
        <is>
          <t>Взвешенный микс</t>
        </is>
      </c>
      <c r="E53" s="145" t="inlineStr">
        <is>
          <t>Минимум применяется по каждой школе</t>
        </is>
      </c>
      <c r="G53" s="38" t="inlineStr">
        <is>
          <t>← формула; база: I263:I282</t>
        </is>
      </c>
    </row>
    <row r="54" ht="14.25" customHeight="1" s="194">
      <c r="A54" s="67" t="inlineStr">
        <is>
          <t>Мин. роялти новой школы — 2-й год+</t>
        </is>
      </c>
      <c r="B54" s="51">
        <f>SUMPRODUCT($C$263:$C$282,$J$263:$J$282)/$C$283</f>
        <v/>
      </c>
      <c r="C54" s="24" t="inlineStr">
        <is>
          <t>₽/школа/мес.</t>
        </is>
      </c>
      <c r="D54" s="24" t="inlineStr">
        <is>
          <t>Взвешенный микс</t>
        </is>
      </c>
      <c r="E54" s="145" t="inlineStr">
        <is>
          <t>Минимум применяется по каждой школе</t>
        </is>
      </c>
      <c r="G54" s="38" t="inlineStr">
        <is>
          <t>← формула; база: J263:J282</t>
        </is>
      </c>
    </row>
    <row r="55" ht="14.25" customHeight="1" s="194">
      <c r="A55" s="67">
        <f>"Роялти старых / продаж до "&amp;TEXT(DAY($B$244),"00")&amp;"."&amp;TEXT(MONTH($B$244),"00")&amp;"."&amp;YEAR($B$244)</f>
        <v/>
      </c>
      <c r="B55" s="30" t="n">
        <v>0.065</v>
      </c>
      <c r="C55" s="24" t="inlineStr">
        <is>
          <t>%</t>
        </is>
      </c>
      <c r="D55" s="24" t="n"/>
      <c r="E55" s="145" t="inlineStr">
        <is>
          <t>До 31.12.2029</t>
        </is>
      </c>
    </row>
    <row r="56" ht="14.25" customHeight="1" s="194">
      <c r="A56" s="67">
        <f>"Роялти новых с "&amp;TEXT(DAY($B$244+1),"00")&amp;"."&amp;TEXT(MONTH($B$244+1),"00")&amp;"."&amp;YEAR($B$244+1)</f>
        <v/>
      </c>
      <c r="B56" s="30" t="n">
        <v>0.08500000000000001</v>
      </c>
      <c r="C56" s="24" t="inlineStr">
        <is>
          <t>%</t>
        </is>
      </c>
      <c r="D56" s="24" t="n"/>
      <c r="E56" s="145" t="inlineStr">
        <is>
          <t>До 31.12.2029</t>
        </is>
      </c>
    </row>
    <row r="57" ht="14.25" customHeight="1" s="194">
      <c r="A57" s="67">
        <f>"Роялти всех с "&amp;TEXT(DAY($B$245),"00")&amp;"."&amp;TEXT(MONTH($B$245),"00")&amp;"."&amp;YEAR($B$245)</f>
        <v/>
      </c>
      <c r="B57" s="30" t="n">
        <v>0.1</v>
      </c>
      <c r="C57" s="24" t="inlineStr">
        <is>
          <t>%</t>
        </is>
      </c>
      <c r="D57" s="24" t="n"/>
      <c r="E57" s="52" t="inlineStr">
        <is>
          <t>Дата перехода задаётся в B245; подпись слева следует за ней.</t>
        </is>
      </c>
    </row>
    <row r="58" ht="14.25" customHeight="1" s="194">
      <c r="A58" s="67" t="inlineStr">
        <is>
          <t>НДС основной деятельности</t>
        </is>
      </c>
      <c r="B58" s="31" t="n">
        <v>0.05</v>
      </c>
      <c r="C58" s="24" t="inlineStr">
        <is>
          <t>%</t>
        </is>
      </c>
      <c r="D58" s="24" t="inlineStr">
        <is>
          <t>Временно</t>
        </is>
      </c>
      <c r="E58" s="145" t="inlineStr">
        <is>
          <t>Требует налоговой сверки</t>
        </is>
      </c>
    </row>
    <row r="59" ht="14.25" customHeight="1" s="194">
      <c r="A59" s="203" t="inlineStr">
        <is>
          <t>Доля ФК от паушального</t>
        </is>
      </c>
      <c r="B59" s="30" t="n">
        <v>0.35</v>
      </c>
      <c r="C59" s="24" t="inlineStr">
        <is>
          <t>% от суммы с НДС</t>
        </is>
      </c>
      <c r="D59" s="24" t="inlineStr">
        <is>
          <t>Договор, п. 3.1 а)</t>
        </is>
      </c>
      <c r="E59" s="145" t="inlineStr">
        <is>
          <t>«35 % от валовой выручки» — без оговорки «за вычетом НДС», которая стоит в подпунктах д/е/ж. База считается по строке 13 листа «04_Доходы» (с НДС), а не по строке 14.</t>
        </is>
      </c>
      <c r="F59" s="53" t="inlineStr">
        <is>
          <t>35% выручки. Не связано с B76: там 35% ПРИБЫЛИ мерча. Совпадение ставок случайно — пересмотр одной не двигает другую.</t>
        </is>
      </c>
    </row>
    <row r="60" ht="14.25" customHeight="1" s="194">
      <c r="A60" s="203" t="inlineStr">
        <is>
          <t>Доля ФК от роялти — 1-я ступень</t>
        </is>
      </c>
      <c r="B60" s="30" t="n">
        <v>0.1</v>
      </c>
      <c r="C60" s="24" t="inlineStr">
        <is>
          <t>% без НДС</t>
        </is>
      </c>
      <c r="D60" s="24" t="inlineStr">
        <is>
          <t>Договор, п. 3.1 д)</t>
        </is>
      </c>
      <c r="E60" s="145" t="inlineStr">
        <is>
          <t>Базовая ставка первой ступени. Дальше растёт по календарю — ступени и их даты в разделе 18. База — за вычетом НДС, как написано в договоре.</t>
        </is>
      </c>
    </row>
    <row r="61" ht="14.25" customHeight="1" s="194">
      <c r="A61" s="198" t="inlineStr">
        <is>
          <t>Средние по взвешенному миксу продуктов — по сезонам</t>
        </is>
      </c>
    </row>
    <row r="62" ht="14.25" customHeight="1" s="194">
      <c r="A62" s="21" t="inlineStr">
        <is>
          <t>Сезон</t>
        </is>
      </c>
      <c r="B62" s="21" t="inlineStr">
        <is>
          <t>Средний паушальный, ₽ с НДС</t>
        </is>
      </c>
      <c r="C62" s="21" t="inlineStr">
        <is>
          <t>Средний абонемент, ₽/мес.</t>
        </is>
      </c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</row>
    <row r="63" ht="14.25" customHeight="1" s="194">
      <c r="A63" s="46" t="n">
        <v>1</v>
      </c>
      <c r="B63" s="51">
        <f>SUMPRODUCT($C$263:$C$282,$D$263:$D$282)/$C$283</f>
        <v/>
      </c>
      <c r="C63" s="42">
        <f>$B$218*$F$200</f>
        <v/>
      </c>
      <c r="G63" s="38" t="inlineStr">
        <is>
          <t>← формула; база: D263:D282</t>
        </is>
      </c>
    </row>
    <row r="64" ht="14.25" customHeight="1" s="194">
      <c r="A64" s="46" t="n">
        <v>2</v>
      </c>
      <c r="B64" s="51">
        <f>SUMPRODUCT($C$263:$C$282,$D$263:$D$282)/$C$283</f>
        <v/>
      </c>
      <c r="C64" s="42">
        <f>$B$219*$F$200</f>
        <v/>
      </c>
      <c r="G64" s="38" t="inlineStr">
        <is>
          <t>← формула; база: D263:D282</t>
        </is>
      </c>
    </row>
    <row r="65" ht="14.25" customHeight="1" s="194">
      <c r="A65" s="46" t="n">
        <v>3</v>
      </c>
      <c r="B65" s="51">
        <f>SUMPRODUCT($C$263:$C$282,$D$263:$D$282)/$C$283</f>
        <v/>
      </c>
      <c r="C65" s="42">
        <f>$B$220*$F$200</f>
        <v/>
      </c>
      <c r="G65" s="38" t="inlineStr">
        <is>
          <t>← формула; база: D263:D282</t>
        </is>
      </c>
    </row>
    <row r="66" ht="14.25" customHeight="1" s="194">
      <c r="A66" s="46" t="n">
        <v>4</v>
      </c>
      <c r="B66" s="51">
        <f>SUMPRODUCT($C$263:$C$282,$D$263:$D$282)/$C$283</f>
        <v/>
      </c>
      <c r="C66" s="42">
        <f>$B$221*$F$200</f>
        <v/>
      </c>
      <c r="G66" s="38" t="inlineStr">
        <is>
          <t>← формула; база: D263:D282</t>
        </is>
      </c>
    </row>
    <row r="67" ht="14.25" customHeight="1" s="194">
      <c r="A67" s="46" t="n">
        <v>5</v>
      </c>
      <c r="B67" s="51">
        <f>SUMPRODUCT($C$263:$C$282,$D$263:$D$282)/$C$283</f>
        <v/>
      </c>
      <c r="C67" s="42">
        <f>$B$222*$F$200</f>
        <v/>
      </c>
      <c r="G67" s="38" t="inlineStr">
        <is>
          <t>← формула; база: D263:D282</t>
        </is>
      </c>
    </row>
    <row r="68" ht="14.25" customHeight="1" s="194"/>
    <row r="69" ht="14.25" customHeight="1" s="194">
      <c r="A69" s="197" t="inlineStr">
        <is>
          <t>5. Мерч, склад и займ</t>
        </is>
      </c>
    </row>
    <row r="70" ht="14.25" customHeight="1" s="194">
      <c r="A70" s="21" t="inlineStr">
        <is>
          <t>Параметр</t>
        </is>
      </c>
      <c r="B70" s="21" t="inlineStr">
        <is>
          <t>Значение</t>
        </is>
      </c>
      <c r="C70" s="21" t="inlineStr">
        <is>
          <t>Ед.</t>
        </is>
      </c>
      <c r="D70" s="21" t="inlineStr">
        <is>
          <t>Статус / источник</t>
        </is>
      </c>
      <c r="E70" s="21" t="inlineStr">
        <is>
          <t>Комментарий</t>
        </is>
      </c>
    </row>
    <row r="71" ht="14.25" customHeight="1" s="194">
      <c r="A71" s="67" t="inlineStr">
        <is>
          <t>Себестоимость комплекта</t>
        </is>
      </c>
      <c r="B71" s="64" t="n">
        <v>1900</v>
      </c>
      <c r="C71" s="24" t="inlineStr">
        <is>
          <t>₽</t>
        </is>
      </c>
      <c r="D71" s="24" t="n"/>
      <c r="E71" s="145" t="n"/>
    </row>
    <row r="72" ht="14.25" customHeight="1" s="194">
      <c r="A72" s="67" t="inlineStr">
        <is>
          <t>Наценка мерча</t>
        </is>
      </c>
      <c r="B72" s="47" t="n">
        <v>0.9</v>
      </c>
      <c r="C72" s="24" t="inlineStr">
        <is>
          <t>% к COGS</t>
        </is>
      </c>
      <c r="D72" s="24" t="n"/>
      <c r="E72" s="145" t="n"/>
    </row>
    <row r="73" ht="14.25" customHeight="1" s="194">
      <c r="A73" s="67" t="inlineStr">
        <is>
          <t>Цена комплекта</t>
        </is>
      </c>
      <c r="B73" s="51">
        <f>B71*(1+B72)</f>
        <v/>
      </c>
      <c r="C73" s="24" t="inlineStr">
        <is>
          <t>₽</t>
        </is>
      </c>
      <c r="D73" s="24" t="n"/>
      <c r="E73" s="24" t="n"/>
    </row>
    <row r="74" ht="14.25" customHeight="1" s="194">
      <c r="A74" s="67" t="inlineStr">
        <is>
          <t>Коэффициент мерча</t>
        </is>
      </c>
      <c r="B74" s="63">
        <f>$B$223*$F$201</f>
        <v/>
      </c>
      <c r="C74" s="24" t="inlineStr">
        <is>
          <t>компл./ребёнок/сезон</t>
        </is>
      </c>
      <c r="D74" s="24" t="n"/>
      <c r="E74" s="145" t="inlineStr">
        <is>
          <t>Ежегодная докупка</t>
        </is>
      </c>
      <c r="G74" s="38" t="inlineStr">
        <is>
          <t>← формула; база: B223</t>
        </is>
      </c>
    </row>
    <row r="75" ht="14.25" customHeight="1" s="194">
      <c r="A75" s="67" t="inlineStr">
        <is>
          <t>Логистика/возвраты/брак</t>
        </is>
      </c>
      <c r="B75" s="47" t="n">
        <v>0.01</v>
      </c>
      <c r="C75" s="24" t="inlineStr">
        <is>
          <t>% выручки без НДС</t>
        </is>
      </c>
      <c r="D75" s="24" t="n"/>
      <c r="E75" s="145" t="n"/>
    </row>
    <row r="76" ht="14.25" customHeight="1" s="194">
      <c r="A76" s="67" t="inlineStr">
        <is>
          <t>Доля ФК от прибыли мерча</t>
        </is>
      </c>
      <c r="B76" s="30" t="n">
        <v>0.35</v>
      </c>
      <c r="C76" s="24" t="inlineStr">
        <is>
          <t>%</t>
        </is>
      </c>
      <c r="D76" s="24" t="n"/>
      <c r="E76" s="145" t="inlineStr">
        <is>
          <t>Отдельно от возврата займа</t>
        </is>
      </c>
      <c r="F76" s="53" t="inlineStr">
        <is>
          <t>35% прибыли (выручка − COGS − логистика). Не связано с B59: там 35% ВЫРУЧКИ по паушальным. Базы разные.</t>
        </is>
      </c>
    </row>
    <row r="77" ht="14.25" customHeight="1" s="194">
      <c r="A77" s="67" t="inlineStr">
        <is>
          <t>Стартовый товарный запас</t>
        </is>
      </c>
      <c r="B77" s="64" t="n">
        <v>50000000</v>
      </c>
      <c r="C77" s="24" t="inlineStr">
        <is>
          <t>₽ по COGS</t>
        </is>
      </c>
      <c r="D77" s="24" t="n"/>
      <c r="E77" s="145" t="n"/>
    </row>
    <row r="78" ht="14.25" customHeight="1" s="194">
      <c r="A78" s="67" t="inlineStr">
        <is>
          <t>Стартовый займ на мерч</t>
        </is>
      </c>
      <c r="B78" s="64" t="n">
        <v>50000000</v>
      </c>
      <c r="C78" s="24" t="inlineStr">
        <is>
          <t>₽</t>
        </is>
      </c>
      <c r="D78" s="24" t="n"/>
      <c r="E78" s="145" t="n"/>
    </row>
    <row r="79" ht="14.25" customHeight="1" s="194">
      <c r="A79" s="67" t="inlineStr">
        <is>
          <t>Доля COGS на погашение займа</t>
        </is>
      </c>
      <c r="B79" s="47" t="n">
        <v>1</v>
      </c>
      <c r="C79" s="24" t="inlineStr">
        <is>
          <t>%</t>
        </is>
      </c>
      <c r="D79" s="24" t="n"/>
      <c r="E79" s="145" t="n"/>
    </row>
    <row r="80" ht="14.25" customHeight="1" s="194">
      <c r="A80" s="67" t="inlineStr">
        <is>
          <t>Целевой запас</t>
        </is>
      </c>
      <c r="B80" s="34" t="n">
        <v>3</v>
      </c>
      <c r="C80" s="24" t="inlineStr">
        <is>
          <t>мес. будущих продаж</t>
        </is>
      </c>
      <c r="D80" s="24" t="n"/>
      <c r="E80" s="145">
        <f>"При закупке доводим склад до будущих "&amp;$B$80&amp;" мес. продаж по себестоимости"</f>
        <v/>
      </c>
    </row>
    <row r="81" ht="14.25" customHeight="1" s="194">
      <c r="A81" s="67" t="inlineStr">
        <is>
          <t>Начало регулярного пополнения</t>
        </is>
      </c>
      <c r="B81" s="23" t="n">
        <v>46692</v>
      </c>
      <c r="C81" s="24" t="inlineStr">
        <is>
          <t>дата</t>
        </is>
      </c>
      <c r="D81" s="24" t="n"/>
      <c r="E81" s="145" t="n"/>
    </row>
    <row r="82" ht="14.25" customHeight="1" s="194">
      <c r="A82" s="67" t="inlineStr">
        <is>
          <t>Месяц проверки закупки 1</t>
        </is>
      </c>
      <c r="B82" s="65" t="n">
        <v>2</v>
      </c>
      <c r="C82" s="24" t="inlineStr">
        <is>
          <t>номер месяца</t>
        </is>
      </c>
      <c r="D82" s="24" t="n"/>
      <c r="E82" s="145" t="inlineStr">
        <is>
          <t>Февраль; уточнить точные месяцы закупок</t>
        </is>
      </c>
    </row>
    <row r="83" ht="14.25" customHeight="1" s="194">
      <c r="A83" s="67" t="inlineStr">
        <is>
          <t>Месяц проверки закупки 2</t>
        </is>
      </c>
      <c r="B83" s="65" t="n">
        <v>5</v>
      </c>
      <c r="C83" s="24" t="inlineStr">
        <is>
          <t>номер месяца</t>
        </is>
      </c>
      <c r="D83" s="24" t="n"/>
      <c r="E83" s="145" t="inlineStr">
        <is>
          <t>Май; уточнить точные месяцы закупок</t>
        </is>
      </c>
    </row>
    <row r="84" ht="14.25" customHeight="1" s="194">
      <c r="A84" s="67" t="inlineStr">
        <is>
          <t>Месяц проверки закупки 3</t>
        </is>
      </c>
      <c r="B84" s="65" t="n">
        <v>8</v>
      </c>
      <c r="C84" s="24" t="inlineStr">
        <is>
          <t>номер месяца</t>
        </is>
      </c>
      <c r="D84" s="24" t="n"/>
      <c r="E84" s="145" t="inlineStr">
        <is>
          <t>Август; уточнить точные месяцы закупок</t>
        </is>
      </c>
    </row>
    <row r="85" ht="14.25" customHeight="1" s="194">
      <c r="A85" s="67" t="inlineStr">
        <is>
          <t>Месяц проверки закупки 4</t>
        </is>
      </c>
      <c r="B85" s="65" t="n">
        <v>11</v>
      </c>
      <c r="C85" s="24" t="inlineStr">
        <is>
          <t>номер месяца</t>
        </is>
      </c>
      <c r="D85" s="24" t="n"/>
      <c r="E85" s="145" t="inlineStr">
        <is>
          <t>Ноябрь; уточнить точные месяцы закупок</t>
        </is>
      </c>
    </row>
    <row r="86" ht="14.25" customHeight="1" s="194">
      <c r="A86" s="198" t="inlineStr">
        <is>
          <t>Первичная закупка новой школы</t>
        </is>
      </c>
    </row>
    <row r="87" ht="14.25" customHeight="1" s="194">
      <c r="A87" s="67" t="inlineStr">
        <is>
          <t>1-й месяц после открытия</t>
        </is>
      </c>
      <c r="B87" s="47" t="n">
        <v>0</v>
      </c>
    </row>
    <row r="88" ht="14.25" customHeight="1" s="194">
      <c r="A88" s="67" t="inlineStr">
        <is>
          <t>2-й месяц после открытия</t>
        </is>
      </c>
      <c r="B88" s="47" t="n">
        <v>0.8</v>
      </c>
    </row>
    <row r="89" ht="14.25" customHeight="1" s="194">
      <c r="A89" s="67" t="inlineStr">
        <is>
          <t>3-й месяц после открытия</t>
        </is>
      </c>
      <c r="B89" s="30" t="n">
        <v>0.2</v>
      </c>
    </row>
    <row r="90" ht="14.25" customHeight="1" s="194">
      <c r="A90" s="67" t="inlineStr">
        <is>
          <t>Контроль</t>
        </is>
      </c>
      <c r="B90" s="40">
        <f>SUM(B87:B89)</f>
        <v/>
      </c>
    </row>
    <row r="91" ht="14.25" customHeight="1" s="194"/>
    <row r="92" ht="14.25" customHeight="1" s="194">
      <c r="A92" s="198" t="inlineStr">
        <is>
          <t>Сезонность повторной закупки мерча</t>
        </is>
      </c>
    </row>
    <row r="93" ht="14.25" customHeight="1" s="194">
      <c r="B93" s="21" t="inlineStr">
        <is>
          <t>Янв</t>
        </is>
      </c>
      <c r="C93" s="21" t="inlineStr">
        <is>
          <t>Фев</t>
        </is>
      </c>
      <c r="D93" s="21" t="inlineStr">
        <is>
          <t>Мар</t>
        </is>
      </c>
      <c r="E93" s="21" t="inlineStr">
        <is>
          <t>Апр</t>
        </is>
      </c>
      <c r="F93" s="21" t="inlineStr">
        <is>
          <t>Май</t>
        </is>
      </c>
      <c r="G93" s="21" t="inlineStr">
        <is>
          <t>Июн</t>
        </is>
      </c>
      <c r="H93" s="21" t="inlineStr">
        <is>
          <t>Июл</t>
        </is>
      </c>
      <c r="I93" s="21" t="inlineStr">
        <is>
          <t>Авг</t>
        </is>
      </c>
      <c r="J93" s="21" t="inlineStr">
        <is>
          <t>Сен</t>
        </is>
      </c>
      <c r="K93" s="21" t="inlineStr">
        <is>
          <t>Окт</t>
        </is>
      </c>
      <c r="L93" s="21" t="inlineStr">
        <is>
          <t>Ноя</t>
        </is>
      </c>
      <c r="M93" s="21" t="inlineStr">
        <is>
          <t>Дек</t>
        </is>
      </c>
    </row>
    <row r="94" ht="14.25" customHeight="1" s="194">
      <c r="A94" s="67" t="inlineStr">
        <is>
          <t>Доля годовых повторных продаж</t>
        </is>
      </c>
      <c r="B94" s="30" t="n">
        <v>0</v>
      </c>
      <c r="C94" s="30" t="n">
        <v>0</v>
      </c>
      <c r="D94" s="30" t="n">
        <v>0</v>
      </c>
      <c r="E94" s="30" t="n">
        <v>0</v>
      </c>
      <c r="F94" s="30" t="n">
        <v>0</v>
      </c>
      <c r="G94" s="30" t="n">
        <v>0</v>
      </c>
      <c r="H94" s="30" t="n">
        <v>0</v>
      </c>
      <c r="I94" s="30" t="n">
        <v>0.25</v>
      </c>
      <c r="J94" s="30" t="n">
        <v>0.4</v>
      </c>
      <c r="K94" s="30" t="n">
        <v>0.25</v>
      </c>
      <c r="L94" s="30" t="n">
        <v>0.1</v>
      </c>
      <c r="M94" s="30" t="n">
        <v>0</v>
      </c>
    </row>
    <row r="95" ht="14.25" customHeight="1" s="194">
      <c r="A95" s="67" t="inlineStr">
        <is>
          <t>Контроль</t>
        </is>
      </c>
      <c r="B95" s="40">
        <f>SUM(B94:M94)</f>
        <v/>
      </c>
    </row>
    <row r="96" ht="14.25" customHeight="1" s="194"/>
    <row r="97" ht="14.25" customHeight="1" s="194">
      <c r="A97" s="198" t="inlineStr">
        <is>
          <t>5а. Согласованный мерч действующей сети — факт сентябрь–декабрь 2026</t>
        </is>
      </c>
    </row>
    <row r="98" ht="14.25" customHeight="1" s="194">
      <c r="A98" s="21" t="inlineStr">
        <is>
          <t>Месяц (факт, ищется по дате)</t>
        </is>
      </c>
      <c r="B98" s="66" t="n">
        <v>46266</v>
      </c>
      <c r="C98" s="66" t="n">
        <v>46296</v>
      </c>
      <c r="D98" s="66" t="n">
        <v>46327</v>
      </c>
      <c r="E98" s="66" t="n">
        <v>46357</v>
      </c>
    </row>
    <row r="99" ht="14.25" customHeight="1" s="194">
      <c r="A99" s="67" t="inlineStr">
        <is>
          <t>SKU, шт.</t>
        </is>
      </c>
      <c r="B99" s="64" t="n">
        <v>800</v>
      </c>
      <c r="C99" s="64" t="n">
        <v>1300</v>
      </c>
      <c r="D99" s="64" t="n">
        <v>650</v>
      </c>
      <c r="E99" s="64" t="n">
        <v>450</v>
      </c>
    </row>
    <row r="100" ht="14.25" customHeight="1" s="194">
      <c r="A100" s="67" t="inlineStr">
        <is>
          <t>Выручка, ₽ с НДС</t>
        </is>
      </c>
      <c r="B100" s="64" t="n">
        <v>5377590</v>
      </c>
      <c r="C100" s="64" t="n">
        <v>5850000</v>
      </c>
      <c r="D100" s="64" t="n">
        <v>2925000</v>
      </c>
      <c r="E100" s="64" t="n">
        <v>2025000</v>
      </c>
    </row>
    <row r="101" ht="14.25" customHeight="1" s="194">
      <c r="A101" s="67" t="inlineStr">
        <is>
          <t>COGS, ₽</t>
        </is>
      </c>
      <c r="B101" s="64" t="n">
        <v>2958841</v>
      </c>
      <c r="C101" s="64" t="n">
        <v>2925000</v>
      </c>
      <c r="D101" s="64" t="n">
        <v>1462500</v>
      </c>
      <c r="E101" s="64" t="n">
        <v>1012500</v>
      </c>
    </row>
    <row r="102" ht="14.25" customHeight="1" s="194"/>
    <row r="103" ht="14.25" customHeight="1" s="194">
      <c r="A103" s="197" t="inlineStr">
        <is>
          <t>6. ERP и операционные расходы</t>
        </is>
      </c>
    </row>
    <row r="104" ht="14.25" customHeight="1" s="194">
      <c r="A104" s="21" t="inlineStr">
        <is>
          <t>Параметр</t>
        </is>
      </c>
      <c r="B104" s="21" t="inlineStr">
        <is>
          <t>Значение</t>
        </is>
      </c>
      <c r="C104" s="21" t="inlineStr">
        <is>
          <t>Ед.</t>
        </is>
      </c>
      <c r="D104" s="21" t="inlineStr">
        <is>
          <t>Статус / источник</t>
        </is>
      </c>
      <c r="E104" s="21" t="inlineStr">
        <is>
          <t>Комментарий</t>
        </is>
      </c>
    </row>
    <row r="105" ht="14.25" customHeight="1" s="194">
      <c r="A105" s="67" t="inlineStr">
        <is>
          <t>ERP база</t>
        </is>
      </c>
      <c r="B105" s="64" t="n">
        <v>80000</v>
      </c>
      <c r="C105" s="24" t="inlineStr">
        <is>
          <t>₽/мес.</t>
        </is>
      </c>
      <c r="D105" s="24" t="n"/>
      <c r="E105" s="145" t="n"/>
    </row>
    <row r="106" ht="28.5" customHeight="1" s="194">
      <c r="A106" s="67" t="inlineStr">
        <is>
          <t>Школ в ERP-базе</t>
        </is>
      </c>
      <c r="B106" s="68" t="n">
        <v>104</v>
      </c>
      <c r="C106" s="24" t="inlineStr">
        <is>
          <t>шт.</t>
        </is>
      </c>
      <c r="D106" s="24" t="inlineStr">
        <is>
          <t>Фактический реестр на 09.09.2026</t>
        </is>
      </c>
      <c r="E106" s="145" t="inlineStr">
        <is>
          <t>Базовые 80 тыс. ₽ ERP покрывают 104 действующие школы на старте; доплата 3 тыс. ₽ применяется к новым подключённым школам сверх этой базы.</t>
        </is>
      </c>
    </row>
    <row r="107" ht="14.25" customHeight="1" s="194">
      <c r="A107" s="67" t="inlineStr">
        <is>
          <t>ERP на новую активную школу</t>
        </is>
      </c>
      <c r="B107" s="64" t="n">
        <v>3000</v>
      </c>
      <c r="C107" s="24" t="inlineStr">
        <is>
          <t>₽/мес.</t>
        </is>
      </c>
      <c r="D107" s="24" t="n"/>
      <c r="E107" s="145" t="inlineStr">
        <is>
          <t>С месяца открытия</t>
        </is>
      </c>
    </row>
    <row r="108" ht="14.25" customHeight="1" s="194">
      <c r="A108" s="67" t="inlineStr">
        <is>
          <t>Офис / аренда / уборка / парковка</t>
        </is>
      </c>
      <c r="B108" s="64" t="n">
        <v>390000</v>
      </c>
      <c r="C108" s="24" t="inlineStr">
        <is>
          <t>₽/мес.</t>
        </is>
      </c>
      <c r="D108" s="24" t="n"/>
      <c r="E108" s="145" t="inlineStr">
        <is>
          <t>До переезда</t>
        </is>
      </c>
    </row>
    <row r="109" ht="14.25" customHeight="1" s="194">
      <c r="A109" s="67" t="inlineStr">
        <is>
          <t>Юристы / аудит / бухгалтерия</t>
        </is>
      </c>
      <c r="B109" s="64" t="n">
        <v>30000</v>
      </c>
      <c r="C109" s="24" t="inlineStr">
        <is>
          <t>₽/мес.</t>
        </is>
      </c>
      <c r="D109" s="24" t="n"/>
      <c r="E109" s="145" t="n"/>
    </row>
    <row r="110" ht="14.25" customHeight="1" s="194">
      <c r="A110" s="67" t="inlineStr">
        <is>
          <t>Прочие IT-сервисы</t>
        </is>
      </c>
      <c r="B110" s="64" t="n">
        <v>50000</v>
      </c>
      <c r="C110" s="24" t="inlineStr">
        <is>
          <t>₽/мес.</t>
        </is>
      </c>
      <c r="D110" s="24" t="n"/>
      <c r="E110" s="145" t="n"/>
    </row>
    <row r="111" ht="14.25" customHeight="1" s="194">
      <c r="A111" s="67" t="inlineStr">
        <is>
          <t>Маркетинг/SMM подрядчики до 31.08.27</t>
        </is>
      </c>
      <c r="B111" s="64" t="n">
        <v>100000</v>
      </c>
      <c r="C111" s="24" t="inlineStr">
        <is>
          <t>₽/мес.</t>
        </is>
      </c>
      <c r="D111" s="24" t="n"/>
      <c r="E111" s="145" t="n"/>
    </row>
    <row r="112" ht="14.25" customHeight="1" s="194">
      <c r="A112" s="67" t="inlineStr">
        <is>
          <t>Маркетинг/SMM подрядчики с 01.09.27</t>
        </is>
      </c>
      <c r="B112" s="64" t="n">
        <v>0</v>
      </c>
      <c r="C112" s="24" t="inlineStr">
        <is>
          <t>₽/мес.</t>
        </is>
      </c>
      <c r="D112" s="24" t="n"/>
      <c r="E112" s="145" t="n"/>
    </row>
    <row r="113" ht="14.25" customHeight="1" s="194"/>
    <row r="114" ht="14.25" customHeight="1" s="194">
      <c r="A114" s="197" t="inlineStr">
        <is>
          <t>7. ФОТ, найм и премии</t>
        </is>
      </c>
    </row>
    <row r="115" ht="14.25" customHeight="1" s="194">
      <c r="A115" s="21" t="inlineStr">
        <is>
          <t>Параметр</t>
        </is>
      </c>
      <c r="B115" s="21" t="inlineStr">
        <is>
          <t>Значение</t>
        </is>
      </c>
      <c r="C115" s="21" t="inlineStr">
        <is>
          <t>Ед.</t>
        </is>
      </c>
      <c r="D115" s="21" t="inlineStr">
        <is>
          <t>Статус / источник</t>
        </is>
      </c>
      <c r="E115" s="21" t="inlineStr">
        <is>
          <t>Комментарий</t>
        </is>
      </c>
    </row>
    <row r="116" ht="14.25" customHeight="1" s="194">
      <c r="A116" s="67" t="inlineStr">
        <is>
          <t>Инфляция зарплат</t>
        </is>
      </c>
      <c r="B116" s="30" t="n">
        <v>0.07000000000000001</v>
      </c>
      <c r="C116" s="24" t="inlineStr">
        <is>
          <t>%/год</t>
        </is>
      </c>
      <c r="D116" s="24" t="n"/>
      <c r="E116" s="145" t="inlineStr">
        <is>
          <t>Каждое 1 сентября</t>
        </is>
      </c>
    </row>
    <row r="117" ht="14.25" customHeight="1" s="194">
      <c r="A117" s="67" t="inlineStr">
        <is>
          <t>Юрлиц на 1 менеджера развития</t>
        </is>
      </c>
      <c r="B117" s="69" t="n">
        <v>35</v>
      </c>
      <c r="C117" s="24" t="inlineStr">
        <is>
          <t>шт.</t>
        </is>
      </c>
      <c r="D117" s="24" t="n"/>
      <c r="E117" s="145" t="n"/>
    </row>
    <row r="118" ht="14.25" customHeight="1" s="194">
      <c r="A118" s="67" t="inlineStr">
        <is>
          <t>Базовые менеджеры развития</t>
        </is>
      </c>
      <c r="B118" s="70" t="n">
        <v>2</v>
      </c>
      <c r="C118" s="24" t="inlineStr">
        <is>
          <t>чел.</t>
        </is>
      </c>
      <c r="D118" s="24" t="n"/>
      <c r="E118" s="145" t="inlineStr">
        <is>
          <t>После перевода Левона</t>
        </is>
      </c>
    </row>
    <row r="119" ht="14.25" customHeight="1" s="194">
      <c r="A119" s="67" t="inlineStr">
        <is>
          <t>Оклад нового менеджера развития gross</t>
        </is>
      </c>
      <c r="B119" s="64" t="n">
        <v>114943</v>
      </c>
      <c r="C119" s="24" t="inlineStr">
        <is>
          <t>₽/мес.</t>
        </is>
      </c>
      <c r="D119" s="24" t="n"/>
      <c r="E119" s="145" t="n"/>
    </row>
    <row r="120" ht="14.25" customHeight="1" s="194">
      <c r="A120" s="67" t="inlineStr">
        <is>
          <t>Комиссия кадрового агентства</t>
        </is>
      </c>
      <c r="B120" s="71" t="n">
        <v>1</v>
      </c>
      <c r="C120" s="24" t="inlineStr">
        <is>
          <t>× gross оклада</t>
        </is>
      </c>
      <c r="D120" s="24" t="n"/>
      <c r="E120" s="145" t="n"/>
    </row>
    <row r="121" ht="14.25" customHeight="1" s="194">
      <c r="A121" s="67" t="inlineStr">
        <is>
          <t>Разовая замена директора маркетинга</t>
        </is>
      </c>
      <c r="B121" s="64" t="n">
        <v>240000</v>
      </c>
      <c r="C121" s="24" t="inlineStr">
        <is>
          <t>₽</t>
        </is>
      </c>
      <c r="D121" s="24" t="n"/>
      <c r="E121" s="145" t="inlineStr">
        <is>
          <t>Октябрь 2026</t>
        </is>
      </c>
    </row>
    <row r="122" ht="14.25" customHeight="1" s="194">
      <c r="A122" s="67" t="inlineStr">
        <is>
          <t>Резерв на ротацию кадров</t>
        </is>
      </c>
      <c r="B122" s="64" t="n">
        <v>200000</v>
      </c>
      <c r="C122" s="24" t="inlineStr">
        <is>
          <t>₽/год</t>
        </is>
      </c>
      <c r="D122" s="24" t="n"/>
      <c r="E122" s="145" t="inlineStr">
        <is>
          <t>Каждый сентябрь</t>
        </is>
      </c>
    </row>
    <row r="123" ht="14.25" customHeight="1" s="194">
      <c r="A123" s="67" t="inlineStr">
        <is>
          <t>Премия развития net до 31.12.26</t>
        </is>
      </c>
      <c r="B123" s="64" t="n">
        <v>25000</v>
      </c>
      <c r="C123" s="24" t="inlineStr">
        <is>
          <t>₽/чел./мес.</t>
        </is>
      </c>
      <c r="D123" s="24" t="n"/>
      <c r="E123" s="145" t="inlineStr">
        <is>
          <t>2 менеджера + Левон</t>
        </is>
      </c>
    </row>
    <row r="124" ht="14.25" customHeight="1" s="194">
      <c r="A124" s="67" t="inlineStr">
        <is>
          <t>Премия развития net с 01.01.27</t>
        </is>
      </c>
      <c r="B124" s="64" t="n">
        <v>30000</v>
      </c>
      <c r="C124" s="24" t="inlineStr">
        <is>
          <t>₽/чел./мес.</t>
        </is>
      </c>
      <c r="D124" s="24" t="n"/>
      <c r="E124" s="145" t="n"/>
    </row>
    <row r="125" ht="14.25" customHeight="1" s="194">
      <c r="A125" s="67" t="inlineStr">
        <is>
          <t>Премия Евгения</t>
        </is>
      </c>
      <c r="B125" s="30" t="n">
        <v>0.04</v>
      </c>
      <c r="C125" s="24" t="inlineStr">
        <is>
          <t>% паушального без НДС</t>
        </is>
      </c>
      <c r="D125" s="24" t="n"/>
      <c r="E125" s="145" t="inlineStr">
        <is>
          <t>При 2+ продажах</t>
        </is>
      </c>
    </row>
    <row r="126" ht="14.25" customHeight="1" s="194">
      <c r="A126" s="67" t="inlineStr">
        <is>
          <t>Триггер временного продавца</t>
        </is>
      </c>
      <c r="B126" s="72" t="n">
        <v>5</v>
      </c>
      <c r="C126" s="24" t="inlineStr">
        <is>
          <t>продаж/мес.</t>
        </is>
      </c>
      <c r="D126" s="24" t="n"/>
      <c r="E126" s="145" t="n"/>
    </row>
    <row r="127" ht="14.25" customHeight="1" s="194">
      <c r="A127" s="67" t="inlineStr">
        <is>
          <t>Временный продавец — фикс</t>
        </is>
      </c>
      <c r="B127" s="64" t="n">
        <v>80000</v>
      </c>
      <c r="C127" s="24" t="inlineStr">
        <is>
          <t>₽/мес.</t>
        </is>
      </c>
      <c r="D127" s="24" t="n"/>
      <c r="E127" s="145" t="inlineStr">
        <is>
          <t>Пока считаем как ИП</t>
        </is>
      </c>
    </row>
    <row r="128" ht="14.25" customHeight="1" s="194">
      <c r="A128" s="67" t="inlineStr">
        <is>
          <t>Временный продавец — бонус</t>
        </is>
      </c>
      <c r="B128" s="47" t="n">
        <v>0.02</v>
      </c>
      <c r="C128" s="24" t="inlineStr">
        <is>
          <t>% паушального без НДС</t>
        </is>
      </c>
      <c r="D128" s="24" t="n"/>
      <c r="E128" s="145" t="inlineStr">
        <is>
          <t>Пока считаем как ИП</t>
        </is>
      </c>
    </row>
    <row r="129" ht="14.25" customHeight="1" s="194">
      <c r="A129" s="67" t="inlineStr">
        <is>
          <t>Статус временного продавца</t>
        </is>
      </c>
      <c r="B129" s="73" t="inlineStr">
        <is>
          <t>ИП</t>
        </is>
      </c>
      <c r="C129" s="24" t="inlineStr">
        <is>
          <t>статус</t>
        </is>
      </c>
      <c r="D129" s="24" t="inlineStr">
        <is>
          <t>Временно</t>
        </is>
      </c>
      <c r="E129" s="145" t="inlineStr">
        <is>
          <t>Временно ИП, по последнему указанию пользователя.</t>
        </is>
      </c>
    </row>
    <row r="130" ht="14.25" customHeight="1" s="194">
      <c r="A130" s="67" t="inlineStr">
        <is>
          <t>Квартальная премия</t>
        </is>
      </c>
      <c r="B130" s="71" t="n">
        <v>0.6</v>
      </c>
      <c r="C130" s="24" t="inlineStr">
        <is>
          <t>× месячного gross</t>
        </is>
      </c>
      <c r="D130" s="24" t="n"/>
      <c r="E130" s="145" t="inlineStr">
        <is>
          <t>С IV кв.2027, первая выплата декабрь 2027</t>
        </is>
      </c>
    </row>
    <row r="131" ht="14.25" customHeight="1" s="194">
      <c r="A131" s="67" t="inlineStr">
        <is>
          <t>Страховые взносы</t>
        </is>
      </c>
      <c r="B131" s="74" t="n">
        <v>0.3</v>
      </c>
      <c r="C131" s="24" t="inlineStr">
        <is>
          <t>% gross</t>
        </is>
      </c>
      <c r="D131" s="24" t="n"/>
      <c r="E131" s="145" t="inlineStr">
        <is>
          <t>Льготных режимов нет: полная ставка 30% к gross</t>
        </is>
      </c>
    </row>
    <row r="132" ht="14.25" customHeight="1" s="194">
      <c r="A132" s="67" t="inlineStr">
        <is>
          <t>Net / gross</t>
        </is>
      </c>
      <c r="B132" s="75" t="n">
        <v>0.87</v>
      </c>
      <c r="C132" s="24" t="inlineStr">
        <is>
          <t>коэффициент</t>
        </is>
      </c>
      <c r="D132" s="24" t="inlineStr">
        <is>
          <t>Рабочее</t>
        </is>
      </c>
      <c r="E132" s="145" t="inlineStr">
        <is>
          <t>Используется для новых net-окладов</t>
        </is>
      </c>
    </row>
    <row r="133" ht="14.25" customHeight="1" s="194">
      <c r="A133" s="67" t="inlineStr">
        <is>
          <t>Офис-менеджер net</t>
        </is>
      </c>
      <c r="B133" s="64" t="n">
        <v>70000</v>
      </c>
      <c r="C133" s="24" t="inlineStr">
        <is>
          <t>₽/мес.</t>
        </is>
      </c>
      <c r="D133" s="24" t="n"/>
      <c r="E133" s="145" t="inlineStr">
        <is>
          <t>С 01.01.2027</t>
        </is>
      </c>
    </row>
    <row r="134" ht="14.25" customHeight="1" s="194">
      <c r="A134" s="67" t="inlineStr">
        <is>
          <t>SMM net</t>
        </is>
      </c>
      <c r="B134" s="64" t="n">
        <v>80000</v>
      </c>
      <c r="C134" s="24" t="inlineStr">
        <is>
          <t>₽/мес.</t>
        </is>
      </c>
      <c r="D134" s="24" t="n"/>
      <c r="E134" s="145" t="inlineStr">
        <is>
          <t>С 01.09.2027</t>
        </is>
      </c>
    </row>
    <row r="135" ht="14.25" customHeight="1" s="194">
      <c r="A135" s="67" t="inlineStr">
        <is>
          <t>Повышение ГД net</t>
        </is>
      </c>
      <c r="B135" s="64" t="n">
        <v>100000</v>
      </c>
      <c r="C135" s="24" t="inlineStr">
        <is>
          <t>₽/мес.</t>
        </is>
      </c>
      <c r="D135" s="24" t="n"/>
      <c r="E135" s="145" t="inlineStr">
        <is>
          <t>С 01.01.2028</t>
        </is>
      </c>
    </row>
    <row r="136" ht="14.25" customHeight="1" s="194">
      <c r="A136" s="198" t="inlineStr">
        <is>
          <t>Действующее ядро сотрудников</t>
        </is>
      </c>
    </row>
    <row r="137" ht="14.25" customHeight="1" s="194">
      <c r="A137" s="21" t="inlineStr">
        <is>
          <t>Роль</t>
        </is>
      </c>
      <c r="B137" s="21" t="inlineStr">
        <is>
          <t>Сотрудник</t>
        </is>
      </c>
      <c r="C137" s="21" t="inlineStr">
        <is>
          <t>Gross 01.09.26</t>
        </is>
      </c>
      <c r="D137" s="21" t="inlineStr">
        <is>
          <t>Квартальная премия?</t>
        </is>
      </c>
      <c r="E137" s="21" t="inlineStr">
        <is>
          <t>Комментарий</t>
        </is>
      </c>
    </row>
    <row r="138" ht="14.25" customHeight="1" s="194">
      <c r="A138" s="76" t="inlineStr">
        <is>
          <t>Генеральный директор</t>
        </is>
      </c>
      <c r="B138" s="77" t="inlineStr">
        <is>
          <t>Ермаков Роман Константинович</t>
        </is>
      </c>
      <c r="C138" s="64" t="n">
        <v>402300</v>
      </c>
      <c r="D138" s="78" t="inlineStr">
        <is>
          <t>Да</t>
        </is>
      </c>
      <c r="E138" s="24" t="n"/>
    </row>
    <row r="139" ht="14.25" customHeight="1" s="194">
      <c r="A139" s="76" t="inlineStr">
        <is>
          <t>Главный бухгалтер</t>
        </is>
      </c>
      <c r="B139" s="77" t="inlineStr">
        <is>
          <t>Попова Екатерина Андреевна</t>
        </is>
      </c>
      <c r="C139" s="64" t="n">
        <v>230000</v>
      </c>
      <c r="D139" s="78" t="inlineStr">
        <is>
          <t>Да</t>
        </is>
      </c>
      <c r="E139" s="24" t="n"/>
    </row>
    <row r="140" ht="14.25" customHeight="1" s="194">
      <c r="A140" s="76" t="inlineStr">
        <is>
          <t>Директор по развитию</t>
        </is>
      </c>
      <c r="B140" s="77" t="inlineStr">
        <is>
          <t>Степанов Юрий Александрович</t>
        </is>
      </c>
      <c r="C140" s="64" t="n">
        <v>287360</v>
      </c>
      <c r="D140" s="78" t="inlineStr">
        <is>
          <t>Да</t>
        </is>
      </c>
      <c r="E140" s="78" t="n"/>
    </row>
    <row r="141" ht="14.25" customHeight="1" s="194">
      <c r="A141" s="76" t="inlineStr">
        <is>
          <t>Проектный менеджер</t>
        </is>
      </c>
      <c r="B141" s="77" t="inlineStr">
        <is>
          <t>Авакян Левон</t>
        </is>
      </c>
      <c r="C141" s="64" t="n">
        <v>126436</v>
      </c>
      <c r="D141" s="78" t="inlineStr">
        <is>
          <t>Нет</t>
        </is>
      </c>
      <c r="E141" s="24" t="n"/>
    </row>
    <row r="142" ht="14.25" customHeight="1" s="194">
      <c r="A142" s="76" t="inlineStr">
        <is>
          <t>Менеджер по развитию</t>
        </is>
      </c>
      <c r="B142" s="77" t="inlineStr">
        <is>
          <t>Захаров Ярослав Александрович</t>
        </is>
      </c>
      <c r="C142" s="64" t="n">
        <v>114943</v>
      </c>
      <c r="D142" s="78" t="inlineStr">
        <is>
          <t>Нет</t>
        </is>
      </c>
      <c r="E142" s="24" t="n"/>
    </row>
    <row r="143" ht="14.25" customHeight="1" s="194">
      <c r="A143" s="76" t="inlineStr">
        <is>
          <t>Менеджер по развитию</t>
        </is>
      </c>
      <c r="B143" s="77" t="inlineStr">
        <is>
          <t>Ярков Даниил Антонович</t>
        </is>
      </c>
      <c r="C143" s="64" t="n">
        <v>114943</v>
      </c>
      <c r="D143" s="78" t="inlineStr">
        <is>
          <t>Нет</t>
        </is>
      </c>
      <c r="E143" s="24" t="n"/>
    </row>
    <row r="144" ht="14.25" customHeight="1" s="194">
      <c r="A144" s="76" t="inlineStr">
        <is>
          <t>Юрист</t>
        </is>
      </c>
      <c r="B144" s="77" t="inlineStr">
        <is>
          <t>Эсти Лайла Александровна</t>
        </is>
      </c>
      <c r="C144" s="64" t="n">
        <v>229890</v>
      </c>
      <c r="D144" s="78" t="inlineStr">
        <is>
          <t>Да</t>
        </is>
      </c>
      <c r="E144" s="24" t="n"/>
    </row>
    <row r="145" ht="14.25" customHeight="1" s="194">
      <c r="A145" s="76" t="inlineStr">
        <is>
          <t>Спортивный куратор сети</t>
        </is>
      </c>
      <c r="B145" s="77" t="inlineStr">
        <is>
          <t>Стрижов Роман Сергеевич</t>
        </is>
      </c>
      <c r="C145" s="64" t="n">
        <v>229885</v>
      </c>
      <c r="D145" s="78" t="inlineStr">
        <is>
          <t>Да</t>
        </is>
      </c>
      <c r="E145" s="24" t="n"/>
    </row>
    <row r="146" ht="14.25" customHeight="1" s="194">
      <c r="A146" s="76" t="inlineStr">
        <is>
          <t>Директор по маркетингу</t>
        </is>
      </c>
      <c r="B146" s="77" t="inlineStr">
        <is>
          <t>Печерских Павел Сергеевич</t>
        </is>
      </c>
      <c r="C146" s="64" t="n">
        <v>287360</v>
      </c>
      <c r="D146" s="78" t="inlineStr">
        <is>
          <t>Да</t>
        </is>
      </c>
      <c r="E146" s="24" t="n"/>
    </row>
    <row r="147" ht="14.25" customHeight="1" s="194">
      <c r="A147" s="76" t="inlineStr">
        <is>
          <t>Ведущий финансовый менеджер</t>
        </is>
      </c>
      <c r="B147" s="77" t="inlineStr">
        <is>
          <t>Беренцвейг Мария Сергеевна</t>
        </is>
      </c>
      <c r="C147" s="64" t="n">
        <v>229885</v>
      </c>
      <c r="D147" s="78" t="inlineStr">
        <is>
          <t>Да</t>
        </is>
      </c>
      <c r="E147" s="24" t="n"/>
    </row>
    <row r="148" ht="14.25" customHeight="1" s="194">
      <c r="A148" s="76" t="inlineStr">
        <is>
          <t>Исполнительный директор</t>
        </is>
      </c>
      <c r="B148" s="77" t="inlineStr">
        <is>
          <t>Штеблов Илья Николаевич</t>
        </is>
      </c>
      <c r="C148" s="64" t="n">
        <v>288000</v>
      </c>
      <c r="D148" s="78" t="inlineStr">
        <is>
          <t>Да</t>
        </is>
      </c>
      <c r="E148" s="24" t="n"/>
    </row>
    <row r="149" ht="14.25" customHeight="1" s="194">
      <c r="A149" s="76" t="inlineStr">
        <is>
          <t>Спортивный директор</t>
        </is>
      </c>
      <c r="B149" s="77" t="inlineStr">
        <is>
          <t>Рогов Роман Дмитриевич</t>
        </is>
      </c>
      <c r="C149" s="64" t="n">
        <v>287400</v>
      </c>
      <c r="D149" s="78" t="inlineStr">
        <is>
          <t>Да</t>
        </is>
      </c>
      <c r="E149" s="24" t="n"/>
    </row>
    <row r="150" ht="14.25" customHeight="1" s="194">
      <c r="A150" s="76" t="inlineStr">
        <is>
          <t>Руководитель отдела продаж / менеджер по продажам</t>
        </is>
      </c>
      <c r="B150" s="77" t="inlineStr">
        <is>
          <t>Жосан Евгений</t>
        </is>
      </c>
      <c r="C150" s="64" t="n">
        <v>230000</v>
      </c>
      <c r="D150" s="78" t="inlineStr">
        <is>
          <t>Нет</t>
        </is>
      </c>
      <c r="E150" s="24" t="n"/>
    </row>
    <row r="151" ht="14.25" customHeight="1" s="194">
      <c r="A151" s="67" t="inlineStr">
        <is>
          <t>ФОТ ядра gross — база</t>
        </is>
      </c>
      <c r="B151" s="51">
        <f>SUM(C138:C150)</f>
        <v/>
      </c>
      <c r="D151" s="24" t="inlineStr">
        <is>
          <t>Расчёт</t>
        </is>
      </c>
    </row>
    <row r="152" ht="14.25" customHeight="1" s="194">
      <c r="A152" s="67" t="inlineStr">
        <is>
          <t>База gross для квартальной премии</t>
        </is>
      </c>
      <c r="B152" s="51">
        <f>SUMIF(D138:D150,"Да",C138:C150)</f>
        <v/>
      </c>
      <c r="D152" s="24" t="inlineStr">
        <is>
          <t>Расчёт</t>
        </is>
      </c>
    </row>
    <row r="153" ht="14.25" customHeight="1" s="194"/>
    <row r="154" ht="14.25" customHeight="1" s="194">
      <c r="A154" s="197" t="inlineStr">
        <is>
          <t>8. Налоги</t>
        </is>
      </c>
    </row>
    <row r="155" ht="14.25" customHeight="1" s="194">
      <c r="A155" s="21" t="inlineStr">
        <is>
          <t>Параметр</t>
        </is>
      </c>
      <c r="B155" s="21" t="inlineStr">
        <is>
          <t>Значение</t>
        </is>
      </c>
      <c r="C155" s="21" t="inlineStr">
        <is>
          <t>Ед.</t>
        </is>
      </c>
      <c r="D155" s="21" t="inlineStr">
        <is>
          <t>Статус / источник</t>
        </is>
      </c>
      <c r="E155" s="21" t="inlineStr">
        <is>
          <t>Комментарий</t>
        </is>
      </c>
    </row>
    <row r="156" ht="14.25" customHeight="1" s="194">
      <c r="A156" s="67" t="inlineStr">
        <is>
          <t>УСН доходы-расходы</t>
        </is>
      </c>
      <c r="B156" s="31" t="n">
        <v>0.15</v>
      </c>
      <c r="C156" s="24" t="inlineStr">
        <is>
          <t>% прибыли</t>
        </is>
      </c>
      <c r="D156" s="24" t="inlineStr">
        <is>
          <t>Временно</t>
        </is>
      </c>
      <c r="E156" s="145" t="inlineStr">
        <is>
          <t>Помесячно; подтвердить</t>
        </is>
      </c>
    </row>
    <row r="157" ht="14.25" customHeight="1" s="194">
      <c r="A157" s="67" t="inlineStr">
        <is>
          <t>Минимальный УСН</t>
        </is>
      </c>
      <c r="B157" s="31" t="n">
        <v>0.01</v>
      </c>
      <c r="C157" s="24" t="inlineStr">
        <is>
          <t>% дохода</t>
        </is>
      </c>
      <c r="D157" s="24" t="inlineStr">
        <is>
          <t>Временно</t>
        </is>
      </c>
      <c r="E157" s="145" t="inlineStr">
        <is>
          <t>Помесячно; подтвердить</t>
        </is>
      </c>
    </row>
    <row r="158" ht="14.25" customHeight="1" s="194"/>
    <row r="159" hidden="1" outlineLevel="1" ht="14.25" customHeight="1" s="194">
      <c r="A159" s="197" t="inlineStr">
        <is>
          <t>9. Лагеря — блок ВЫКЛЮЧЕН (B241 = «Нет»), в расчёт не входит</t>
        </is>
      </c>
    </row>
    <row r="160" hidden="1" outlineLevel="1" ht="14.25" customHeight="1" s="194">
      <c r="A160" s="21" t="inlineStr">
        <is>
          <t>Параметр</t>
        </is>
      </c>
      <c r="B160" s="21" t="inlineStr">
        <is>
          <t>Значение</t>
        </is>
      </c>
      <c r="C160" s="21" t="inlineStr">
        <is>
          <t>Ед.</t>
        </is>
      </c>
      <c r="D160" s="21" t="inlineStr">
        <is>
          <t>Статус / источник</t>
        </is>
      </c>
      <c r="E160" s="21" t="inlineStr">
        <is>
          <t>Комментарий</t>
        </is>
      </c>
    </row>
    <row r="161" hidden="1" outlineLevel="1" ht="14.25" customHeight="1" s="194">
      <c r="A161" s="67" t="inlineStr">
        <is>
          <t>Лагеря — смен в июне</t>
        </is>
      </c>
      <c r="B161" s="79" t="n">
        <v>2</v>
      </c>
      <c r="C161" s="24" t="inlineStr">
        <is>
          <t>шт.</t>
        </is>
      </c>
      <c r="D161" s="24" t="inlineStr">
        <is>
          <t>Не в расчёте — ТЗ 9</t>
        </is>
      </c>
      <c r="E161" s="80" t="n"/>
    </row>
    <row r="162" hidden="1" outlineLevel="1" ht="14.25" customHeight="1" s="194">
      <c r="A162" s="67" t="inlineStr">
        <is>
          <t>Лагеря — участников без проживания / смена</t>
        </is>
      </c>
      <c r="B162" s="79" t="n">
        <v>50</v>
      </c>
      <c r="C162" s="24" t="inlineStr">
        <is>
          <t>чел.</t>
        </is>
      </c>
      <c r="D162" s="24" t="inlineStr">
        <is>
          <t>Не в расчёте — Лагеря Спартак Будущее</t>
        </is>
      </c>
      <c r="E162" s="80" t="n"/>
    </row>
    <row r="163" hidden="1" outlineLevel="1" ht="14.25" customHeight="1" s="194">
      <c r="A163" s="67" t="inlineStr">
        <is>
          <t>Лагеря — участников с проживанием / смена</t>
        </is>
      </c>
      <c r="B163" s="79" t="n">
        <v>50</v>
      </c>
      <c r="C163" s="24" t="inlineStr">
        <is>
          <t>чел.</t>
        </is>
      </c>
      <c r="D163" s="24" t="inlineStr">
        <is>
          <t>Не в расчёте — Лагеря Спартак Будущее</t>
        </is>
      </c>
      <c r="E163" s="80" t="n"/>
    </row>
    <row r="164" hidden="1" outlineLevel="1" ht="14.25" customHeight="1" s="194">
      <c r="A164" s="67" t="inlineStr">
        <is>
          <t>Лагеря — цена без проживания</t>
        </is>
      </c>
      <c r="B164" s="81" t="n">
        <v>80000</v>
      </c>
      <c r="C164" s="24" t="inlineStr">
        <is>
          <t>₽</t>
        </is>
      </c>
      <c r="D164" s="24" t="inlineStr">
        <is>
          <t>Не в расчёте — Лагеря Спартак Будущее</t>
        </is>
      </c>
      <c r="E164" s="80" t="n"/>
    </row>
    <row r="165" hidden="1" outlineLevel="1" ht="14.25" customHeight="1" s="194">
      <c r="A165" s="67" t="inlineStr">
        <is>
          <t>Лагеря — цена с проживанием</t>
        </is>
      </c>
      <c r="B165" s="81" t="n">
        <v>120000</v>
      </c>
      <c r="C165" s="24" t="inlineStr">
        <is>
          <t>₽</t>
        </is>
      </c>
      <c r="D165" s="24" t="inlineStr">
        <is>
          <t>Не в расчёте — Лагеря Спартак Будущее</t>
        </is>
      </c>
      <c r="E165" s="80" t="n"/>
    </row>
    <row r="166" hidden="1" outlineLevel="1" ht="14.25" customHeight="1" s="194">
      <c r="A166" s="67" t="inlineStr">
        <is>
          <t>Лагеря — оборот / смена</t>
        </is>
      </c>
      <c r="B166" s="81">
        <f>B162*B164+B163*B165</f>
        <v/>
      </c>
      <c r="C166" s="24" t="inlineStr">
        <is>
          <t>₽</t>
        </is>
      </c>
      <c r="D166" s="24" t="inlineStr">
        <is>
          <t>Не в расчёте — Лагеря Спартак Будущее</t>
        </is>
      </c>
      <c r="E166" s="80" t="n"/>
    </row>
    <row r="167" hidden="1" outlineLevel="1" ht="14.25" customHeight="1" s="194">
      <c r="A167" s="67" t="inlineStr">
        <is>
          <t>Лагеря — расходы / смена</t>
        </is>
      </c>
      <c r="B167" s="81" t="n">
        <v>5386000</v>
      </c>
      <c r="C167" s="24" t="inlineStr">
        <is>
          <t>₽</t>
        </is>
      </c>
      <c r="D167" s="24" t="inlineStr">
        <is>
          <t>Не в расчёте — Лагеря Спартак Будущее</t>
        </is>
      </c>
      <c r="E167" s="80" t="n"/>
    </row>
    <row r="168" hidden="1" outlineLevel="1" ht="14.25" customHeight="1" s="194">
      <c r="A168" s="67" t="inlineStr">
        <is>
          <t>Лагеря — НДС</t>
        </is>
      </c>
      <c r="B168" s="83">
        <f>B240</f>
        <v/>
      </c>
      <c r="C168" s="24" t="inlineStr">
        <is>
          <t>%</t>
        </is>
      </c>
      <c r="D168" s="24" t="inlineStr">
        <is>
          <t>Не в расчёте — Лагеря Спартак Будущее</t>
        </is>
      </c>
      <c r="E168" s="80" t="inlineStr">
        <is>
          <t>Временный резерв 10% от оборота из исходника, не проверенная методика НДС.</t>
        </is>
      </c>
    </row>
    <row r="169" hidden="1" outlineLevel="1" ht="14.25" customHeight="1" s="194">
      <c r="A169" s="67" t="inlineStr">
        <is>
          <t>Лагеря — доля партнёра-продавца</t>
        </is>
      </c>
      <c r="B169" s="83" t="n">
        <v>0.125</v>
      </c>
      <c r="C169" s="24" t="inlineStr">
        <is>
          <t>%</t>
        </is>
      </c>
      <c r="D169" s="24" t="inlineStr">
        <is>
          <t>Не в расчёте — Лагеря Спартак Будущее</t>
        </is>
      </c>
      <c r="E169" s="80" t="n"/>
    </row>
    <row r="170" hidden="1" outlineLevel="1" ht="14.25" customHeight="1" s="194">
      <c r="A170" s="67" t="inlineStr">
        <is>
          <t>Лагеря — проживание / смена</t>
        </is>
      </c>
      <c r="B170" s="81" t="n">
        <v>700000</v>
      </c>
      <c r="C170" s="24" t="inlineStr">
        <is>
          <t>₽</t>
        </is>
      </c>
      <c r="D170" s="24" t="inlineStr">
        <is>
          <t>Не в расчёте — Лагеря Спартак Будущее</t>
        </is>
      </c>
      <c r="E170" s="80" t="n"/>
    </row>
    <row r="171" hidden="1" outlineLevel="1" ht="14.25" customHeight="1" s="194">
      <c r="A171" s="67" t="inlineStr">
        <is>
          <t>Лагеря — аванс клиента</t>
        </is>
      </c>
      <c r="B171" s="83" t="n">
        <v>0.4</v>
      </c>
      <c r="C171" s="24" t="inlineStr">
        <is>
          <t>%</t>
        </is>
      </c>
      <c r="D171" s="24" t="inlineStr">
        <is>
          <t>Не в расчёте — ТЗ 9</t>
        </is>
      </c>
      <c r="E171" s="80" t="n"/>
    </row>
    <row r="172" hidden="1" outlineLevel="1" ht="14.25" customHeight="1" s="194">
      <c r="A172" s="67" t="inlineStr">
        <is>
          <t>Лагеря — финальная оплата клиента</t>
        </is>
      </c>
      <c r="B172" s="83" t="n">
        <v>0.6</v>
      </c>
      <c r="C172" s="24" t="inlineStr">
        <is>
          <t>%</t>
        </is>
      </c>
      <c r="D172" s="24" t="inlineStr">
        <is>
          <t>Не в расчёте — ТЗ 9</t>
        </is>
      </c>
      <c r="E172" s="80" t="n"/>
    </row>
    <row r="173" hidden="1" outlineLevel="1" ht="14.25" customHeight="1" s="194">
      <c r="A173" s="67" t="inlineStr">
        <is>
          <t>Лагеря — месяц финальной оплаты клиента</t>
        </is>
      </c>
      <c r="B173" s="84" t="n">
        <v>5</v>
      </c>
      <c r="C173" s="24" t="inlineStr">
        <is>
          <t>номер месяца</t>
        </is>
      </c>
      <c r="D173" s="24" t="inlineStr">
        <is>
          <t>Не в расчёте — Рабочее</t>
        </is>
      </c>
      <c r="E173" s="80" t="inlineStr">
        <is>
          <t>Пока май; уточнить</t>
        </is>
      </c>
    </row>
    <row r="174" hidden="1" outlineLevel="1" ht="14.25" customHeight="1" s="194">
      <c r="A174" s="67" t="inlineStr">
        <is>
          <t>Лагеря — первая оплата проживания</t>
        </is>
      </c>
      <c r="B174" s="83" t="n">
        <v>0.4</v>
      </c>
      <c r="C174" s="24" t="inlineStr">
        <is>
          <t>%</t>
        </is>
      </c>
      <c r="D174" s="24" t="inlineStr">
        <is>
          <t>Не в расчёте — ТЗ 9</t>
        </is>
      </c>
      <c r="E174" s="80" t="n"/>
    </row>
    <row r="175" hidden="1" outlineLevel="1" ht="14.25" customHeight="1" s="194">
      <c r="A175" s="67" t="inlineStr">
        <is>
          <t>Лагеря — месяц первой оплаты проживания</t>
        </is>
      </c>
      <c r="B175" s="84" t="n">
        <v>3</v>
      </c>
      <c r="C175" s="24" t="inlineStr">
        <is>
          <t>номер месяца</t>
        </is>
      </c>
      <c r="D175" s="24" t="inlineStr">
        <is>
          <t>Не в расчёте — ТЗ 9</t>
        </is>
      </c>
      <c r="E175" s="80" t="inlineStr">
        <is>
          <t>Март</t>
        </is>
      </c>
    </row>
    <row r="176" hidden="1" outlineLevel="1" ht="14.25" customHeight="1" s="194">
      <c r="A176" s="67" t="inlineStr">
        <is>
          <t>Лагеря — вторая оплата проживания</t>
        </is>
      </c>
      <c r="B176" s="83" t="n">
        <v>0.6</v>
      </c>
      <c r="C176" s="24" t="inlineStr">
        <is>
          <t>%</t>
        </is>
      </c>
      <c r="D176" s="24" t="inlineStr">
        <is>
          <t>Не в расчёте — ТЗ 9</t>
        </is>
      </c>
      <c r="E176" s="80" t="n"/>
    </row>
    <row r="177" hidden="1" outlineLevel="1" ht="14.25" customHeight="1" s="194">
      <c r="A177" s="67" t="inlineStr">
        <is>
          <t>Лагеря — месяц второй оплаты проживания</t>
        </is>
      </c>
      <c r="B177" s="84" t="n">
        <v>5</v>
      </c>
      <c r="C177" s="24" t="inlineStr">
        <is>
          <t>номер месяца</t>
        </is>
      </c>
      <c r="D177" s="24" t="inlineStr">
        <is>
          <t>Не в расчёте — Подтверждено</t>
        </is>
      </c>
      <c r="E177" s="80" t="inlineStr">
        <is>
          <t>За месяц до июня = май</t>
        </is>
      </c>
    </row>
    <row r="178" collapsed="1" ht="14.25" customHeight="1" s="194"/>
    <row r="179" hidden="1" outlineLevel="1" ht="14.25" customHeight="1" s="194">
      <c r="A179" s="197" t="inlineStr">
        <is>
          <t>10. История сезона 2025/26 — перенесена в раздел 17 (там же помесячный P&amp;L и реестр начислений)</t>
        </is>
      </c>
    </row>
    <row r="180" hidden="1" outlineLevel="1" ht="14.25" customHeight="1" s="194">
      <c r="A180" s="21" t="n"/>
      <c r="B180" s="88" t="n"/>
      <c r="C180" s="88" t="n"/>
      <c r="D180" s="88" t="n"/>
      <c r="E180" s="88" t="n"/>
      <c r="F180" s="88" t="n"/>
      <c r="G180" s="88" t="n"/>
      <c r="H180" s="88" t="n"/>
      <c r="I180" s="88" t="n"/>
      <c r="J180" s="88" t="n"/>
      <c r="K180" s="88" t="n"/>
      <c r="L180" s="88" t="n"/>
      <c r="M180" s="88" t="n"/>
      <c r="N180" s="21" t="n"/>
    </row>
    <row r="181" hidden="1" outlineLevel="1" ht="14.25" customHeight="1" s="194">
      <c r="A181" s="67" t="n"/>
      <c r="B181" s="64" t="n"/>
      <c r="C181" s="64" t="n"/>
      <c r="D181" s="64" t="n"/>
      <c r="E181" s="64" t="n"/>
      <c r="F181" s="64" t="n"/>
      <c r="G181" s="64" t="n"/>
      <c r="H181" s="64" t="n"/>
      <c r="I181" s="64" t="n"/>
      <c r="J181" s="64" t="n"/>
      <c r="K181" s="64" t="n"/>
      <c r="L181" s="89" t="n"/>
      <c r="M181" s="89" t="n"/>
      <c r="N181" s="51" t="n"/>
    </row>
    <row r="182" hidden="1" outlineLevel="1" ht="14.25" customHeight="1" s="194">
      <c r="A182" s="67" t="n"/>
      <c r="B182" s="64" t="n"/>
      <c r="C182" s="64" t="n"/>
      <c r="D182" s="64" t="n"/>
      <c r="E182" s="64" t="n"/>
      <c r="F182" s="64" t="n"/>
      <c r="G182" s="64" t="n"/>
      <c r="H182" s="64" t="n"/>
      <c r="I182" s="64" t="n"/>
      <c r="J182" s="64" t="n"/>
      <c r="K182" s="64" t="n"/>
      <c r="L182" s="89" t="n"/>
      <c r="M182" s="89" t="n"/>
      <c r="N182" s="51" t="n"/>
    </row>
    <row r="183" hidden="1" outlineLevel="1" ht="14.25" customHeight="1" s="194">
      <c r="A183" s="67" t="n"/>
      <c r="B183" s="64" t="n"/>
      <c r="C183" s="64" t="n"/>
      <c r="D183" s="64" t="n"/>
      <c r="E183" s="64" t="n"/>
      <c r="F183" s="64" t="n"/>
      <c r="G183" s="64" t="n"/>
      <c r="H183" s="64" t="n"/>
      <c r="I183" s="64" t="n"/>
      <c r="J183" s="64" t="n"/>
      <c r="K183" s="64" t="n"/>
      <c r="L183" s="89" t="n"/>
      <c r="M183" s="89" t="n"/>
      <c r="N183" s="51" t="n"/>
    </row>
    <row r="184" hidden="1" outlineLevel="1" ht="14.25" customHeight="1" s="194">
      <c r="A184" s="67" t="n"/>
      <c r="B184" s="64" t="n"/>
      <c r="C184" s="64" t="n"/>
      <c r="D184" s="64" t="n"/>
      <c r="E184" s="64" t="n"/>
      <c r="F184" s="64" t="n"/>
      <c r="G184" s="64" t="n"/>
      <c r="H184" s="64" t="n"/>
      <c r="I184" s="64" t="n"/>
      <c r="J184" s="64" t="n"/>
      <c r="K184" s="64" t="n"/>
      <c r="L184" s="89" t="n"/>
      <c r="M184" s="89" t="n"/>
      <c r="N184" s="51" t="n"/>
    </row>
    <row r="185" hidden="1" outlineLevel="1" ht="14.25" customHeight="1" s="194">
      <c r="A185" s="67" t="n"/>
      <c r="B185" s="64" t="n"/>
      <c r="C185" s="64" t="n"/>
      <c r="D185" s="64" t="n"/>
      <c r="E185" s="64" t="n"/>
      <c r="F185" s="64" t="n"/>
      <c r="G185" s="64" t="n"/>
      <c r="H185" s="64" t="n"/>
      <c r="I185" s="64" t="n"/>
      <c r="J185" s="64" t="n"/>
      <c r="K185" s="64" t="n"/>
      <c r="L185" s="89" t="n"/>
      <c r="M185" s="89" t="n"/>
      <c r="N185" s="51" t="n"/>
    </row>
    <row r="186" hidden="1" outlineLevel="1" ht="14.25" customHeight="1" s="194">
      <c r="A186" s="67" t="n"/>
      <c r="B186" s="64" t="n"/>
      <c r="C186" s="64" t="n"/>
      <c r="D186" s="64" t="n"/>
      <c r="E186" s="64" t="n"/>
      <c r="F186" s="64" t="n"/>
      <c r="G186" s="64" t="n"/>
      <c r="H186" s="64" t="n"/>
      <c r="I186" s="64" t="n"/>
      <c r="J186" s="64" t="n"/>
      <c r="K186" s="64" t="n"/>
      <c r="L186" s="89" t="n"/>
      <c r="M186" s="89" t="n"/>
      <c r="N186" s="51" t="n"/>
    </row>
    <row r="187" hidden="1" outlineLevel="1" ht="14.25" customHeight="1" s="194">
      <c r="A187" s="67" t="n"/>
      <c r="B187" s="89" t="n"/>
      <c r="C187" s="89" t="n"/>
      <c r="D187" s="89" t="n"/>
      <c r="E187" s="89" t="n"/>
      <c r="F187" s="64" t="n"/>
      <c r="G187" s="64" t="n"/>
      <c r="H187" s="64" t="n"/>
      <c r="I187" s="64" t="n"/>
      <c r="J187" s="64" t="n"/>
      <c r="K187" s="64" t="n"/>
      <c r="L187" s="64" t="n"/>
      <c r="M187" s="89" t="n"/>
      <c r="N187" s="51" t="n"/>
    </row>
    <row r="188" hidden="1" outlineLevel="1" ht="14.25" customHeight="1" s="194">
      <c r="A188" s="67" t="inlineStr">
        <is>
          <t>Режим просмотра результата на дашборде</t>
        </is>
      </c>
      <c r="B188" s="91">
        <f>IF(B322="Да","С историей","Без истории")</f>
        <v/>
      </c>
      <c r="C188" s="89" t="inlineStr">
        <is>
          <t>режим</t>
        </is>
      </c>
      <c r="D188" s="89" t="inlineStr">
        <is>
          <t>Следует за B322</t>
        </is>
      </c>
      <c r="E188" s="89" t="inlineStr">
        <is>
          <t>Переключатель один — B322 в разделе 17. Здесь показано его следствие: так лист «00_Старт» продолжает работать.</t>
        </is>
      </c>
    </row>
    <row r="189" hidden="1" outlineLevel="1" ht="14.25" customHeight="1" s="194"/>
    <row r="190" collapsed="1" ht="14.25" customHeight="1" s="194">
      <c r="A190" s="199" t="inlineStr">
        <is>
          <t>11. Сценарии и чувствительность</t>
        </is>
      </c>
    </row>
    <row r="191" ht="43.5" customHeight="1" s="194">
      <c r="A191" s="94" t="inlineStr">
        <is>
          <t>Предварительные сценарные коэффициенты. Базовый сценарий использует исходные параметры ниже; коэффициент 1,00x означает отсутствие изменения.</t>
        </is>
      </c>
    </row>
    <row r="192" ht="14.25" customHeight="1" s="194">
      <c r="A192" s="95" t="inlineStr">
        <is>
          <t>Активный сценарий</t>
        </is>
      </c>
      <c r="B192" s="91" t="inlineStr">
        <is>
          <t>Базовый</t>
        </is>
      </c>
      <c r="D192" s="97" t="inlineStr">
        <is>
          <t>Сценарий переключается здесь: отдельных листов сценариев в этой книге нет, вся модель пересчитывается на месте.</t>
        </is>
      </c>
      <c r="E192" s="98" t="n"/>
    </row>
    <row r="193" ht="14.25" customHeight="1" s="194"/>
    <row r="194" ht="14.25" customHeight="1" s="194">
      <c r="A194" s="94" t="inlineStr">
        <is>
          <t>Номер сценария</t>
        </is>
      </c>
      <c r="B194" s="100">
        <f>IF(B192=C197,1,IF(B192=D197,2,3))</f>
        <v/>
      </c>
    </row>
    <row r="195" ht="43.5" customHeight="1" s="194">
      <c r="A195" s="94" t="inlineStr">
        <is>
          <t>Выбор B192 пересчитывает дашборд и основную модель. Сравнение трех сценариев и чувствительность рассчитываются отдельно от этого выбора.</t>
        </is>
      </c>
    </row>
    <row r="196" ht="14.25" customHeight="1" s="194"/>
    <row r="197" ht="14.25" customHeight="1" s="194">
      <c r="A197" s="101" t="inlineStr">
        <is>
          <t>Драйвер</t>
        </is>
      </c>
      <c r="B197" s="101" t="inlineStr">
        <is>
          <t>Ед.</t>
        </is>
      </c>
      <c r="C197" s="101" t="inlineStr">
        <is>
          <t>Негативный</t>
        </is>
      </c>
      <c r="D197" s="101" t="inlineStr">
        <is>
          <t>Базовый</t>
        </is>
      </c>
      <c r="E197" s="101" t="inlineStr">
        <is>
          <t>Позитивный</t>
        </is>
      </c>
      <c r="F197" s="101" t="inlineStr">
        <is>
          <t>В расчете</t>
        </is>
      </c>
      <c r="G197" s="101" t="inlineStr">
        <is>
          <t>Шаг ±</t>
        </is>
      </c>
    </row>
    <row r="198" ht="14.25" customHeight="1" s="194">
      <c r="A198" s="94" t="inlineStr">
        <is>
          <t>План продаж франшиз</t>
        </is>
      </c>
      <c r="B198" s="94" t="inlineStr">
        <is>
          <t>× база</t>
        </is>
      </c>
      <c r="C198" s="102" t="n">
        <v>0.8</v>
      </c>
      <c r="D198" s="103" t="n">
        <v>1</v>
      </c>
      <c r="E198" s="102" t="n">
        <v>1.05</v>
      </c>
      <c r="F198" s="105">
        <f>INDEX(C198:E198,1,$B$194)</f>
        <v/>
      </c>
      <c r="G198" s="106" t="n">
        <v>0.1</v>
      </c>
    </row>
    <row r="199" ht="14.25" customHeight="1" s="194">
      <c r="A199" s="94" t="inlineStr">
        <is>
          <t>Дети новых школ</t>
        </is>
      </c>
      <c r="B199" s="94" t="inlineStr">
        <is>
          <t>× база</t>
        </is>
      </c>
      <c r="C199" s="102" t="n">
        <v>0.9</v>
      </c>
      <c r="D199" s="103" t="n">
        <v>1</v>
      </c>
      <c r="E199" s="102" t="n">
        <v>1.05</v>
      </c>
      <c r="F199" s="105">
        <f>INDEX(C199:E199,1,$B$194)</f>
        <v/>
      </c>
      <c r="G199" s="106" t="n">
        <v>0.1</v>
      </c>
    </row>
    <row r="200" ht="14.25" customHeight="1" s="194">
      <c r="A200" s="94" t="inlineStr">
        <is>
          <t>Цена абонемента</t>
        </is>
      </c>
      <c r="B200" s="94" t="inlineStr">
        <is>
          <t>× база</t>
        </is>
      </c>
      <c r="C200" s="102" t="n">
        <v>0.95</v>
      </c>
      <c r="D200" s="103" t="n">
        <v>1</v>
      </c>
      <c r="E200" s="102" t="n">
        <v>1.05</v>
      </c>
      <c r="F200" s="105">
        <f>INDEX(C200:E200,1,$B$194)</f>
        <v/>
      </c>
      <c r="G200" s="106" t="n">
        <v>0.1</v>
      </c>
    </row>
    <row r="201" ht="14.25" customHeight="1" s="194">
      <c r="A201" s="94" t="inlineStr">
        <is>
          <t>Мерч на ребенка</t>
        </is>
      </c>
      <c r="B201" s="94" t="inlineStr">
        <is>
          <t>× база</t>
        </is>
      </c>
      <c r="C201" s="102" t="n">
        <v>0.9</v>
      </c>
      <c r="D201" s="103" t="n">
        <v>1</v>
      </c>
      <c r="E201" s="102" t="n">
        <v>1.05</v>
      </c>
      <c r="F201" s="105">
        <f>INDEX(C201:E201,1,$B$194)</f>
        <v/>
      </c>
      <c r="G201" s="106" t="n">
        <v>0.1</v>
      </c>
    </row>
    <row r="202" ht="14.25" customHeight="1" s="194">
      <c r="A202" s="94" t="inlineStr">
        <is>
          <t>Таргет на продажу</t>
        </is>
      </c>
      <c r="B202" s="94" t="inlineStr">
        <is>
          <t>× база</t>
        </is>
      </c>
      <c r="C202" s="102" t="n">
        <v>1.2</v>
      </c>
      <c r="D202" s="103" t="n">
        <v>1</v>
      </c>
      <c r="E202" s="102" t="n">
        <v>0.8</v>
      </c>
      <c r="F202" s="105">
        <f>INDEX(C202:E202,1,$B$194)</f>
        <v/>
      </c>
      <c r="G202" s="106" t="n">
        <v>0.1</v>
      </c>
    </row>
    <row r="203" ht="14.25" customHeight="1" s="194">
      <c r="A203" s="94" t="inlineStr">
        <is>
          <t>Срок получения роялти</t>
        </is>
      </c>
      <c r="B203" s="94" t="inlineStr">
        <is>
          <t>× база</t>
        </is>
      </c>
      <c r="C203" s="102" t="n">
        <v>2</v>
      </c>
      <c r="D203" s="103" t="n">
        <v>1</v>
      </c>
      <c r="E203" s="102" t="n">
        <v>0.5</v>
      </c>
      <c r="F203" s="105">
        <f>INDEX(C203:E203,1,$B$194)</f>
        <v/>
      </c>
      <c r="G203" s="106" t="n">
        <v>0.1</v>
      </c>
    </row>
    <row r="204" ht="14.25" customHeight="1" s="194"/>
    <row r="205" ht="12" customHeight="1" s="194">
      <c r="A205" s="94" t="n"/>
    </row>
    <row r="206" ht="12" customHeight="1" s="194">
      <c r="A206" s="94" t="n"/>
    </row>
    <row r="207" ht="12" customHeight="1" s="194">
      <c r="A207" s="94" t="n"/>
    </row>
    <row r="208" ht="14.25" customHeight="1" s="194"/>
    <row r="209" ht="14.25" customHeight="1" s="194">
      <c r="A209" s="200" t="inlineStr">
        <is>
          <t>Базовые значения сценарных параметров</t>
        </is>
      </c>
    </row>
    <row r="210" ht="14.25" customHeight="1" s="194">
      <c r="A210" s="94" t="inlineStr">
        <is>
          <t>План продаж: сезон 1</t>
        </is>
      </c>
      <c r="B210" s="111" t="n">
        <v>60</v>
      </c>
      <c r="C210" s="94" t="inlineStr">
        <is>
          <t>01_Вводные!B36</t>
        </is>
      </c>
      <c r="D210" s="94" t="n"/>
    </row>
    <row r="211" ht="14.25" customHeight="1" s="194">
      <c r="A211" s="94" t="inlineStr">
        <is>
          <t>План продаж: сезон 2</t>
        </is>
      </c>
      <c r="B211" s="111" t="n">
        <v>70</v>
      </c>
      <c r="C211" s="94" t="inlineStr">
        <is>
          <t>01_Вводные!B37</t>
        </is>
      </c>
      <c r="D211" s="94" t="n"/>
    </row>
    <row r="212" ht="14.25" customHeight="1" s="194">
      <c r="A212" s="94" t="inlineStr">
        <is>
          <t>План продаж: сезон 3</t>
        </is>
      </c>
      <c r="B212" s="111" t="n">
        <v>70</v>
      </c>
      <c r="C212" s="94" t="inlineStr">
        <is>
          <t>01_Вводные!B38</t>
        </is>
      </c>
      <c r="D212" s="94" t="n"/>
    </row>
    <row r="213" ht="14.25" customHeight="1" s="194">
      <c r="A213" s="94" t="inlineStr">
        <is>
          <t>План продаж: сезон 4</t>
        </is>
      </c>
      <c r="B213" s="111" t="n">
        <v>60</v>
      </c>
      <c r="C213" s="94" t="inlineStr">
        <is>
          <t>01_Вводные!B39</t>
        </is>
      </c>
      <c r="D213" s="94" t="n"/>
    </row>
    <row r="214" ht="14.25" customHeight="1" s="194">
      <c r="A214" s="94" t="inlineStr">
        <is>
          <t>План продаж: сезон 5</t>
        </is>
      </c>
      <c r="B214" s="111" t="n">
        <v>50</v>
      </c>
      <c r="C214" s="94" t="inlineStr">
        <is>
          <t>01_Вводные!B40</t>
        </is>
      </c>
      <c r="D214" s="94" t="n"/>
    </row>
    <row r="215" ht="14.25" customHeight="1" s="194">
      <c r="A215" s="112" t="inlineStr">
        <is>
          <t>Мощность новой школы: 12-й месяц</t>
        </is>
      </c>
      <c r="B215" s="49">
        <f>SUMPRODUCT($C$263:$C$282,$E$263:$E$282)/$C$283</f>
        <v/>
      </c>
      <c r="C215" s="94" t="inlineStr">
        <is>
          <t>01_Вводные!B46</t>
        </is>
      </c>
      <c r="D215" s="94" t="n"/>
      <c r="G215" s="38" t="inlineStr">
        <is>
          <t>← формула; база: E263:E282</t>
        </is>
      </c>
    </row>
    <row r="216" ht="14.25" customHeight="1" s="194">
      <c r="A216" s="112" t="inlineStr">
        <is>
          <t>Мощность новой школы: 24-й месяц</t>
        </is>
      </c>
      <c r="B216" s="49">
        <f>SUMPRODUCT($C$263:$C$282,$F$263:$F$282)/$C$283</f>
        <v/>
      </c>
      <c r="C216" s="94" t="inlineStr">
        <is>
          <t>01_Вводные!B47</t>
        </is>
      </c>
      <c r="D216" s="94" t="n"/>
      <c r="G216" s="38" t="inlineStr">
        <is>
          <t>← формула; база: F263:F282</t>
        </is>
      </c>
    </row>
    <row r="217" ht="14.25" customHeight="1" s="194">
      <c r="A217" s="94" t="inlineStr">
        <is>
          <t>Абонемент действующей сети</t>
        </is>
      </c>
      <c r="B217" s="111" t="n">
        <v>6000</v>
      </c>
      <c r="C217" s="94" t="inlineStr">
        <is>
          <t>01_Вводные!B51</t>
        </is>
      </c>
      <c r="D217" s="94" t="n"/>
    </row>
    <row r="218" ht="14.25" customHeight="1" s="194">
      <c r="A218" s="94" t="inlineStr">
        <is>
          <t>Абонемент новых школ: сезон 1</t>
        </is>
      </c>
      <c r="B218" s="42">
        <f>SUMPRODUCT($C$263:$C$282,$H$263:$H$282)/$C$283</f>
        <v/>
      </c>
      <c r="C218" s="94" t="inlineStr">
        <is>
          <t>01_Вводные!C63</t>
        </is>
      </c>
      <c r="D218" s="94" t="n"/>
      <c r="G218" s="38" t="inlineStr">
        <is>
          <t>← формула; база: H263:H282</t>
        </is>
      </c>
    </row>
    <row r="219" ht="14.25" customHeight="1" s="194">
      <c r="A219" s="94" t="inlineStr">
        <is>
          <t>Абонемент новых школ: сезон 2</t>
        </is>
      </c>
      <c r="B219" s="42">
        <f>SUMPRODUCT($C$263:$C$282,$H$263:$H$282)/$C$283</f>
        <v/>
      </c>
      <c r="C219" s="94" t="inlineStr">
        <is>
          <t>01_Вводные!C64</t>
        </is>
      </c>
      <c r="D219" s="94" t="n"/>
      <c r="G219" s="38" t="inlineStr">
        <is>
          <t>← формула; база: H263:H282</t>
        </is>
      </c>
    </row>
    <row r="220" ht="14.25" customHeight="1" s="194">
      <c r="A220" s="94" t="inlineStr">
        <is>
          <t>Абонемент новых школ: сезон 3</t>
        </is>
      </c>
      <c r="B220" s="42">
        <f>SUMPRODUCT($C$263:$C$282,$H$263:$H$282)/$C$283</f>
        <v/>
      </c>
      <c r="C220" s="94" t="inlineStr">
        <is>
          <t>01_Вводные!C65</t>
        </is>
      </c>
      <c r="D220" s="94" t="n"/>
      <c r="G220" s="38" t="inlineStr">
        <is>
          <t>← формула; база: H263:H282</t>
        </is>
      </c>
    </row>
    <row r="221" ht="14.25" customHeight="1" s="194">
      <c r="A221" s="94" t="inlineStr">
        <is>
          <t>Абонемент новых школ: сезон 4</t>
        </is>
      </c>
      <c r="B221" s="42">
        <f>SUMPRODUCT($C$263:$C$282,$H$263:$H$282)/$C$283</f>
        <v/>
      </c>
      <c r="C221" s="94" t="inlineStr">
        <is>
          <t>01_Вводные!C66</t>
        </is>
      </c>
      <c r="D221" s="94" t="n"/>
      <c r="G221" s="38" t="inlineStr">
        <is>
          <t>← формула; база: H263:H282</t>
        </is>
      </c>
    </row>
    <row r="222" ht="14.25" customHeight="1" s="194">
      <c r="A222" s="94" t="inlineStr">
        <is>
          <t>Абонемент новых школ: сезон 5</t>
        </is>
      </c>
      <c r="B222" s="42">
        <f>SUMPRODUCT($C$263:$C$282,$H$263:$H$282)/$C$283</f>
        <v/>
      </c>
      <c r="C222" s="94" t="inlineStr">
        <is>
          <t>01_Вводные!C67</t>
        </is>
      </c>
      <c r="D222" s="94" t="n"/>
      <c r="G222" s="38" t="inlineStr">
        <is>
          <t>← формула; база: H263:H282</t>
        </is>
      </c>
    </row>
    <row r="223" ht="14.25" customHeight="1" s="194">
      <c r="A223" s="94" t="inlineStr">
        <is>
          <t>Коэффициент мерча</t>
        </is>
      </c>
      <c r="B223" s="113" t="n">
        <v>1.2</v>
      </c>
      <c r="C223" s="94" t="inlineStr">
        <is>
          <t>01_Вводные!B74</t>
        </is>
      </c>
      <c r="D223" s="94" t="n"/>
    </row>
    <row r="224" ht="14.25" customHeight="1" s="194">
      <c r="A224" s="94" t="inlineStr">
        <is>
          <t>Таргет на будущую продажу</t>
        </is>
      </c>
      <c r="B224" s="111" t="n">
        <v>100000</v>
      </c>
      <c r="C224" s="94" t="inlineStr">
        <is>
          <t>01_Вводные!B26</t>
        </is>
      </c>
      <c r="D224" s="94" t="n"/>
    </row>
    <row r="225" ht="14.25" customHeight="1" s="194">
      <c r="A225" s="94" t="inlineStr">
        <is>
          <t>Дебиторка</t>
        </is>
      </c>
      <c r="B225" s="114" t="n">
        <v>15</v>
      </c>
      <c r="C225" s="94" t="inlineStr">
        <is>
          <t>01_Вводные!B18</t>
        </is>
      </c>
      <c r="D225" s="94" t="n"/>
    </row>
    <row r="226" ht="14.25" customHeight="1" s="194"/>
    <row r="227" ht="14.25" customHeight="1" s="194">
      <c r="A227" s="94" t="inlineStr">
        <is>
          <t>Валидность дебиторки</t>
        </is>
      </c>
      <c r="B227" s="115">
        <f>IF(AND(MIN(C203:E203)*B225&gt;=0,MAX(C203:E203)*B225&lt;=30,(1+G203)*B225&lt;=30,(1-G203)*B225&gt;=0),"OK","CHECK")</f>
        <v/>
      </c>
    </row>
    <row r="228" ht="14.25" customHeight="1" s="194">
      <c r="A228" s="94" t="inlineStr">
        <is>
          <t>Параметры стрессов</t>
        </is>
      </c>
      <c r="B228" s="115">
        <f>IF(AND(MIN(C198:E203)&gt;=0,MIN(G198:G203)&gt;=0,MAX(G198:G203)&lt;1),"OK","CHECK")</f>
        <v/>
      </c>
    </row>
    <row r="229" ht="14.25" customHeight="1" s="194"/>
    <row r="230" ht="43.5" customHeight="1" s="194">
      <c r="A230" s="94" t="inlineStr">
        <is>
          <t>Ревизия: обязательные вводные сохранены; непроверенные налоговые и договорные допущения отмечены. Показатели без финансирования могут быть отрицательными.</t>
        </is>
      </c>
    </row>
    <row r="231" ht="14.25" customHeight="1" s="194"/>
    <row r="232" hidden="1" outlineLevel="1" ht="14.25" customHeight="1" s="194">
      <c r="A232" s="201" t="inlineStr">
        <is>
          <t>12. Настройки ревизии и чувствительности</t>
        </is>
      </c>
    </row>
    <row r="233" hidden="1" outlineLevel="1" ht="14.25" customHeight="1" s="194">
      <c r="A233" s="67" t="inlineStr">
        <is>
          <t>Драйвер чувствительности</t>
        </is>
      </c>
      <c r="B233" s="117" t="inlineStr">
        <is>
          <t>Дети новых школ</t>
        </is>
      </c>
      <c r="C233" s="24" t="inlineStr">
        <is>
          <t>выбор</t>
        </is>
      </c>
      <c r="D233" s="24" t="n"/>
      <c r="E233" s="145" t="inlineStr">
        <is>
          <t>Один драйвер за раз; все шесть сохранены в списке.</t>
        </is>
      </c>
    </row>
    <row r="234" hidden="1" outlineLevel="1" ht="14.25" customHeight="1" s="194">
      <c r="A234" s="67" t="inlineStr">
        <is>
          <t>Чувствительность включена</t>
        </is>
      </c>
      <c r="B234" s="117" t="inlineStr">
        <is>
          <t>Да</t>
        </is>
      </c>
      <c r="C234" s="24" t="inlineStr">
        <is>
          <t>Да / Нет</t>
        </is>
      </c>
      <c r="D234" s="24" t="n"/>
      <c r="E234" s="145" t="inlineStr">
        <is>
          <t>При Нет два дополнительных расчёта не выполняются.</t>
        </is>
      </c>
    </row>
    <row r="235" hidden="1" outlineLevel="1" ht="14.25" customHeight="1" s="194">
      <c r="A235" s="67" t="inlineStr">
        <is>
          <t>Лаг открытия → подключения ERP</t>
        </is>
      </c>
      <c r="B235" s="118" t="n">
        <v>0</v>
      </c>
      <c r="C235" s="24" t="inlineStr">
        <is>
          <t>мес.</t>
        </is>
      </c>
      <c r="D235" s="24" t="n"/>
      <c r="E235" s="145" t="inlineStr">
        <is>
          <t>Отдельное событие; до подтверждения подключение в месяц открытия.</t>
        </is>
      </c>
    </row>
    <row r="236" hidden="1" outlineLevel="1" ht="14.25" customHeight="1" s="194">
      <c r="A236" s="67" t="inlineStr">
        <is>
          <t>Дети зрелой школы, база</t>
        </is>
      </c>
      <c r="B236" s="120">
        <f>SUMPRODUCT($C$263:$C$282,$G$263:$G$282)/$C$283</f>
        <v/>
      </c>
      <c r="C236" s="24" t="inlineStr">
        <is>
          <t>чел.</t>
        </is>
      </c>
      <c r="D236" s="24" t="n"/>
      <c r="E236" s="145" t="inlineStr">
        <is>
          <t>Считается по тарифной матрице ниже; множитель сценария учитывается отдельно.</t>
        </is>
      </c>
    </row>
    <row r="237" hidden="1" outlineLevel="1" ht="14.25" customHeight="1" s="194">
      <c r="A237" s="67" t="inlineStr">
        <is>
          <t>Минимальный остаток денег при возврате займа</t>
        </is>
      </c>
      <c r="B237" s="121" t="n">
        <v>2000000</v>
      </c>
      <c r="C237" s="24" t="inlineStr">
        <is>
          <t>₽</t>
        </is>
      </c>
      <c r="D237" s="24" t="inlineStr">
        <is>
          <t>Согласовано 11.09.2026</t>
        </is>
      </c>
      <c r="E237" s="145" t="inlineStr">
        <is>
          <t>Ниже этого остатка возврат займа клубу не платится: формула 02_Модель!93 = MAX(0; остаток − B237). Ноль означал «платим до нуля на счёте».</t>
        </is>
      </c>
    </row>
    <row r="238" hidden="1" outlineLevel="1" ht="14.25" customHeight="1" s="194">
      <c r="A238" s="67" t="inlineStr">
        <is>
          <t>Ограничивать возврат займа запасом</t>
        </is>
      </c>
      <c r="B238" s="117" t="inlineStr">
        <is>
          <t>Да</t>
        </is>
      </c>
      <c r="C238" s="24" t="inlineStr">
        <is>
          <t>Да / Нет</t>
        </is>
      </c>
      <c r="D238" s="24" t="n"/>
      <c r="E238" s="145" t="inlineStr">
        <is>
          <t>По п.27 ТЗ: возврат только при остатке товара не ниже цели будущих месяцев.</t>
        </is>
      </c>
    </row>
    <row r="239" hidden="1" outlineLevel="1" ht="14.25" customHeight="1" s="194">
      <c r="A239" s="67" t="inlineStr">
        <is>
          <t>Роялти по тарифным группам</t>
        </is>
      </c>
      <c r="B239" s="117" t="inlineStr">
        <is>
          <t>Да</t>
        </is>
      </c>
      <c r="C239" s="24" t="inlineStr">
        <is>
          <t>Да / Нет</t>
        </is>
      </c>
      <c r="D239" s="24" t="n"/>
      <c r="E239" s="145" t="inlineStr">
        <is>
          <t>Да — отдельно по 20 форматам/территориям; Нет — прежнее усреднение для сверки.</t>
        </is>
      </c>
    </row>
    <row r="240" hidden="1" outlineLevel="1" ht="28.5" customHeight="1" s="194">
      <c r="A240" s="67" t="inlineStr">
        <is>
          <t>Налог лагеря — как в файле-источнике</t>
        </is>
      </c>
      <c r="B240" s="122" t="n">
        <v>0.1</v>
      </c>
      <c r="C240" s="24" t="inlineStr">
        <is>
          <t>% оборота</t>
        </is>
      </c>
      <c r="D240" s="24" t="n"/>
      <c r="E240" s="145" t="inlineStr">
        <is>
          <t>Сохранён резерв 10% от оборота из Сокольники!C36. Это не подтверждение ставки/методики НДС.</t>
        </is>
      </c>
    </row>
    <row r="241" hidden="1" outlineLevel="1" ht="14.25" customHeight="1" s="194">
      <c r="A241" s="67" t="inlineStr">
        <is>
          <t>Лагеря включены</t>
        </is>
      </c>
      <c r="B241" s="117" t="inlineStr">
        <is>
          <t>Нет</t>
        </is>
      </c>
      <c r="C241" s="24" t="inlineStr">
        <is>
          <t>Да / Нет</t>
        </is>
      </c>
      <c r="D241" s="24" t="n"/>
      <c r="E241" s="145" t="inlineStr">
        <is>
          <t>Отключение лагеря обнуляет продажи, начисления и оплаты.</t>
        </is>
      </c>
    </row>
    <row r="242" hidden="1" outlineLevel="1" ht="14.25" customHeight="1" s="194">
      <c r="A242" s="67" t="inlineStr">
        <is>
          <t>Продажи с особым лагом маркетинга</t>
        </is>
      </c>
      <c r="B242" s="123" t="n">
        <v>46296</v>
      </c>
      <c r="C242" s="24" t="inlineStr">
        <is>
          <t>дата</t>
        </is>
      </c>
      <c r="D242" s="24" t="n"/>
      <c r="E242" s="145" t="inlineStr">
        <is>
          <t>Только октябрь 2026 оплачивается за 1 месяц.</t>
        </is>
      </c>
    </row>
    <row r="243" hidden="1" outlineLevel="1" ht="14.25" customHeight="1" s="194">
      <c r="A243" s="67" t="inlineStr">
        <is>
          <t>Особый лаг маркетинга</t>
        </is>
      </c>
      <c r="B243" s="118" t="n">
        <v>1</v>
      </c>
      <c r="C243" s="24" t="inlineStr">
        <is>
          <t>мес.</t>
        </is>
      </c>
      <c r="D243" s="24" t="n"/>
      <c r="E243" s="145" t="inlineStr">
        <is>
          <t>Для октября 2026; далее обычный лаг B27.</t>
        </is>
      </c>
    </row>
    <row r="244" hidden="1" outlineLevel="1" ht="14.25" customHeight="1" s="194">
      <c r="A244" s="67" t="inlineStr">
        <is>
          <t>Последняя дата старой ставки для продаж</t>
        </is>
      </c>
      <c r="B244" s="123" t="n">
        <v>46387</v>
      </c>
      <c r="C244" s="24" t="inlineStr">
        <is>
          <t>дата</t>
        </is>
      </c>
      <c r="D244" s="24" t="n"/>
      <c r="E244" s="145" t="inlineStr">
        <is>
          <t>6,5% по договорам до этой даты.</t>
        </is>
      </c>
    </row>
    <row r="245" hidden="1" outlineLevel="1" ht="14.25" customHeight="1" s="194">
      <c r="A245" s="67" t="inlineStr">
        <is>
          <t>Дата общей ставки роялти</t>
        </is>
      </c>
      <c r="B245" s="123" t="n">
        <v>47484</v>
      </c>
      <c r="C245" s="24" t="inlineStr">
        <is>
          <t>дата</t>
        </is>
      </c>
      <c r="D245" s="24" t="n"/>
      <c r="E245" s="145" t="inlineStr">
        <is>
          <t>С этой даты применяется B57 ко всем.</t>
        </is>
      </c>
    </row>
    <row r="246" hidden="1" outlineLevel="1" ht="14.25" customHeight="1" s="194">
      <c r="A246" s="67" t="inlineStr">
        <is>
          <t>Первая квартальная премия</t>
        </is>
      </c>
      <c r="B246" s="123" t="n">
        <v>46722</v>
      </c>
      <c r="C246" s="24" t="inlineStr">
        <is>
          <t>дата</t>
        </is>
      </c>
      <c r="D246" s="24" t="n"/>
      <c r="E246" s="145" t="inlineStr">
        <is>
          <t>За IV квартал 2027; далее март/июнь/сентябрь/декабрь.</t>
        </is>
      </c>
    </row>
    <row r="247" hidden="1" outlineLevel="1" ht="14.25" customHeight="1" s="194">
      <c r="A247" s="67" t="inlineStr">
        <is>
          <t>Выход офис-менеджера</t>
        </is>
      </c>
      <c r="B247" s="123" t="n">
        <v>46388</v>
      </c>
      <c r="C247" s="24" t="inlineStr">
        <is>
          <t>дата</t>
        </is>
      </c>
      <c r="D247" s="24" t="n"/>
      <c r="E247" s="145" t="inlineStr">
        <is>
          <t>70 тыс. net по B133.</t>
        </is>
      </c>
    </row>
    <row r="248" hidden="1" outlineLevel="1" ht="14.25" customHeight="1" s="194">
      <c r="A248" s="67" t="inlineStr">
        <is>
          <t>Выход SMM-специалиста</t>
        </is>
      </c>
      <c r="B248" s="123" t="n">
        <v>46631</v>
      </c>
      <c r="C248" s="24" t="inlineStr">
        <is>
          <t>дата</t>
        </is>
      </c>
      <c r="D248" s="24" t="n"/>
      <c r="E248" s="145" t="inlineStr">
        <is>
          <t>100 тыс. net по B134.</t>
        </is>
      </c>
    </row>
    <row r="249" hidden="1" outlineLevel="1" ht="14.25" customHeight="1" s="194">
      <c r="A249" s="67" t="inlineStr">
        <is>
          <t>Повышение оклада генерального директора</t>
        </is>
      </c>
      <c r="B249" s="123" t="n">
        <v>46753</v>
      </c>
      <c r="C249" s="24" t="inlineStr">
        <is>
          <t>дата</t>
        </is>
      </c>
      <c r="D249" s="24" t="n"/>
      <c r="E249" s="145" t="inlineStr">
        <is>
          <t>Повышение участвует в премии при Да у ГД.</t>
        </is>
      </c>
    </row>
    <row r="250" hidden="1" outlineLevel="1" ht="14.25" customHeight="1" s="194">
      <c r="A250" s="67" t="inlineStr">
        <is>
          <t>Повышение ежемесячной премии развития</t>
        </is>
      </c>
      <c r="B250" s="123" t="n">
        <v>46388</v>
      </c>
      <c r="C250" s="24" t="inlineStr">
        <is>
          <t>дата</t>
        </is>
      </c>
      <c r="D250" s="24" t="n"/>
      <c r="E250" s="145" t="inlineStr">
        <is>
          <t>С B123 на B124.</t>
        </is>
      </c>
    </row>
    <row r="251" hidden="1" outlineLevel="1" ht="14.25" customHeight="1" s="194">
      <c r="A251" s="67" t="inlineStr">
        <is>
          <t>Первая общая индексация окладов</t>
        </is>
      </c>
      <c r="B251" s="123" t="n">
        <v>46631</v>
      </c>
      <c r="C251" s="24" t="inlineStr">
        <is>
          <t>дата</t>
        </is>
      </c>
      <c r="D251" s="24" t="n"/>
      <c r="E251" s="145" t="inlineStr">
        <is>
          <t>Далее каждый сентябрь.</t>
        </is>
      </c>
    </row>
    <row r="252" hidden="1" outlineLevel="1" ht="14.25" customHeight="1" s="194">
      <c r="A252" s="67" t="inlineStr">
        <is>
          <t>Месяц проведения лагерей</t>
        </is>
      </c>
      <c r="B252" s="124" t="n">
        <v>6</v>
      </c>
      <c r="C252" s="24" t="inlineStr">
        <is>
          <t>1–12</t>
        </is>
      </c>
      <c r="D252" s="24" t="n"/>
      <c r="E252" s="145" t="inlineStr">
        <is>
          <t>Июнь по ТЗ.</t>
        </is>
      </c>
    </row>
    <row r="253" hidden="1" outlineLevel="1" ht="14.25" customHeight="1" s="194">
      <c r="A253" s="67" t="inlineStr">
        <is>
          <t>Первый месяц продаж лагерей</t>
        </is>
      </c>
      <c r="B253" s="124" t="n">
        <v>2</v>
      </c>
      <c r="C253" s="24" t="inlineStr">
        <is>
          <t>1–12</t>
        </is>
      </c>
      <c r="D253" s="24" t="n"/>
      <c r="E253" s="145" t="inlineStr">
        <is>
          <t>Февраль; равномерно до B254.</t>
        </is>
      </c>
    </row>
    <row r="254" hidden="1" outlineLevel="1" ht="14.25" customHeight="1" s="194">
      <c r="A254" s="67" t="inlineStr">
        <is>
          <t>Последний месяц продаж лагерей</t>
        </is>
      </c>
      <c r="B254" s="124" t="n">
        <v>5</v>
      </c>
      <c r="C254" s="24" t="inlineStr">
        <is>
          <t>1–12</t>
        </is>
      </c>
      <c r="D254" s="24" t="n"/>
      <c r="E254" s="145" t="inlineStr">
        <is>
          <t>Май включительно.</t>
        </is>
      </c>
    </row>
    <row r="255" hidden="1" outlineLevel="1" ht="14.25" customHeight="1" s="194">
      <c r="A255" s="67" t="inlineStr">
        <is>
          <t>Замена директора маркетинга</t>
        </is>
      </c>
      <c r="B255" s="123" t="n">
        <v>46296</v>
      </c>
      <c r="C255" s="24" t="inlineStr">
        <is>
          <t>дата</t>
        </is>
      </c>
      <c r="D255" s="24" t="n"/>
      <c r="E255" s="145" t="inlineStr">
        <is>
          <t>Разовая комиссия B121.</t>
        </is>
      </c>
    </row>
    <row r="256" hidden="1" outlineLevel="1" ht="14.25" customHeight="1" s="194">
      <c r="A256" s="67" t="inlineStr">
        <is>
          <t>Месяц резерва кадровой ротации</t>
        </is>
      </c>
      <c r="B256" s="124" t="n">
        <v>9</v>
      </c>
      <c r="C256" s="24" t="inlineStr">
        <is>
          <t>1–12</t>
        </is>
      </c>
      <c r="D256" s="24" t="n"/>
      <c r="E256" s="145" t="inlineStr">
        <is>
          <t>Раз в год; сумма B122.</t>
        </is>
      </c>
    </row>
    <row r="257" hidden="1" outlineLevel="1" ht="14.25" customHeight="1" s="194">
      <c r="A257" s="56" t="inlineStr">
        <is>
          <t>Номер выбранного драйвера</t>
        </is>
      </c>
      <c r="B257" s="125">
        <f>IF(B233=A198,1,IF(B233=A199,2,IF(B233=A200,3,IF(B233=A201,4,IF(B233=A202,5,6)))))</f>
        <v/>
      </c>
      <c r="E257" s="145" t="n"/>
    </row>
    <row r="258" hidden="1" outlineLevel="1" ht="14.25" customHeight="1" s="194">
      <c r="A258" s="56" t="inlineStr">
        <is>
          <t>Шаг выбранной чувствительности</t>
        </is>
      </c>
      <c r="B258" s="126">
        <f t="array" ref="B258">INDEX(G198:G203,B257,1)</f>
        <v/>
      </c>
      <c r="E258" s="145" t="n"/>
    </row>
    <row r="259" collapsed="1" ht="14.25" customHeight="1" s="194"/>
    <row r="260" ht="14.25" customHeight="1" s="194">
      <c r="A260" s="201" t="inlineStr">
        <is>
          <t>13. Тарифные группы — исходный микс, без усреднения роялти</t>
        </is>
      </c>
    </row>
    <row r="261" ht="14.25" customHeight="1" s="194"/>
    <row r="262" ht="14.25" customHeight="1" s="194">
      <c r="A262" s="127" t="inlineStr">
        <is>
          <t>Территория</t>
        </is>
      </c>
      <c r="B262" s="127" t="inlineStr">
        <is>
          <t>Формат</t>
        </is>
      </c>
      <c r="C262" s="127" t="inlineStr">
        <is>
          <t>Вес</t>
        </is>
      </c>
      <c r="D262" s="127" t="inlineStr">
        <is>
          <t>Паушальный, с НДС</t>
        </is>
      </c>
      <c r="E262" s="127" t="inlineStr">
        <is>
          <t>Дети 1–12</t>
        </is>
      </c>
      <c r="F262" s="127" t="inlineStr">
        <is>
          <t>Дети 13–24</t>
        </is>
      </c>
      <c r="G262" s="127" t="inlineStr">
        <is>
          <t>Дети зрелые</t>
        </is>
      </c>
      <c r="H262" s="127" t="inlineStr">
        <is>
          <t>Абонемент</t>
        </is>
      </c>
      <c r="I262" s="127" t="inlineStr">
        <is>
          <t>Минимум 1-й год</t>
        </is>
      </c>
      <c r="J262" s="127" t="inlineStr">
        <is>
          <t>Минимум 2-й+</t>
        </is>
      </c>
      <c r="K262" s="127" t="inlineStr">
        <is>
          <t>Источник</t>
        </is>
      </c>
    </row>
    <row r="263" ht="14.25" customHeight="1" s="194">
      <c r="A263" s="145" t="inlineStr">
        <is>
          <t>Москва</t>
        </is>
      </c>
      <c r="B263" s="145" t="inlineStr">
        <is>
          <t>Детский сад</t>
        </is>
      </c>
      <c r="C263" s="128" t="n">
        <v>0.005000000000000001</v>
      </c>
      <c r="D263" s="129" t="n">
        <v>890000</v>
      </c>
      <c r="E263" s="131" t="n">
        <v>25</v>
      </c>
      <c r="F263" s="131" t="n">
        <v>37.5</v>
      </c>
      <c r="G263" s="131" t="n">
        <v>37.5</v>
      </c>
      <c r="H263" s="129" t="n">
        <v>6000</v>
      </c>
      <c r="I263" s="129" t="n">
        <v>20000</v>
      </c>
      <c r="J263" s="129" t="n">
        <v>35000</v>
      </c>
      <c r="K263" s="145" t="inlineStr">
        <is>
          <t>V5.1: Типы_продукта!A14:M14; Микс_продаж!B5; B14</t>
        </is>
      </c>
    </row>
    <row r="264" ht="14.25" customHeight="1" s="194">
      <c r="A264" s="145" t="inlineStr">
        <is>
          <t>Москва</t>
        </is>
      </c>
      <c r="B264" s="145" t="inlineStr">
        <is>
          <t>Школа</t>
        </is>
      </c>
      <c r="C264" s="128" t="n">
        <v>0.02</v>
      </c>
      <c r="D264" s="129" t="n">
        <v>990000</v>
      </c>
      <c r="E264" s="131" t="n">
        <v>75</v>
      </c>
      <c r="F264" s="131" t="n">
        <v>112.5</v>
      </c>
      <c r="G264" s="131" t="n">
        <v>112.5</v>
      </c>
      <c r="H264" s="129" t="n">
        <v>10500</v>
      </c>
      <c r="I264" s="129" t="n">
        <v>20000</v>
      </c>
      <c r="J264" s="129" t="n">
        <v>90000</v>
      </c>
      <c r="K264" s="145" t="inlineStr">
        <is>
          <t>V5.1: Типы_продукта!A15:M15; Микс_продаж!B5; C14</t>
        </is>
      </c>
    </row>
    <row r="265" ht="14.25" customHeight="1" s="194">
      <c r="A265" s="145" t="inlineStr">
        <is>
          <t>Москва</t>
        </is>
      </c>
      <c r="B265" s="145" t="inlineStr">
        <is>
          <t>ФОК/Стадион</t>
        </is>
      </c>
      <c r="C265" s="128" t="n">
        <v>0.05066666666666667</v>
      </c>
      <c r="D265" s="129" t="n">
        <v>1290000</v>
      </c>
      <c r="E265" s="131" t="n">
        <v>87.5</v>
      </c>
      <c r="F265" s="131" t="n">
        <v>187.5</v>
      </c>
      <c r="G265" s="131" t="n">
        <v>187.5</v>
      </c>
      <c r="H265" s="129" t="n">
        <v>11500</v>
      </c>
      <c r="I265" s="129" t="n">
        <v>20000</v>
      </c>
      <c r="J265" s="129" t="n">
        <v>55000</v>
      </c>
      <c r="K265" s="145" t="inlineStr">
        <is>
          <t>V5.1: Типы_продукта!A16:M16; Микс_продаж!B5; D14</t>
        </is>
      </c>
    </row>
    <row r="266" ht="14.25" customHeight="1" s="194">
      <c r="A266" s="145" t="inlineStr">
        <is>
          <t>Москва</t>
        </is>
      </c>
      <c r="B266" s="145" t="inlineStr">
        <is>
          <t>Манеж</t>
        </is>
      </c>
      <c r="C266" s="128" t="n">
        <v>0.02433333333333333</v>
      </c>
      <c r="D266" s="129" t="n">
        <v>1490000</v>
      </c>
      <c r="E266" s="131" t="n">
        <v>87.5</v>
      </c>
      <c r="F266" s="131" t="n">
        <v>250</v>
      </c>
      <c r="G266" s="131" t="n">
        <v>250</v>
      </c>
      <c r="H266" s="129" t="n">
        <v>14000</v>
      </c>
      <c r="I266" s="129" t="n">
        <v>20000</v>
      </c>
      <c r="J266" s="129" t="n">
        <v>90000</v>
      </c>
      <c r="K266" s="145" t="inlineStr">
        <is>
          <t>V5.1: Типы_продукта!A17:M17; Микс_продаж!B5; E14</t>
        </is>
      </c>
    </row>
    <row r="267" ht="14.25" customHeight="1" s="194">
      <c r="A267" s="145" t="inlineStr">
        <is>
          <t>1 000 000+ чел. + МО</t>
        </is>
      </c>
      <c r="B267" s="145" t="inlineStr">
        <is>
          <t>Детский сад</t>
        </is>
      </c>
      <c r="C267" s="128" t="n">
        <v>0.015</v>
      </c>
      <c r="D267" s="129" t="n">
        <v>690000</v>
      </c>
      <c r="E267" s="131" t="n">
        <v>18.75</v>
      </c>
      <c r="F267" s="131" t="n">
        <v>31.25</v>
      </c>
      <c r="G267" s="131" t="n">
        <v>31.25</v>
      </c>
      <c r="H267" s="129" t="n">
        <v>4200</v>
      </c>
      <c r="I267" s="129" t="n">
        <v>12000</v>
      </c>
      <c r="J267" s="129" t="n">
        <v>20000</v>
      </c>
      <c r="K267" s="145" t="inlineStr">
        <is>
          <t>V5.1: Типы_продукта!A18:M18; Микс_продаж!B6; B15</t>
        </is>
      </c>
    </row>
    <row r="268" ht="14.25" customHeight="1" s="194">
      <c r="A268" s="145" t="inlineStr">
        <is>
          <t>1 000 000+ чел. + МО</t>
        </is>
      </c>
      <c r="B268" s="145" t="inlineStr">
        <is>
          <t>Школа</t>
        </is>
      </c>
      <c r="C268" s="128" t="n">
        <v>0.06</v>
      </c>
      <c r="D268" s="129" t="n">
        <v>890000</v>
      </c>
      <c r="E268" s="131" t="n">
        <v>75</v>
      </c>
      <c r="F268" s="131" t="n">
        <v>112.5</v>
      </c>
      <c r="G268" s="131" t="n">
        <v>112.5</v>
      </c>
      <c r="H268" s="129" t="n">
        <v>6750</v>
      </c>
      <c r="I268" s="129" t="n">
        <v>20000</v>
      </c>
      <c r="J268" s="129" t="n">
        <v>60000</v>
      </c>
      <c r="K268" s="145" t="inlineStr">
        <is>
          <t>V5.1: Типы_продукта!A19:M19; Микс_продаж!B6; C15</t>
        </is>
      </c>
    </row>
    <row r="269" ht="14.25" customHeight="1" s="194">
      <c r="A269" s="145" t="inlineStr">
        <is>
          <t>1 000 000+ чел. + МО</t>
        </is>
      </c>
      <c r="B269" s="145" t="inlineStr">
        <is>
          <t>ФОК/Стадион</t>
        </is>
      </c>
      <c r="C269" s="128" t="n">
        <v>0.152</v>
      </c>
      <c r="D269" s="129" t="n">
        <v>1190000</v>
      </c>
      <c r="E269" s="131" t="n">
        <v>87.5</v>
      </c>
      <c r="F269" s="131" t="n">
        <v>187.5</v>
      </c>
      <c r="G269" s="131" t="n">
        <v>187.5</v>
      </c>
      <c r="H269" s="129" t="n">
        <v>7250</v>
      </c>
      <c r="I269" s="129" t="n">
        <v>20000</v>
      </c>
      <c r="J269" s="129" t="n">
        <v>35000</v>
      </c>
      <c r="K269" s="145" t="inlineStr">
        <is>
          <t>V5.1: Типы_продукта!A20:M20; Микс_продаж!B6; D15</t>
        </is>
      </c>
    </row>
    <row r="270" ht="14.25" customHeight="1" s="194">
      <c r="A270" s="145" t="inlineStr">
        <is>
          <t>1 000 000+ чел. + МО</t>
        </is>
      </c>
      <c r="B270" s="145" t="inlineStr">
        <is>
          <t>Манеж</t>
        </is>
      </c>
      <c r="C270" s="128" t="n">
        <v>0.07299999999999998</v>
      </c>
      <c r="D270" s="129" t="n">
        <v>1290000</v>
      </c>
      <c r="E270" s="131" t="n">
        <v>87.5</v>
      </c>
      <c r="F270" s="131" t="n">
        <v>250</v>
      </c>
      <c r="G270" s="131" t="n">
        <v>250</v>
      </c>
      <c r="H270" s="129" t="n">
        <v>7250</v>
      </c>
      <c r="I270" s="129" t="n">
        <v>20000</v>
      </c>
      <c r="J270" s="129" t="n">
        <v>45000</v>
      </c>
      <c r="K270" s="145" t="inlineStr">
        <is>
          <t>V5.1: Типы_продукта!A21:M21; Микс_продаж!B6; E15</t>
        </is>
      </c>
    </row>
    <row r="271" ht="14.25" customHeight="1" s="194">
      <c r="A271" s="145" t="inlineStr">
        <is>
          <t>от 500к до 1 млн чел.</t>
        </is>
      </c>
      <c r="B271" s="145" t="inlineStr">
        <is>
          <t>Детский сад</t>
        </is>
      </c>
      <c r="C271" s="128" t="n">
        <v>0.0125</v>
      </c>
      <c r="D271" s="129" t="n">
        <v>590000</v>
      </c>
      <c r="E271" s="131" t="n">
        <v>12.5</v>
      </c>
      <c r="F271" s="131" t="n">
        <v>25</v>
      </c>
      <c r="G271" s="131" t="n">
        <v>25</v>
      </c>
      <c r="H271" s="129" t="n">
        <v>3800</v>
      </c>
      <c r="I271" s="129" t="n">
        <v>7000</v>
      </c>
      <c r="J271" s="129" t="n">
        <v>14000</v>
      </c>
      <c r="K271" s="145" t="inlineStr">
        <is>
          <t>V5.1: Типы_продукта!A22:M22; Микс_продаж!B7; B16</t>
        </is>
      </c>
    </row>
    <row r="272" ht="14.25" customHeight="1" s="194">
      <c r="A272" s="145" t="inlineStr">
        <is>
          <t>от 500к до 1 млн чел.</t>
        </is>
      </c>
      <c r="B272" s="145" t="inlineStr">
        <is>
          <t>Школа</t>
        </is>
      </c>
      <c r="C272" s="128" t="n">
        <v>0.05</v>
      </c>
      <c r="D272" s="129" t="n">
        <v>790000</v>
      </c>
      <c r="E272" s="131" t="n">
        <v>75</v>
      </c>
      <c r="F272" s="131" t="n">
        <v>112.5</v>
      </c>
      <c r="G272" s="131" t="n">
        <v>112.5</v>
      </c>
      <c r="H272" s="129" t="n">
        <v>4900</v>
      </c>
      <c r="I272" s="129" t="n">
        <v>20000</v>
      </c>
      <c r="J272" s="129" t="n">
        <v>45000</v>
      </c>
      <c r="K272" s="145" t="inlineStr">
        <is>
          <t>V5.1: Типы_продукта!A23:M23; Микс_продаж!B7; C16</t>
        </is>
      </c>
    </row>
    <row r="273" ht="14.25" customHeight="1" s="194">
      <c r="A273" s="145" t="inlineStr">
        <is>
          <t>от 500к до 1 млн чел.</t>
        </is>
      </c>
      <c r="B273" s="145" t="inlineStr">
        <is>
          <t>ФОК/Стадион</t>
        </is>
      </c>
      <c r="C273" s="128" t="n">
        <v>0.1266666666666667</v>
      </c>
      <c r="D273" s="129" t="n">
        <v>890000</v>
      </c>
      <c r="E273" s="131" t="n">
        <v>87.5</v>
      </c>
      <c r="F273" s="131" t="n">
        <v>187.5</v>
      </c>
      <c r="G273" s="131" t="n">
        <v>187.5</v>
      </c>
      <c r="H273" s="129" t="n">
        <v>5750</v>
      </c>
      <c r="I273" s="129" t="n">
        <v>20000</v>
      </c>
      <c r="J273" s="129" t="n">
        <v>30000</v>
      </c>
      <c r="K273" s="145" t="inlineStr">
        <is>
          <t>V5.1: Типы_продукта!A24:M24; Микс_продаж!B7; D16</t>
        </is>
      </c>
    </row>
    <row r="274" ht="14.25" customHeight="1" s="194">
      <c r="A274" s="145" t="inlineStr">
        <is>
          <t>от 500к до 1 млн чел.</t>
        </is>
      </c>
      <c r="B274" s="145" t="inlineStr">
        <is>
          <t>Манеж</t>
        </is>
      </c>
      <c r="C274" s="128" t="n">
        <v>0.06083333333333332</v>
      </c>
      <c r="D274" s="129" t="n">
        <v>990000</v>
      </c>
      <c r="E274" s="131" t="n">
        <v>87.5</v>
      </c>
      <c r="F274" s="131" t="n">
        <v>250</v>
      </c>
      <c r="G274" s="131" t="n">
        <v>250</v>
      </c>
      <c r="H274" s="129" t="n">
        <v>5750</v>
      </c>
      <c r="I274" s="129" t="n">
        <v>20000</v>
      </c>
      <c r="J274" s="129" t="n">
        <v>35000</v>
      </c>
      <c r="K274" s="145" t="inlineStr">
        <is>
          <t>V5.1: Типы_продукта!A25:M25; Микс_продаж!B7; E16</t>
        </is>
      </c>
    </row>
    <row r="275" ht="14.25" customHeight="1" s="194">
      <c r="A275" s="145" t="inlineStr">
        <is>
          <t>от 100к до 500к чел.</t>
        </is>
      </c>
      <c r="B275" s="145" t="inlineStr">
        <is>
          <t>Детский сад</t>
        </is>
      </c>
      <c r="C275" s="128" t="n">
        <v>0.0125</v>
      </c>
      <c r="D275" s="129" t="n">
        <v>490000</v>
      </c>
      <c r="E275" s="131" t="n">
        <v>12.5</v>
      </c>
      <c r="F275" s="131" t="n">
        <v>25</v>
      </c>
      <c r="G275" s="131" t="n">
        <v>25</v>
      </c>
      <c r="H275" s="129" t="n">
        <v>3300</v>
      </c>
      <c r="I275" s="129" t="n">
        <v>6000</v>
      </c>
      <c r="J275" s="129" t="n">
        <v>12000</v>
      </c>
      <c r="K275" s="145" t="inlineStr">
        <is>
          <t>V5.1: Типы_продукта!A26:M26; Микс_продаж!B8; B17</t>
        </is>
      </c>
    </row>
    <row r="276" ht="14.25" customHeight="1" s="194">
      <c r="A276" s="145" t="inlineStr">
        <is>
          <t>от 100к до 500к чел.</t>
        </is>
      </c>
      <c r="B276" s="145" t="inlineStr">
        <is>
          <t>Школа</t>
        </is>
      </c>
      <c r="C276" s="128" t="n">
        <v>0.05</v>
      </c>
      <c r="D276" s="129" t="n">
        <v>690000</v>
      </c>
      <c r="E276" s="131" t="n">
        <v>60</v>
      </c>
      <c r="F276" s="131" t="n">
        <v>90</v>
      </c>
      <c r="G276" s="131" t="n">
        <v>90</v>
      </c>
      <c r="H276" s="129" t="n">
        <v>4650</v>
      </c>
      <c r="I276" s="129" t="n">
        <v>20000</v>
      </c>
      <c r="J276" s="129" t="n">
        <v>30000</v>
      </c>
      <c r="K276" s="145" t="inlineStr">
        <is>
          <t>V5.1: Типы_продукта!A27:M27; Микс_продаж!B8; C17</t>
        </is>
      </c>
    </row>
    <row r="277" ht="14.25" customHeight="1" s="194">
      <c r="A277" s="145" t="inlineStr">
        <is>
          <t>от 100к до 500к чел.</t>
        </is>
      </c>
      <c r="B277" s="145" t="inlineStr">
        <is>
          <t>ФОК/Стадион</t>
        </is>
      </c>
      <c r="C277" s="128" t="n">
        <v>0.1266666666666667</v>
      </c>
      <c r="D277" s="129" t="n">
        <v>790000</v>
      </c>
      <c r="E277" s="131" t="n">
        <v>70</v>
      </c>
      <c r="F277" s="131" t="n">
        <v>150</v>
      </c>
      <c r="G277" s="131" t="n">
        <v>150</v>
      </c>
      <c r="H277" s="129" t="n">
        <v>5750</v>
      </c>
      <c r="I277" s="129" t="n">
        <v>20000</v>
      </c>
      <c r="J277" s="129" t="n">
        <v>25000</v>
      </c>
      <c r="K277" s="145" t="inlineStr">
        <is>
          <t>V5.1: Типы_продукта!A28:M28; Микс_продаж!B8; D17</t>
        </is>
      </c>
    </row>
    <row r="278" ht="14.25" customHeight="1" s="194">
      <c r="A278" s="145" t="inlineStr">
        <is>
          <t>от 100к до 500к чел.</t>
        </is>
      </c>
      <c r="B278" s="145" t="inlineStr">
        <is>
          <t>Манеж</t>
        </is>
      </c>
      <c r="C278" s="128" t="n">
        <v>0.06083333333333332</v>
      </c>
      <c r="D278" s="129" t="n">
        <v>890000</v>
      </c>
      <c r="E278" s="131" t="n">
        <v>70</v>
      </c>
      <c r="F278" s="131" t="n">
        <v>200</v>
      </c>
      <c r="G278" s="131" t="n">
        <v>200</v>
      </c>
      <c r="H278" s="129" t="n">
        <v>5750</v>
      </c>
      <c r="I278" s="129" t="n">
        <v>20000</v>
      </c>
      <c r="J278" s="129" t="n">
        <v>30000</v>
      </c>
      <c r="K278" s="145" t="inlineStr">
        <is>
          <t>V5.1: Типы_продукта!A29:M29; Микс_продаж!B8; E17</t>
        </is>
      </c>
    </row>
    <row r="279" ht="14.25" customHeight="1" s="194">
      <c r="A279" s="145" t="inlineStr">
        <is>
          <t>до 100к чел.</t>
        </is>
      </c>
      <c r="B279" s="145" t="inlineStr">
        <is>
          <t>Детский сад</t>
        </is>
      </c>
      <c r="C279" s="128" t="n">
        <v>0.005000000000000001</v>
      </c>
      <c r="D279" s="129" t="n">
        <v>390000</v>
      </c>
      <c r="E279" s="131" t="n">
        <v>12.5</v>
      </c>
      <c r="F279" s="131" t="n">
        <v>18.75</v>
      </c>
      <c r="G279" s="131" t="n">
        <v>18.75</v>
      </c>
      <c r="H279" s="129" t="n">
        <v>3000</v>
      </c>
      <c r="I279" s="129" t="n">
        <v>5000</v>
      </c>
      <c r="J279" s="129" t="n">
        <v>8000</v>
      </c>
      <c r="K279" s="145" t="inlineStr">
        <is>
          <t>V5.1: Типы_продукта!A30:M30; Микс_продаж!B9; B18</t>
        </is>
      </c>
    </row>
    <row r="280" ht="14.25" customHeight="1" s="194">
      <c r="A280" s="145" t="inlineStr">
        <is>
          <t>до 100к чел.</t>
        </is>
      </c>
      <c r="B280" s="145" t="inlineStr">
        <is>
          <t>Школа</t>
        </is>
      </c>
      <c r="C280" s="128" t="n">
        <v>0.02</v>
      </c>
      <c r="D280" s="129" t="n">
        <v>490000</v>
      </c>
      <c r="E280" s="131" t="n">
        <v>52.5</v>
      </c>
      <c r="F280" s="131" t="n">
        <v>78.75</v>
      </c>
      <c r="G280" s="131" t="n">
        <v>78.75</v>
      </c>
      <c r="H280" s="129" t="n">
        <v>4000</v>
      </c>
      <c r="I280" s="129" t="n">
        <v>20000</v>
      </c>
      <c r="J280" s="129" t="n">
        <v>25000</v>
      </c>
      <c r="K280" s="145" t="inlineStr">
        <is>
          <t>V5.1: Типы_продукта!A31:M31; Микс_продаж!B9; C18</t>
        </is>
      </c>
    </row>
    <row r="281" ht="14.25" customHeight="1" s="194">
      <c r="A281" s="145" t="inlineStr">
        <is>
          <t>до 100к чел.</t>
        </is>
      </c>
      <c r="B281" s="145" t="inlineStr">
        <is>
          <t>ФОК/Стадион</t>
        </is>
      </c>
      <c r="C281" s="128" t="n">
        <v>0.05066666666666667</v>
      </c>
      <c r="D281" s="129" t="n">
        <v>590000</v>
      </c>
      <c r="E281" s="131" t="n">
        <v>62.5</v>
      </c>
      <c r="F281" s="131" t="n">
        <v>125</v>
      </c>
      <c r="G281" s="131" t="n">
        <v>125</v>
      </c>
      <c r="H281" s="129" t="n">
        <v>4500</v>
      </c>
      <c r="I281" s="129" t="n">
        <v>20000</v>
      </c>
      <c r="J281" s="129" t="n">
        <v>25000</v>
      </c>
      <c r="K281" s="145" t="inlineStr">
        <is>
          <t>V5.1: Типы_продукта!A32:M32; Микс_продаж!B9; D18</t>
        </is>
      </c>
    </row>
    <row r="282" ht="14.25" customHeight="1" s="194">
      <c r="A282" s="145" t="inlineStr">
        <is>
          <t>до 100к чел.</t>
        </is>
      </c>
      <c r="B282" s="145" t="inlineStr">
        <is>
          <t>Манеж</t>
        </is>
      </c>
      <c r="C282" s="128" t="n">
        <v>0.02433333333333333</v>
      </c>
      <c r="D282" s="129" t="n">
        <v>690000</v>
      </c>
      <c r="E282" s="131" t="n">
        <v>62.5</v>
      </c>
      <c r="F282" s="131" t="n">
        <v>175</v>
      </c>
      <c r="G282" s="131" t="n">
        <v>175</v>
      </c>
      <c r="H282" s="129" t="n">
        <v>4500</v>
      </c>
      <c r="I282" s="129" t="n">
        <v>20000</v>
      </c>
      <c r="J282" s="129" t="n">
        <v>30000</v>
      </c>
      <c r="K282" s="145" t="inlineStr">
        <is>
          <t>V5.1: Типы_продукта!A33:M33; Микс_продаж!B9; E18</t>
        </is>
      </c>
    </row>
    <row r="283" ht="14.25" customHeight="1" s="194">
      <c r="A283" s="56" t="inlineStr">
        <is>
          <t>Сумма весов</t>
        </is>
      </c>
      <c r="C283" s="126">
        <f>SUM(C263:C282)</f>
        <v/>
      </c>
    </row>
    <row r="284" ht="14.25" customHeight="1" s="194"/>
    <row r="285" hidden="1" outlineLevel="1" ht="14.25" customHeight="1" s="194">
      <c r="A285" s="199" t="inlineStr">
        <is>
          <t>14. CAPEX — вложения в бизнес</t>
        </is>
      </c>
    </row>
    <row r="286" hidden="1" outlineLevel="1" ht="14.25" customHeight="1" s="194">
      <c r="A286" s="67" t="inlineStr">
        <is>
          <t>Поддерживающий CAPEX</t>
        </is>
      </c>
      <c r="B286" s="136" t="n">
        <v>0.01</v>
      </c>
      <c r="C286" s="24" t="inlineStr">
        <is>
          <t>%</t>
        </is>
      </c>
      <c r="D286" s="24" t="inlineStr">
        <is>
          <t>v4: Допущения!B42</t>
        </is>
      </c>
      <c r="E286" s="145" t="inlineStr">
        <is>
          <t>1% выручки с НДС — сохранено правило v4; база не заменена молча на чистую выручку.</t>
        </is>
      </c>
    </row>
    <row r="287" hidden="1" outlineLevel="1" ht="14.25" customHeight="1" s="194">
      <c r="A287" s="67" t="inlineStr">
        <is>
          <t>Разовый CAPEX</t>
        </is>
      </c>
      <c r="B287" s="137" t="n">
        <v>1000</v>
      </c>
      <c r="C287" s="24" t="inlineStr">
        <is>
          <t>₽</t>
        </is>
      </c>
      <c r="D287" s="24" t="inlineStr">
        <is>
          <t>v4: Допущения!B41</t>
        </is>
      </c>
      <c r="E287" s="145" t="inlineStr">
        <is>
          <t>Как в приложенной v4: 1 000 ₽ разово в первом месяце прогноза.</t>
        </is>
      </c>
    </row>
    <row r="288" hidden="1" outlineLevel="1" ht="14.25" customHeight="1" s="194">
      <c r="A288" s="67" t="inlineStr">
        <is>
          <t>База поддерживающего CAPEX</t>
        </is>
      </c>
      <c r="B288" s="142" t="inlineStr">
        <is>
          <t>С НДС</t>
        </is>
      </c>
      <c r="C288" s="24" t="n"/>
      <c r="D288" s="24" t="inlineStr">
        <is>
          <t>v4: Допущения!B41:B42</t>
        </is>
      </c>
      <c r="E288" s="145" t="inlineStr">
        <is>
          <t>По умолчанию С НДС, как в v4. Начисленная выручка всех направлений, не авансы.</t>
        </is>
      </c>
    </row>
    <row r="289" hidden="1" outlineLevel="1" ht="14.25" customHeight="1" s="194">
      <c r="A289" s="67" t="inlineStr">
        <is>
          <t>Дата разового CAPEX</t>
        </is>
      </c>
      <c r="B289" s="140">
        <f>$B$7</f>
        <v/>
      </c>
      <c r="C289" s="24" t="n"/>
      <c r="D289" s="24" t="inlineStr">
        <is>
          <t>v4: Допущения!B41:B42</t>
        </is>
      </c>
      <c r="E289" s="145" t="inlineStr">
        <is>
          <t>Первый месяц прогноза, как в v4. Дату можно изменить.</t>
        </is>
      </c>
    </row>
    <row r="290" hidden="1" outlineLevel="1" ht="14.25" customHeight="1" s="194">
      <c r="A290" s="67" t="inlineStr">
        <is>
          <t>CAPEX включён</t>
        </is>
      </c>
      <c r="B290" s="142" t="inlineStr">
        <is>
          <t>Нет</t>
        </is>
      </c>
      <c r="C290" s="24" t="n"/>
      <c r="D290" s="24" t="inlineStr">
        <is>
          <t>v4: Допущения!B41:B42</t>
        </is>
      </c>
      <c r="E290" s="145" t="inlineStr">
        <is>
          <t>Да — CAPEX вычитается из денег до погашения займа. Нет — расчёт без CAPEX.</t>
        </is>
      </c>
    </row>
    <row r="291" collapsed="1" ht="14.25" customHeight="1" s="194"/>
    <row r="292" ht="14.25" customHeight="1" s="194">
      <c r="A292" s="199" t="inlineStr">
        <is>
          <t>Постепенный набор, индексация и повтор формы</t>
        </is>
      </c>
    </row>
    <row r="293" ht="14.25" customHeight="1" s="194">
      <c r="A293" s="145" t="inlineStr">
        <is>
          <t>Первая индексация цен / OPEX</t>
        </is>
      </c>
      <c r="B293" s="143" t="n">
        <v>46539</v>
      </c>
      <c r="C293" s="145" t="inlineStr">
        <is>
          <t>дата</t>
        </is>
      </c>
      <c r="D293" s="145" t="n"/>
      <c r="E293" s="145" t="inlineStr">
        <is>
          <t>Ежегодно в июне, как в v4; зарплаты отдельно в сентябре.</t>
        </is>
      </c>
    </row>
    <row r="294" ht="28.5" customHeight="1" s="194">
      <c r="A294" s="145" t="inlineStr">
        <is>
          <t>Индексация вне ФОТ включена</t>
        </is>
      </c>
      <c r="B294" s="144" t="inlineStr">
        <is>
          <t>Да</t>
        </is>
      </c>
      <c r="C294" s="145" t="inlineStr">
        <is>
          <t>Да / Нет</t>
        </is>
      </c>
      <c r="D294" s="145" t="inlineStr">
        <is>
          <t>Подтверждено 09.09.2026</t>
        </is>
      </c>
      <c r="E294" s="145" t="inlineStr">
        <is>
          <t>Абонемент, паушальный, форма, ERP, IT, юристы, реклама, SMM-подрядчики, резерв ротации. Офис, мин. роялти, лагеря не меняются.</t>
        </is>
      </c>
    </row>
    <row r="295" ht="28.5" customHeight="1" s="194">
      <c r="A295" s="145" t="inlineStr">
        <is>
          <t>Постепенный набор детей в школу</t>
        </is>
      </c>
      <c r="B295" s="144" t="inlineStr">
        <is>
          <t>Да</t>
        </is>
      </c>
      <c r="C295" s="145" t="inlineStr">
        <is>
          <t>Да / Нет</t>
        </is>
      </c>
      <c r="D295" s="145" t="inlineStr">
        <is>
          <t>Подтверждено 09.09.2026</t>
        </is>
      </c>
      <c r="E295" s="145" t="inlineStr">
        <is>
          <t>Месяцы 1–12: постепенный выход на план первого года; 13–24: плавный выход на план второго. Нет — расчёт без плавного набора.</t>
        </is>
      </c>
    </row>
    <row r="296" ht="28.5" customHeight="1" s="194">
      <c r="A296" s="145" t="inlineStr">
        <is>
          <t>Первый повторный заказ</t>
        </is>
      </c>
      <c r="B296" s="144" t="inlineStr">
        <is>
          <t>Новый сезон</t>
        </is>
      </c>
      <c r="C296" s="145" t="inlineStr">
        <is>
          <t>правило</t>
        </is>
      </c>
      <c r="D296" s="145" t="inlineStr">
        <is>
          <t>Подтверждено 09.09.2026</t>
        </is>
      </c>
      <c r="E296" s="145" t="inlineStr">
        <is>
          <t>С следующего сентября, но не раньше завершения трех первичных поставок. Без ожидания 12 месяцев.</t>
        </is>
      </c>
    </row>
    <row r="297" ht="14.25" customHeight="1" s="194">
      <c r="A297" s="145" t="inlineStr">
        <is>
          <t>Каникулы по роялти</t>
        </is>
      </c>
      <c r="B297" s="146" t="n">
        <v>0</v>
      </c>
      <c r="C297" s="145" t="inlineStr">
        <is>
          <t>мес.</t>
        </is>
      </c>
      <c r="D297" s="145" t="inlineStr">
        <is>
          <t>Параметр; по умолчанию 0</t>
        </is>
      </c>
      <c r="E297" s="145">
        <f>IF($B$297=0,"По умолчанию 0. Поставьте число месяцев — роялти не начисляется столько месяцев с открытия школы","Роялти не начисляется первые "&amp;$B$297&amp;" мес. с открытия школы")</f>
        <v/>
      </c>
    </row>
    <row r="298" ht="14.25" customHeight="1" s="194">
      <c r="A298" s="145" t="inlineStr">
        <is>
          <t>Конверсия продажа - открытие</t>
        </is>
      </c>
      <c r="B298" s="147" t="n">
        <v>0.9</v>
      </c>
      <c r="C298" s="145" t="inlineStr">
        <is>
          <t>%</t>
        </is>
      </c>
      <c r="D298" s="145" t="inlineStr">
        <is>
          <t>Параметр; по умолчанию 100%</t>
        </is>
      </c>
      <c r="E298" s="145">
        <f>IF($B$298=1,"По умолчанию 100%: каждая оплаченная продажа доходит до открытия. Поставьте меньше, если часть продаж не открывается","Из продаж открывается "&amp;TEXT($B$298,"0%")&amp;"; остальные не доходят до школы")</f>
        <v/>
      </c>
    </row>
    <row r="299" ht="14.25" customHeight="1" s="194"/>
    <row r="300" ht="14.25" customHeight="1" s="194">
      <c r="A300" s="199" t="inlineStr">
        <is>
          <t>Инфляция по годам</t>
        </is>
      </c>
    </row>
    <row r="301" ht="14.25" customHeight="1" s="194">
      <c r="A301" s="56" t="n">
        <v>2026</v>
      </c>
      <c r="B301" s="148" t="n">
        <v>0.07000000000000001</v>
      </c>
    </row>
    <row r="302" ht="14.25" customHeight="1" s="194">
      <c r="A302" s="56" t="n">
        <v>2027</v>
      </c>
      <c r="B302" s="148" t="n">
        <v>0.07000000000000001</v>
      </c>
    </row>
    <row r="303" ht="14.25" customHeight="1" s="194">
      <c r="A303" s="56" t="n">
        <v>2028</v>
      </c>
      <c r="B303" s="148" t="n">
        <v>0.07000000000000001</v>
      </c>
    </row>
    <row r="304" ht="14.25" customHeight="1" s="194">
      <c r="A304" s="56" t="n">
        <v>2029</v>
      </c>
      <c r="B304" s="148" t="n">
        <v>0.07000000000000001</v>
      </c>
    </row>
    <row r="305" ht="14.25" customHeight="1" s="194">
      <c r="A305" s="56" t="n">
        <v>2030</v>
      </c>
      <c r="B305" s="148" t="n">
        <v>0.07000000000000001</v>
      </c>
    </row>
    <row r="306" ht="14.25" customHeight="1" s="194">
      <c r="A306" s="56" t="n">
        <v>2031</v>
      </c>
      <c r="B306" s="148" t="n">
        <v>0.07000000000000001</v>
      </c>
    </row>
    <row r="307" ht="14.25" customHeight="1" s="194">
      <c r="A307" s="56" t="n">
        <v>2032</v>
      </c>
      <c r="B307" s="148" t="n">
        <v>0.07000000000000001</v>
      </c>
    </row>
    <row r="308" ht="14.25" customHeight="1" s="194"/>
    <row r="309" ht="14.25" customHeight="1" s="194">
      <c r="A309" s="149" t="inlineStr">
        <is>
          <t>15. Возврат займа и открытие школ партнёра</t>
        </is>
      </c>
    </row>
    <row r="310" ht="14.25" customHeight="1" s="194">
      <c r="A310" s="56" t="inlineStr">
        <is>
          <t>Минимальный запас для возврата займа</t>
        </is>
      </c>
      <c r="B310" s="150" t="n">
        <v>3</v>
      </c>
      <c r="C310" s="56" t="inlineStr">
        <is>
          <t>мес. будущих продаж</t>
        </is>
      </c>
      <c r="E310" s="56" t="inlineStr">
        <is>
          <t>Займ возвращаем, только если на складе остаётся запас на столько месяцев вперёд. Отдельно от целевого запаса закупки в B80, хотя сейчас значения совпадают: при шести месяцах порог недостижим и займ не гасится.</t>
        </is>
      </c>
    </row>
    <row r="311" ht="14.25" customHeight="1" s="194">
      <c r="A311" s="56" t="inlineStr">
        <is>
          <t>Лаг открытия следующих школ партнёра</t>
        </is>
      </c>
      <c r="B311" s="56" t="n">
        <v>3</v>
      </c>
      <c r="C311" s="56" t="inlineStr">
        <is>
          <t>мес.</t>
        </is>
      </c>
      <c r="E311" s="56" t="inlineStr">
        <is>
          <t>Первую школу партнёр открывает через лаг B15. Остальные (B22 минус одна) — через столько месяцев после первой. Ноль означает возврат к прежнему «все школы разом».</t>
        </is>
      </c>
    </row>
    <row r="312" ht="14.25" customHeight="1" s="194">
      <c r="A312" s="56" t="inlineStr">
        <is>
          <t>16. Роялти действующей сети — группы точек начисления</t>
        </is>
      </c>
    </row>
    <row r="313" ht="14.25" customHeight="1" s="194">
      <c r="A313" s="56" t="inlineStr">
        <is>
          <t>Группа точек начисления</t>
        </is>
      </c>
      <c r="B313" s="56" t="inlineStr">
        <is>
          <t>Точек на старте</t>
        </is>
      </c>
      <c r="C313" s="56" t="inlineStr">
        <is>
          <t>Доля выручки сети</t>
        </is>
      </c>
      <c r="D313" s="56" t="inlineStr">
        <is>
          <t>Средний фикс</t>
        </is>
      </c>
      <c r="E313" s="56" t="inlineStr">
        <is>
          <t>Ставка роялти</t>
        </is>
      </c>
      <c r="F313" s="56" t="inlineStr">
        <is>
          <t>Источник</t>
        </is>
      </c>
    </row>
    <row r="314" ht="14.25" customHeight="1" s="194">
      <c r="A314" s="56" t="inlineStr">
        <is>
          <t>Крупные — платят процент</t>
        </is>
      </c>
      <c r="B314" s="56" t="n">
        <v>10</v>
      </c>
      <c r="C314" s="151" t="n">
        <v>0.555592</v>
      </c>
      <c r="D314" s="152" t="n">
        <v>13560</v>
      </c>
      <c r="E314" s="151" t="n">
        <v>0.065</v>
      </c>
      <c r="F314" s="56" t="inlineStr">
        <is>
          <t>Реестр начислений, август 2026</t>
        </is>
      </c>
    </row>
    <row r="315" ht="14.25" customHeight="1" s="194">
      <c r="A315" s="56" t="inlineStr">
        <is>
          <t>Льготная ставка</t>
        </is>
      </c>
      <c r="B315" s="56" t="n">
        <v>5</v>
      </c>
      <c r="C315" s="151" t="n">
        <v>0.29611</v>
      </c>
      <c r="D315" s="152" t="n">
        <v>9000</v>
      </c>
      <c r="E315" s="151" t="n">
        <v>0.0325</v>
      </c>
      <c r="F315" s="56" t="inlineStr">
        <is>
          <t>Реестр начислений, август 2026</t>
        </is>
      </c>
    </row>
    <row r="316" ht="14.25" customHeight="1" s="194">
      <c r="A316" s="56" t="inlineStr">
        <is>
          <t>Средние — у порога фикса</t>
        </is>
      </c>
      <c r="B316" s="56" t="n">
        <v>16</v>
      </c>
      <c r="C316" s="151" t="n">
        <v>0.09134100000000001</v>
      </c>
      <c r="D316" s="152" t="n">
        <v>19138</v>
      </c>
      <c r="E316" s="151" t="n">
        <v>0.065</v>
      </c>
      <c r="F316" s="56" t="inlineStr">
        <is>
          <t>Реестр начислений, август 2026</t>
        </is>
      </c>
    </row>
    <row r="317" ht="14.25" customHeight="1" s="194">
      <c r="A317" s="56" t="inlineStr">
        <is>
          <t>Мелкие — платят фикс</t>
        </is>
      </c>
      <c r="B317" s="56" t="n">
        <v>15</v>
      </c>
      <c r="C317" s="151" t="n">
        <v>0.033143</v>
      </c>
      <c r="D317" s="152" t="n">
        <v>20067</v>
      </c>
      <c r="E317" s="151" t="n">
        <v>0.065</v>
      </c>
      <c r="F317" s="56" t="inlineStr">
        <is>
          <t>Реестр начислений, август 2026</t>
        </is>
      </c>
    </row>
    <row r="318" ht="14.25" customHeight="1" s="194">
      <c r="A318" s="56" t="inlineStr">
        <is>
          <t>Только фикс, без процента</t>
        </is>
      </c>
      <c r="B318" s="56" t="n">
        <v>2</v>
      </c>
      <c r="C318" s="151" t="n">
        <v>0.023814</v>
      </c>
      <c r="D318" s="152" t="n">
        <v>20000</v>
      </c>
      <c r="E318" s="151" t="n">
        <v>0</v>
      </c>
      <c r="F318" s="56" t="inlineStr">
        <is>
          <t>Реестр начислений, август 2026</t>
        </is>
      </c>
    </row>
    <row r="319" ht="14.25" customHeight="1" s="194">
      <c r="A319" s="56" t="inlineStr">
        <is>
          <t>Итого</t>
        </is>
      </c>
      <c r="B319" s="56">
        <f>SUM(B314:B318)</f>
        <v/>
      </c>
      <c r="C319" s="151">
        <f>SUM(C314:C318)</f>
        <v/>
      </c>
      <c r="F319" s="56" t="inlineStr">
        <is>
          <t>Доли должны давать 100%: это разложение выручки сети, а не отдельные источники</t>
        </is>
      </c>
    </row>
    <row r="320" ht="14.25" customHeight="1" s="194"/>
    <row r="321" ht="14.25" customHeight="1" s="194">
      <c r="A321" s="56" t="inlineStr">
        <is>
          <t>17. История: сезон 25/26 — факт</t>
        </is>
      </c>
    </row>
    <row r="322" ht="14.25" customHeight="1" s="194">
      <c r="A322" s="56" t="inlineStr">
        <is>
          <t>Учитывать сезон 25/26</t>
        </is>
      </c>
      <c r="B322" s="56" t="inlineStr">
        <is>
          <t>Нет</t>
        </is>
      </c>
      <c r="C322" s="56" t="inlineStr">
        <is>
          <t>Да / Нет</t>
        </is>
      </c>
      <c r="D322" s="56" t="inlineStr">
        <is>
          <t>Решение владельца</t>
        </is>
      </c>
      <c r="E322" s="56" t="inlineStr">
        <is>
          <t>«Да» добавляет на дашборд колонку сезона 25/26 и итог за шесть сезонов. Прогноз при этом не меняется: сезон закончился, он вводится фактом, а не считается.</t>
        </is>
      </c>
    </row>
    <row r="323" ht="14.25" customHeight="1" s="194">
      <c r="A323" s="56" t="inlineStr">
        <is>
          <t>Показатель</t>
        </is>
      </c>
      <c r="B323" s="56" t="inlineStr">
        <is>
          <t>Значение</t>
        </is>
      </c>
      <c r="C323" s="56" t="inlineStr">
        <is>
          <t>Ед.</t>
        </is>
      </c>
      <c r="D323" s="56" t="inlineStr">
        <is>
          <t>Статус</t>
        </is>
      </c>
      <c r="E323" s="56" t="inlineStr">
        <is>
          <t>Откуда взято</t>
        </is>
      </c>
    </row>
    <row r="324" ht="14.25" customHeight="1" s="194">
      <c r="A324" s="56" t="inlineStr">
        <is>
          <t>Паушальные взносы</t>
        </is>
      </c>
      <c r="B324" s="152">
        <f>SUM(B343:B353)</f>
        <v/>
      </c>
      <c r="C324" s="56" t="inlineStr">
        <is>
          <t>₽</t>
        </is>
      </c>
      <c r="D324" s="56" t="inlineStr">
        <is>
          <t>Факт: отчёт о финрезультатах</t>
        </is>
      </c>
      <c r="E324" s="56" t="inlineStr">
        <is>
          <t>За сезон продано немного: суммы в отчёте символические.</t>
        </is>
      </c>
    </row>
    <row r="325" ht="14.25" customHeight="1" s="194">
      <c r="A325" s="56" t="inlineStr">
        <is>
          <t>Роялти</t>
        </is>
      </c>
      <c r="B325" s="152">
        <f>SUM(C343:C353)</f>
        <v/>
      </c>
      <c r="C325" s="56" t="inlineStr">
        <is>
          <t>₽</t>
        </is>
      </c>
      <c r="D325" s="56" t="inlineStr">
        <is>
          <t>Факт: отчёт о финрезультатах</t>
        </is>
      </c>
      <c r="E325" s="56" t="inlineStr">
        <is>
          <t>Реестр начислений за те же месяцы даёт меньше: он считает начисление по школам, отчёт — выручку управляющей компании.</t>
        </is>
      </c>
    </row>
    <row r="326" ht="14.25" customHeight="1" s="194">
      <c r="A326" s="56" t="inlineStr">
        <is>
          <t>Мерч</t>
        </is>
      </c>
      <c r="B326" s="152">
        <f>SUM(D343:D353)</f>
        <v/>
      </c>
      <c r="C326" s="56" t="inlineStr">
        <is>
          <t>₽</t>
        </is>
      </c>
      <c r="D326" s="56" t="inlineStr">
        <is>
          <t>Факт: отчёт о финрезультатах</t>
        </is>
      </c>
      <c r="E326" s="56" t="inlineStr">
        <is>
          <t>«Спортивная форма» отчёта. Продаётся рывками: февраль 1,47 млн, июль 67 тыс.</t>
        </is>
      </c>
    </row>
    <row r="327" ht="14.25" customHeight="1" s="194">
      <c r="A327" s="56" t="inlineStr">
        <is>
          <t>Выручка без НДС</t>
        </is>
      </c>
      <c r="B327" s="152">
        <f>SUM(B343:B353)+SUM(C343:C353)+SUM(D343:D353)</f>
        <v/>
      </c>
      <c r="C327" s="56" t="inlineStr">
        <is>
          <t>₽</t>
        </is>
      </c>
      <c r="D327" s="56" t="inlineStr">
        <is>
          <t>Факт: отчёт о финрезультатах</t>
        </is>
      </c>
      <c r="E327" s="56" t="inlineStr">
        <is>
          <t>Паушальные, роялти и мерч.</t>
        </is>
      </c>
    </row>
    <row r="328" ht="14.25" customHeight="1" s="194">
      <c r="A328" s="56" t="inlineStr">
        <is>
          <t>Прямые расходы</t>
        </is>
      </c>
      <c r="B328" s="152">
        <f>SUM(E343:E353)+SUM(F343:F353)</f>
        <v/>
      </c>
      <c r="C328" s="56" t="inlineStr">
        <is>
          <t>₽</t>
        </is>
      </c>
      <c r="D328" s="56" t="inlineStr">
        <is>
          <t>Факт: отчёт о финрезультатах</t>
        </is>
      </c>
      <c r="E328" s="56" t="inlineStr">
        <is>
          <t>Себестоимость формы плюс выплаты клубу («коммерческие расходы» отчёта).</t>
        </is>
      </c>
    </row>
    <row r="329" ht="14.25" customHeight="1" s="194">
      <c r="A329" s="56" t="inlineStr">
        <is>
          <t>Валовая прибыль</t>
        </is>
      </c>
      <c r="B329" s="152">
        <f>B327-B328</f>
        <v/>
      </c>
      <c r="C329" s="56" t="inlineStr">
        <is>
          <t>₽ ±</t>
        </is>
      </c>
      <c r="D329" s="56" t="inlineStr">
        <is>
          <t>Факт: отчёт о финрезультатах</t>
        </is>
      </c>
      <c r="E329" s="56" t="inlineStr">
        <is>
          <t>Выручка минус прямые расходы — как в БДР модели, а не как в строке 03 отчёта: там выплаты клубу ещё не вычтены.</t>
        </is>
      </c>
    </row>
    <row r="330" ht="14.25" customHeight="1" s="194">
      <c r="A330" s="56" t="inlineStr">
        <is>
          <t>ФОТ и кадровые расходы</t>
        </is>
      </c>
      <c r="B330" s="152">
        <f>SUM(G343:G353)</f>
        <v/>
      </c>
      <c r="C330" s="56" t="inlineStr">
        <is>
          <t>₽</t>
        </is>
      </c>
      <c r="D330" s="56" t="inlineStr">
        <is>
          <t>Факт: отчёт о финрезультатах</t>
        </is>
      </c>
      <c r="E330" s="56" t="inlineStr">
        <is>
          <t>Оплата труда, страховые взносы и взносы в ФСС от НС и ПЗ. Растёт весь сезон: 1,57 млн в сентябре, 4,28 млн в июле.</t>
        </is>
      </c>
    </row>
    <row r="331" ht="14.25" customHeight="1" s="194">
      <c r="A331" s="56" t="inlineStr">
        <is>
          <t>OPEX — прочие</t>
        </is>
      </c>
      <c r="B331" s="152">
        <f>SUM(H343:H353)+SUM(I343:I353)</f>
        <v/>
      </c>
      <c r="C331" s="56" t="inlineStr">
        <is>
          <t>₽</t>
        </is>
      </c>
      <c r="D331" s="56" t="inlineStr">
        <is>
          <t>Факт: отчёт о финрезультатах</t>
        </is>
      </c>
      <c r="E331" s="56" t="inlineStr">
        <is>
          <t>Административные расходы за вычетом ФОТ плюс прочие расходы: аренда, CRM, ПО, реклама, связь, уборка, банк.</t>
        </is>
      </c>
    </row>
    <row r="332" ht="14.25" customHeight="1" s="194">
      <c r="A332" s="56" t="inlineStr">
        <is>
          <t>EBITDA</t>
        </is>
      </c>
      <c r="B332" s="152">
        <f>B329-B330-B331</f>
        <v/>
      </c>
      <c r="C332" s="56" t="inlineStr">
        <is>
          <t>₽ ±</t>
        </is>
      </c>
      <c r="D332" s="56" t="inlineStr">
        <is>
          <t>Факт: отчёт о финрезультатах</t>
        </is>
      </c>
      <c r="E332" s="56" t="inlineStr">
        <is>
          <t>Расходы сезона почти вдвое больше выручки: ФОТ один съедает больше, чем вся выручка.</t>
        </is>
      </c>
    </row>
    <row r="333" ht="14.25" customHeight="1" s="194">
      <c r="A333" s="56" t="inlineStr">
        <is>
          <t>УСН / минимальный налог</t>
        </is>
      </c>
      <c r="B333" s="152">
        <f>SUM(J343:J353)</f>
        <v/>
      </c>
      <c r="C333" s="56" t="inlineStr">
        <is>
          <t>₽</t>
        </is>
      </c>
      <c r="D333" s="56" t="inlineStr">
        <is>
          <t>Факт: отчёт о финрезультатах</t>
        </is>
      </c>
      <c r="E333" s="56" t="inlineStr">
        <is>
          <t>Единственное начисление за сезон — в декабре 2025.</t>
        </is>
      </c>
    </row>
    <row r="334" ht="14.25" customHeight="1" s="194">
      <c r="A334" s="56" t="inlineStr">
        <is>
          <t>Прибыль после налога</t>
        </is>
      </c>
      <c r="B334" s="152">
        <f>B332-B333</f>
        <v/>
      </c>
      <c r="C334" s="56" t="inlineStr">
        <is>
          <t>₽ ±</t>
        </is>
      </c>
      <c r="D334" s="56" t="inlineStr">
        <is>
          <t>Факт: отчёт о финрезультатах</t>
        </is>
      </c>
      <c r="E334" s="56" t="inlineStr">
        <is>
          <t>EBITDA минус налог.</t>
        </is>
      </c>
    </row>
    <row r="335" ht="14.25" customHeight="1" s="194">
      <c r="A335" s="56" t="inlineStr">
        <is>
          <t>Денежный поток за сезон</t>
        </is>
      </c>
      <c r="B335" s="152">
        <f>SUM(K343:K353)</f>
        <v/>
      </c>
      <c r="C335" s="56" t="inlineStr">
        <is>
          <t>₽ ±</t>
        </is>
      </c>
      <c r="D335" s="56" t="inlineStr">
        <is>
          <t>Факт: январь–июль 2026</t>
        </is>
      </c>
      <c r="E335" s="56" t="inlineStr">
        <is>
          <t>За сентябрь–декабрь 2025 потока в отчётности нет, поэтому сумма неполная: она покрывает семь месяцев из одиннадцати.</t>
        </is>
      </c>
    </row>
    <row r="336" ht="14.25" customHeight="1" s="194">
      <c r="A336" s="56" t="inlineStr">
        <is>
          <t>Деньги на конец сезона</t>
        </is>
      </c>
      <c r="B336" s="152" t="n">
        <v>187878</v>
      </c>
      <c r="C336" s="56" t="inlineStr">
        <is>
          <t>₽ ±</t>
        </is>
      </c>
      <c r="D336" s="56" t="inlineStr">
        <is>
          <t>ДДС на 02.07.2026</t>
        </is>
      </c>
      <c r="E336" s="56" t="inlineStr">
        <is>
          <t>Тот же остаток, с которого стартует прогноз (B17).</t>
        </is>
      </c>
    </row>
    <row r="337" ht="14.25" customHeight="1" s="194">
      <c r="A337" s="56" t="inlineStr">
        <is>
          <t>Школы на конец сезона</t>
        </is>
      </c>
      <c r="B337" s="152" t="n">
        <v>104</v>
      </c>
      <c r="C337" s="56" t="inlineStr">
        <is>
          <t>шт.</t>
        </is>
      </c>
      <c r="D337" s="56" t="inlineStr">
        <is>
          <t>Реестр сети 21.08.2026</t>
        </is>
      </c>
    </row>
    <row r="338" ht="14.25" customHeight="1" s="194">
      <c r="A338" s="56" t="inlineStr">
        <is>
          <t>Партнёры на конец сезона</t>
        </is>
      </c>
      <c r="B338" s="152" t="n">
        <v>51</v>
      </c>
      <c r="C338" s="56" t="inlineStr">
        <is>
          <t>шт.</t>
        </is>
      </c>
      <c r="D338" s="56" t="inlineStr">
        <is>
          <t>Реестр сети 21.08.2026</t>
        </is>
      </c>
      <c r="E338" s="56" t="inlineStr">
        <is>
          <t>48 подписали ДКК, 3 в переговорах.</t>
        </is>
      </c>
    </row>
    <row r="339" ht="14.25" customHeight="1" s="194">
      <c r="A339" s="56" t="inlineStr">
        <is>
          <t>Дети на конец сезона</t>
        </is>
      </c>
      <c r="B339" s="152" t="n">
        <v>3808</v>
      </c>
      <c r="C339" s="56" t="inlineStr">
        <is>
          <t>чел.</t>
        </is>
      </c>
      <c r="D339" s="56" t="inlineStr">
        <is>
          <t>Реестр: август 2026</t>
        </is>
      </c>
      <c r="E339" s="56" t="inlineStr">
        <is>
          <t>Проданных абонементов в августе 2026. Абонемент не равен ребёнку: часть из них многомесячные.</t>
        </is>
      </c>
    </row>
    <row r="340" ht="14.25" customHeight="1" s="194"/>
    <row r="341" ht="14.25" customHeight="1" s="194">
      <c r="A341" s="56" t="inlineStr">
        <is>
          <t>P&amp;L управляющей компании помесячно — сентябрь 2025 — июль 2026</t>
        </is>
      </c>
    </row>
    <row r="342" ht="14.25" customHeight="1" s="194">
      <c r="A342" s="56" t="inlineStr">
        <is>
          <t>Месяц</t>
        </is>
      </c>
      <c r="B342" s="56" t="inlineStr">
        <is>
          <t>Паушальные</t>
        </is>
      </c>
      <c r="C342" s="56" t="inlineStr">
        <is>
          <t>Роялти</t>
        </is>
      </c>
      <c r="D342" s="56" t="inlineStr">
        <is>
          <t>Мерч</t>
        </is>
      </c>
      <c r="E342" s="56" t="inlineStr">
        <is>
          <t>Себестоимость формы</t>
        </is>
      </c>
      <c r="F342" s="56" t="inlineStr">
        <is>
          <t>Выплаты клубу</t>
        </is>
      </c>
      <c r="G342" s="56" t="inlineStr">
        <is>
          <t>ФОТ со взносами</t>
        </is>
      </c>
      <c r="H342" s="56" t="inlineStr">
        <is>
          <t>OPEX — прочие</t>
        </is>
      </c>
      <c r="I342" s="56" t="inlineStr">
        <is>
          <t>Прочие расходы</t>
        </is>
      </c>
      <c r="J342" s="56" t="inlineStr">
        <is>
          <t>Налог на прибыль</t>
        </is>
      </c>
      <c r="K342" s="56" t="inlineStr">
        <is>
          <t>Чистый денежный поток</t>
        </is>
      </c>
    </row>
    <row r="343" ht="14.25" customHeight="1" s="194">
      <c r="A343" s="153" t="n">
        <v>45901</v>
      </c>
      <c r="B343" s="152" t="n">
        <v>0</v>
      </c>
      <c r="C343" s="152" t="n">
        <v>0</v>
      </c>
      <c r="D343" s="152" t="n">
        <v>0</v>
      </c>
      <c r="E343" s="152" t="n">
        <v>0</v>
      </c>
      <c r="F343" s="152" t="n">
        <v>0</v>
      </c>
      <c r="G343" s="152" t="n">
        <v>1574401</v>
      </c>
      <c r="H343" s="152" t="n">
        <v>1024059</v>
      </c>
      <c r="I343" s="152" t="n">
        <v>9335</v>
      </c>
      <c r="J343" s="152" t="n">
        <v>0</v>
      </c>
      <c r="K343" s="152" t="n">
        <v>0</v>
      </c>
    </row>
    <row r="344" ht="14.25" customHeight="1" s="194">
      <c r="A344" s="153" t="n">
        <v>45931</v>
      </c>
      <c r="B344" s="152" t="n">
        <v>0</v>
      </c>
      <c r="C344" s="152" t="n">
        <v>0</v>
      </c>
      <c r="D344" s="152" t="n">
        <v>0</v>
      </c>
      <c r="E344" s="152" t="n">
        <v>0</v>
      </c>
      <c r="F344" s="152" t="n">
        <v>0</v>
      </c>
      <c r="G344" s="152" t="n">
        <v>2219727</v>
      </c>
      <c r="H344" s="152" t="n">
        <v>1050057</v>
      </c>
      <c r="I344" s="152" t="n">
        <v>32927</v>
      </c>
      <c r="J344" s="152" t="n">
        <v>0</v>
      </c>
      <c r="K344" s="152" t="n">
        <v>0</v>
      </c>
    </row>
    <row r="345" ht="14.25" customHeight="1" s="194">
      <c r="A345" s="153" t="n">
        <v>45962</v>
      </c>
      <c r="B345" s="152" t="n">
        <v>34000</v>
      </c>
      <c r="C345" s="152" t="n">
        <v>1166894</v>
      </c>
      <c r="D345" s="152" t="n">
        <v>688036</v>
      </c>
      <c r="E345" s="152" t="n">
        <v>353026</v>
      </c>
      <c r="F345" s="152" t="n">
        <v>245843</v>
      </c>
      <c r="G345" s="152" t="n">
        <v>2153520</v>
      </c>
      <c r="H345" s="152" t="n">
        <v>1720573</v>
      </c>
      <c r="I345" s="152" t="n">
        <v>5574</v>
      </c>
      <c r="J345" s="152" t="n">
        <v>0</v>
      </c>
      <c r="K345" s="152" t="n">
        <v>0</v>
      </c>
    </row>
    <row r="346" ht="14.25" customHeight="1" s="194">
      <c r="A346" s="153" t="n">
        <v>45992</v>
      </c>
      <c r="B346" s="152" t="n">
        <v>17000</v>
      </c>
      <c r="C346" s="152" t="n">
        <v>2833884</v>
      </c>
      <c r="D346" s="152" t="n">
        <v>285361</v>
      </c>
      <c r="E346" s="152" t="n">
        <v>147883</v>
      </c>
      <c r="F346" s="152" t="n">
        <v>337456</v>
      </c>
      <c r="G346" s="152" t="n">
        <v>2242835</v>
      </c>
      <c r="H346" s="152" t="n">
        <v>2469730</v>
      </c>
      <c r="I346" s="152" t="n">
        <v>7214</v>
      </c>
      <c r="J346" s="152" t="n">
        <v>52243</v>
      </c>
      <c r="K346" s="152" t="n">
        <v>0</v>
      </c>
    </row>
    <row r="347" ht="14.25" customHeight="1" s="194">
      <c r="A347" s="153" t="n">
        <v>46023</v>
      </c>
      <c r="B347" s="152" t="n">
        <v>5000</v>
      </c>
      <c r="C347" s="152" t="n">
        <v>3199001</v>
      </c>
      <c r="D347" s="152" t="n">
        <v>74550</v>
      </c>
      <c r="E347" s="152" t="n">
        <v>42910</v>
      </c>
      <c r="F347" s="152" t="n">
        <v>332724</v>
      </c>
      <c r="G347" s="152" t="n">
        <v>2688896</v>
      </c>
      <c r="H347" s="152" t="n">
        <v>765322</v>
      </c>
      <c r="I347" s="152" t="n">
        <v>3595</v>
      </c>
      <c r="J347" s="152" t="n">
        <v>0</v>
      </c>
      <c r="K347" s="152" t="n">
        <v>40198</v>
      </c>
    </row>
    <row r="348" ht="14.25" customHeight="1" s="194">
      <c r="A348" s="153" t="n">
        <v>46054</v>
      </c>
      <c r="B348" s="152" t="n">
        <v>1000</v>
      </c>
      <c r="C348" s="152" t="n">
        <v>2192174</v>
      </c>
      <c r="D348" s="152" t="n">
        <v>1468002</v>
      </c>
      <c r="E348" s="152" t="n">
        <v>926633</v>
      </c>
      <c r="F348" s="152" t="n">
        <v>409047</v>
      </c>
      <c r="G348" s="152" t="n">
        <v>2623154</v>
      </c>
      <c r="H348" s="152" t="n">
        <v>1436154</v>
      </c>
      <c r="I348" s="152" t="n">
        <v>4123</v>
      </c>
      <c r="J348" s="152" t="n">
        <v>0</v>
      </c>
      <c r="K348" s="152" t="n">
        <v>2070755</v>
      </c>
    </row>
    <row r="349" ht="14.25" customHeight="1" s="194">
      <c r="A349" s="153" t="n">
        <v>46082</v>
      </c>
      <c r="B349" s="152" t="n">
        <v>3000</v>
      </c>
      <c r="C349" s="152" t="n">
        <v>2641557</v>
      </c>
      <c r="D349" s="152" t="n">
        <v>101600</v>
      </c>
      <c r="E349" s="152" t="n">
        <v>64493</v>
      </c>
      <c r="F349" s="152" t="n">
        <v>278193</v>
      </c>
      <c r="G349" s="152" t="n">
        <v>2889209</v>
      </c>
      <c r="H349" s="152" t="n">
        <v>906213</v>
      </c>
      <c r="I349" s="152" t="n">
        <v>6990</v>
      </c>
      <c r="J349" s="152" t="n">
        <v>0</v>
      </c>
      <c r="K349" s="152" t="n">
        <v>-1429475</v>
      </c>
    </row>
    <row r="350" ht="14.25" customHeight="1" s="194">
      <c r="A350" s="153" t="n">
        <v>46113</v>
      </c>
      <c r="B350" s="152" t="n">
        <v>1000</v>
      </c>
      <c r="C350" s="152" t="n">
        <v>2644045</v>
      </c>
      <c r="D350" s="152" t="n">
        <v>149300</v>
      </c>
      <c r="E350" s="152" t="n">
        <v>86054</v>
      </c>
      <c r="F350" s="152" t="n">
        <v>286891</v>
      </c>
      <c r="G350" s="152" t="n">
        <v>3281358</v>
      </c>
      <c r="H350" s="152" t="n">
        <v>731943</v>
      </c>
      <c r="I350" s="152" t="n">
        <v>4957</v>
      </c>
      <c r="J350" s="152" t="n">
        <v>0</v>
      </c>
      <c r="K350" s="152" t="n">
        <v>61645</v>
      </c>
    </row>
    <row r="351" ht="14.25" customHeight="1" s="194">
      <c r="A351" s="153" t="n">
        <v>46143</v>
      </c>
      <c r="B351" s="152" t="n">
        <v>1922</v>
      </c>
      <c r="C351" s="152" t="n">
        <v>1816506</v>
      </c>
      <c r="D351" s="152" t="n">
        <v>238899</v>
      </c>
      <c r="E351" s="152" t="n">
        <v>139894</v>
      </c>
      <c r="F351" s="152" t="n">
        <v>216975</v>
      </c>
      <c r="G351" s="152" t="n">
        <v>3179444</v>
      </c>
      <c r="H351" s="152" t="n">
        <v>1330966</v>
      </c>
      <c r="I351" s="152" t="n">
        <v>3243</v>
      </c>
      <c r="J351" s="152" t="n">
        <v>0</v>
      </c>
      <c r="K351" s="152" t="n">
        <v>-517789</v>
      </c>
    </row>
    <row r="352" ht="14.25" customHeight="1" s="194">
      <c r="A352" s="153" t="n">
        <v>46174</v>
      </c>
      <c r="B352" s="152" t="n">
        <v>0</v>
      </c>
      <c r="C352" s="152" t="n">
        <v>2452155</v>
      </c>
      <c r="D352" s="152" t="n">
        <v>1290902</v>
      </c>
      <c r="E352" s="152" t="n">
        <v>735974</v>
      </c>
      <c r="F352" s="152" t="n">
        <v>439440</v>
      </c>
      <c r="G352" s="152" t="n">
        <v>3895182</v>
      </c>
      <c r="H352" s="152" t="n">
        <v>1102727</v>
      </c>
      <c r="I352" s="152" t="n">
        <v>6449</v>
      </c>
      <c r="J352" s="152" t="n">
        <v>0</v>
      </c>
      <c r="K352" s="152" t="n">
        <v>-345792</v>
      </c>
    </row>
    <row r="353" ht="14.25" customHeight="1" s="194">
      <c r="A353" s="153" t="n">
        <v>46204</v>
      </c>
      <c r="B353" s="152" t="n">
        <v>0</v>
      </c>
      <c r="C353" s="152" t="n">
        <v>3070178</v>
      </c>
      <c r="D353" s="152" t="n">
        <v>66750</v>
      </c>
      <c r="E353" s="152" t="n">
        <v>44505</v>
      </c>
      <c r="F353" s="152" t="n">
        <v>314803</v>
      </c>
      <c r="G353" s="152" t="n">
        <v>4280247</v>
      </c>
      <c r="H353" s="152" t="n">
        <v>1068367</v>
      </c>
      <c r="I353" s="152" t="n">
        <v>5010</v>
      </c>
      <c r="J353" s="152" t="n">
        <v>0</v>
      </c>
      <c r="K353" s="152" t="n">
        <v>6862</v>
      </c>
    </row>
    <row r="354" ht="14.25" customHeight="1" s="194">
      <c r="A354" s="56" t="inlineStr">
        <is>
          <t>Итого за 11 месяцев</t>
        </is>
      </c>
      <c r="B354" s="152">
        <f>SUM(B343:B353)</f>
        <v/>
      </c>
      <c r="C354" s="152">
        <f>SUM(C343:C353)</f>
        <v/>
      </c>
      <c r="D354" s="152">
        <f>SUM(D343:D353)</f>
        <v/>
      </c>
      <c r="E354" s="152">
        <f>SUM(E343:E353)</f>
        <v/>
      </c>
      <c r="F354" s="152">
        <f>SUM(F343:F353)</f>
        <v/>
      </c>
      <c r="G354" s="152">
        <f>SUM(G343:G353)</f>
        <v/>
      </c>
      <c r="H354" s="152">
        <f>SUM(H343:H353)</f>
        <v/>
      </c>
      <c r="I354" s="152">
        <f>SUM(I343:I353)</f>
        <v/>
      </c>
      <c r="J354" s="152">
        <f>SUM(J343:J353)</f>
        <v/>
      </c>
      <c r="K354" s="152">
        <f>SUM(K343:K353)</f>
        <v/>
      </c>
      <c r="L354" s="56" t="inlineStr">
        <is>
          <t>Август 2025 в отчёте есть, но относится к прошлому сезону. Август 2026 в отчётность ещё не попал — сезон закрыт на одиннадцать месяцев из двенадцати.</t>
        </is>
      </c>
    </row>
    <row r="355" ht="14.25" customHeight="1" s="194"/>
    <row r="356" ht="14.25" customHeight="1" s="194">
      <c r="A356" s="56" t="inlineStr">
        <is>
          <t>Реестр начислений помесячно — оборот сети и роялти</t>
        </is>
      </c>
    </row>
    <row r="357" ht="14.25" customHeight="1" s="194">
      <c r="A357" s="56" t="inlineStr">
        <is>
          <t>Месяц</t>
        </is>
      </c>
      <c r="B357" s="56" t="inlineStr">
        <is>
          <t>Оборот сети, ₽</t>
        </is>
      </c>
      <c r="C357" s="56" t="inlineStr">
        <is>
          <t>Роялти начислено, ₽</t>
        </is>
      </c>
    </row>
    <row r="358" ht="14.25" customHeight="1" s="194">
      <c r="A358" s="153" t="n">
        <v>45931</v>
      </c>
      <c r="B358" s="152" t="n">
        <v>23763743</v>
      </c>
      <c r="C358" s="152" t="n">
        <v>1721989</v>
      </c>
    </row>
    <row r="359" ht="14.25" customHeight="1" s="194">
      <c r="A359" s="153" t="n">
        <v>45962</v>
      </c>
      <c r="B359" s="152" t="n">
        <v>28003516</v>
      </c>
      <c r="C359" s="152" t="n">
        <v>1926571</v>
      </c>
    </row>
    <row r="360" ht="14.25" customHeight="1" s="194">
      <c r="A360" s="153" t="n">
        <v>45992</v>
      </c>
      <c r="B360" s="152" t="n">
        <v>30210358</v>
      </c>
      <c r="C360" s="152" t="n">
        <v>1920426</v>
      </c>
    </row>
    <row r="361" ht="14.25" customHeight="1" s="194">
      <c r="A361" s="153" t="n">
        <v>46023</v>
      </c>
      <c r="B361" s="152" t="n">
        <v>32411412</v>
      </c>
      <c r="C361" s="152" t="n">
        <v>2109980</v>
      </c>
    </row>
    <row r="362" ht="14.25" customHeight="1" s="194">
      <c r="A362" s="153" t="n">
        <v>46054</v>
      </c>
      <c r="B362" s="152" t="n">
        <v>36606090</v>
      </c>
      <c r="C362" s="152" t="n">
        <v>2276950</v>
      </c>
    </row>
    <row r="363" ht="14.25" customHeight="1" s="194">
      <c r="A363" s="153" t="n">
        <v>46082</v>
      </c>
      <c r="B363" s="152" t="n">
        <v>44107279</v>
      </c>
      <c r="C363" s="152" t="n">
        <v>2617615</v>
      </c>
    </row>
    <row r="364" ht="14.25" customHeight="1" s="194">
      <c r="A364" s="153" t="n">
        <v>46113</v>
      </c>
      <c r="B364" s="152" t="n">
        <v>41035864</v>
      </c>
      <c r="C364" s="152" t="n">
        <v>2472905</v>
      </c>
    </row>
    <row r="365" ht="14.25" customHeight="1" s="194">
      <c r="A365" s="153" t="n">
        <v>46143</v>
      </c>
      <c r="B365" s="152" t="n">
        <v>42817500</v>
      </c>
      <c r="C365" s="152" t="n">
        <v>2749786</v>
      </c>
    </row>
    <row r="366" ht="14.25" customHeight="1" s="194">
      <c r="A366" s="153" t="n">
        <v>46174</v>
      </c>
      <c r="B366" s="152" t="n">
        <v>31522552</v>
      </c>
      <c r="C366" s="152" t="n">
        <v>2183764</v>
      </c>
    </row>
    <row r="367" ht="14.25" customHeight="1" s="194">
      <c r="A367" s="153" t="n">
        <v>46204</v>
      </c>
      <c r="B367" s="152" t="n">
        <v>26948036</v>
      </c>
      <c r="C367" s="152" t="n">
        <v>2097917</v>
      </c>
    </row>
    <row r="368" ht="14.25" customHeight="1" s="194">
      <c r="A368" s="153" t="n">
        <v>46235</v>
      </c>
      <c r="B368" s="152" t="n">
        <v>44849008</v>
      </c>
      <c r="C368" s="152" t="n">
        <v>2701108</v>
      </c>
    </row>
    <row r="369" ht="14.25" customHeight="1" s="194">
      <c r="A369" s="56" t="inlineStr">
        <is>
          <t>Итого по реестру</t>
        </is>
      </c>
      <c r="B369" s="152">
        <f>SUM(B358:B368)</f>
        <v/>
      </c>
      <c r="C369" s="152">
        <f>SUM(C358:C368)</f>
        <v/>
      </c>
      <c r="E369" s="56" t="inlineStr">
        <is>
          <t>Октябрь 2025 — август 2026. Сентябрь 2025 в реестре отсутствует, окно не совпадает с P&amp;L.</t>
        </is>
      </c>
    </row>
    <row r="370" ht="15.75" customHeight="1" s="194"/>
    <row r="371" ht="15.75" customHeight="1" s="194">
      <c r="A371" s="204" t="inlineStr">
        <is>
          <t>18. Вознаграждение ФК по договору</t>
        </is>
      </c>
      <c r="B371" s="30" t="n"/>
      <c r="C371" s="24" t="n"/>
      <c r="D371" s="24" t="n"/>
      <c r="E371" s="145" t="n"/>
    </row>
    <row r="372" ht="15.75" customHeight="1" s="194">
      <c r="A372" s="203" t="inlineStr">
        <is>
          <t>Доля ФК от роялти — 2-я ступень</t>
        </is>
      </c>
      <c r="B372" s="205" t="n">
        <v>0.125</v>
      </c>
      <c r="C372" s="24" t="inlineStr">
        <is>
          <t>%</t>
        </is>
      </c>
      <c r="D372" s="24" t="inlineStr">
        <is>
          <t>Договор, п. 3.1 е)</t>
        </is>
      </c>
      <c r="E372" s="145" t="inlineStr">
        <is>
          <t>Действует с даты 2-й ступени до даты 3-й.</t>
        </is>
      </c>
    </row>
    <row r="373" ht="15.75" customHeight="1" s="194">
      <c r="A373" s="203" t="inlineStr">
        <is>
          <t>Доля ФК от роялти — 3-я ступень</t>
        </is>
      </c>
      <c r="B373" s="205" t="n">
        <v>0.15</v>
      </c>
      <c r="C373" s="24" t="inlineStr">
        <is>
          <t>%</t>
        </is>
      </c>
      <c r="D373" s="24" t="inlineStr">
        <is>
          <t>Договор, п. 3.1 ж)</t>
        </is>
      </c>
      <c r="E373" s="145" t="inlineStr">
        <is>
          <t>Действует с даты 3-й ступени и до конца горизонта.</t>
        </is>
      </c>
    </row>
    <row r="374" ht="15.75" customHeight="1" s="194">
      <c r="A374" s="203" t="inlineStr">
        <is>
          <t>Дата 2-й ступени роялти ФК</t>
        </is>
      </c>
      <c r="B374" s="206" t="n">
        <v>46569</v>
      </c>
      <c r="C374" s="24" t="inlineStr">
        <is>
          <t>дата</t>
        </is>
      </c>
      <c r="D374" s="24" t="inlineStr">
        <is>
          <t>Договор, п. 3.1 е)</t>
        </is>
      </c>
      <c r="E374" s="145" t="inlineStr">
        <is>
          <t>До неё действует базовая ставка из B60.</t>
        </is>
      </c>
    </row>
    <row r="375" ht="15.75" customHeight="1" s="194">
      <c r="A375" s="203" t="inlineStr">
        <is>
          <t>Дата 3-й ступени роялти ФК</t>
        </is>
      </c>
      <c r="B375" s="206" t="n">
        <v>47300</v>
      </c>
      <c r="C375" s="24" t="inlineStr">
        <is>
          <t>дата</t>
        </is>
      </c>
      <c r="D375" s="24" t="inlineStr">
        <is>
          <t>Договор, п. 3.1 ж)</t>
        </is>
      </c>
      <c r="E375" s="145" t="inlineStr">
        <is>
          <t>С неё и далее — ставка 3-й ступени.</t>
        </is>
      </c>
    </row>
    <row r="376" ht="15.75" customHeight="1" s="194">
      <c r="A376" s="203" t="inlineStr">
        <is>
          <t>Лаг оплаты клубу: 1 — да, 0 — нет</t>
        </is>
      </c>
      <c r="B376" s="30" t="n">
        <v>1</v>
      </c>
      <c r="C376" s="24" t="inlineStr">
        <is>
          <t>1 / 0</t>
        </is>
      </c>
      <c r="D376" s="24" t="inlineStr">
        <is>
          <t>Договор, п. 3.2</t>
        </is>
      </c>
      <c r="E376" s="145" t="inlineStr">
        <is>
          <t>По договору платим не позднее 10-го числа месяца, следующего за отчётным. 1 — оплата месяцем позже начисления, 0 — в месяце начисления, как считала модель раньше. Другие числа формула не различает: двойка даст тот же один месяц.</t>
        </is>
      </c>
    </row>
    <row r="377" ht="15.75" customHeight="1" s="194"/>
    <row r="378" ht="15.75" customHeight="1" s="194"/>
    <row r="379" ht="15.75" customHeight="1" s="194"/>
    <row r="380" ht="15.75" customHeight="1" s="194"/>
    <row r="381" ht="15.75" customHeight="1" s="194"/>
    <row r="382" ht="15.75" customHeight="1" s="194"/>
    <row r="383" ht="15.75" customHeight="1" s="194"/>
    <row r="384" ht="15.75" customHeight="1" s="194"/>
    <row r="385" ht="15.75" customHeight="1" s="194"/>
    <row r="386" ht="15.75" customHeight="1" s="194"/>
    <row r="387" ht="15.75" customHeight="1" s="194"/>
    <row r="388" ht="15.75" customHeight="1" s="194"/>
    <row r="389" ht="15.75" customHeight="1" s="194"/>
    <row r="390" ht="15.75" customHeight="1" s="194"/>
    <row r="391" ht="15.75" customHeight="1" s="194"/>
    <row r="392" ht="15.75" customHeight="1" s="194"/>
    <row r="393" ht="15.75" customHeight="1" s="194"/>
    <row r="394" ht="15.75" customHeight="1" s="194"/>
    <row r="395" ht="15.75" customHeight="1" s="194"/>
    <row r="396" ht="15.75" customHeight="1" s="194"/>
    <row r="397" ht="15.75" customHeight="1" s="194"/>
    <row r="398" ht="15.75" customHeight="1" s="194"/>
    <row r="399" ht="15.75" customHeight="1" s="194"/>
    <row r="400" ht="15.75" customHeight="1" s="194"/>
    <row r="401" ht="15.75" customHeight="1" s="194"/>
    <row r="402" ht="15.75" customHeight="1" s="194"/>
    <row r="403" ht="15.75" customHeight="1" s="194"/>
    <row r="404" ht="15.75" customHeight="1" s="194"/>
    <row r="405" ht="15.75" customHeight="1" s="194"/>
    <row r="406" ht="15.75" customHeight="1" s="194"/>
    <row r="407" ht="15.75" customHeight="1" s="194"/>
    <row r="408" ht="15.75" customHeight="1" s="194"/>
    <row r="409" ht="15.75" customHeight="1" s="194"/>
    <row r="410" ht="15.75" customHeight="1" s="194"/>
    <row r="411" ht="15.75" customHeight="1" s="194"/>
    <row r="412" ht="15.75" customHeight="1" s="194"/>
    <row r="413" ht="15.75" customHeight="1" s="194"/>
    <row r="414" ht="15.75" customHeight="1" s="194"/>
    <row r="415" ht="15.75" customHeight="1" s="194"/>
    <row r="416" ht="15.75" customHeight="1" s="194"/>
    <row r="417" ht="15.75" customHeight="1" s="194"/>
    <row r="418" ht="15.75" customHeight="1" s="194"/>
    <row r="419" ht="15.75" customHeight="1" s="194"/>
    <row r="420" ht="15.75" customHeight="1" s="194"/>
    <row r="421" ht="15.75" customHeight="1" s="194"/>
    <row r="422" ht="15.75" customHeight="1" s="194"/>
    <row r="423" ht="15.75" customHeight="1" s="194"/>
    <row r="424" ht="15.75" customHeight="1" s="194"/>
    <row r="425" ht="15.75" customHeight="1" s="194"/>
    <row r="426" ht="15.75" customHeight="1" s="194"/>
    <row r="427" ht="15.75" customHeight="1" s="194"/>
    <row r="428" ht="15.75" customHeight="1" s="194"/>
    <row r="429" ht="15.75" customHeight="1" s="194"/>
    <row r="430" ht="15.75" customHeight="1" s="194"/>
    <row r="431" ht="15.75" customHeight="1" s="194"/>
    <row r="432" ht="15.75" customHeight="1" s="194"/>
    <row r="433" ht="15.75" customHeight="1" s="194"/>
    <row r="434" ht="15.75" customHeight="1" s="194"/>
    <row r="435" ht="15.75" customHeight="1" s="194"/>
    <row r="436" ht="15.75" customHeight="1" s="194"/>
    <row r="437" ht="15.75" customHeight="1" s="194"/>
    <row r="438" ht="15.75" customHeight="1" s="194"/>
    <row r="439" ht="15.75" customHeight="1" s="194"/>
    <row r="440" ht="15.75" customHeight="1" s="194"/>
    <row r="441" ht="15.75" customHeight="1" s="194"/>
    <row r="442" ht="15.75" customHeight="1" s="194"/>
    <row r="443" ht="15.75" customHeight="1" s="194"/>
    <row r="444" ht="15.75" customHeight="1" s="194"/>
    <row r="445" ht="15.75" customHeight="1" s="194"/>
    <row r="446" ht="15.75" customHeight="1" s="194"/>
    <row r="447" ht="15.75" customHeight="1" s="194"/>
    <row r="448" ht="15.75" customHeight="1" s="194"/>
    <row r="449" ht="15.75" customHeight="1" s="194"/>
    <row r="450" ht="15.75" customHeight="1" s="194"/>
    <row r="451" ht="15.75" customHeight="1" s="194"/>
    <row r="452" ht="15.75" customHeight="1" s="194"/>
    <row r="453" ht="15.75" customHeight="1" s="194"/>
    <row r="454" ht="15.75" customHeight="1" s="194"/>
    <row r="455" ht="15.75" customHeight="1" s="194"/>
    <row r="456" ht="15.75" customHeight="1" s="194"/>
    <row r="457" ht="15.75" customHeight="1" s="194"/>
    <row r="458" ht="15.75" customHeight="1" s="194"/>
    <row r="459" ht="15.75" customHeight="1" s="194"/>
    <row r="460" ht="15.75" customHeight="1" s="194"/>
    <row r="461" ht="15.75" customHeight="1" s="194"/>
    <row r="462" ht="15.75" customHeight="1" s="194"/>
    <row r="463" ht="15.75" customHeight="1" s="194"/>
    <row r="464" ht="15.75" customHeight="1" s="194"/>
    <row r="465" ht="15.75" customHeight="1" s="194"/>
    <row r="466" ht="15.75" customHeight="1" s="194"/>
    <row r="467" ht="15.75" customHeight="1" s="194"/>
    <row r="468" ht="15.75" customHeight="1" s="194"/>
    <row r="469" ht="15.75" customHeight="1" s="194"/>
    <row r="470" ht="15.75" customHeight="1" s="194"/>
    <row r="471" ht="15.75" customHeight="1" s="194"/>
    <row r="472" ht="15.75" customHeight="1" s="194"/>
    <row r="473" ht="15.75" customHeight="1" s="194"/>
    <row r="474" ht="15.75" customHeight="1" s="194"/>
    <row r="475" ht="15.75" customHeight="1" s="194"/>
    <row r="476" ht="15.75" customHeight="1" s="194"/>
    <row r="477" ht="15.75" customHeight="1" s="194"/>
    <row r="478" ht="15.75" customHeight="1" s="194"/>
    <row r="479" ht="15.75" customHeight="1" s="194"/>
    <row r="480" ht="15.75" customHeight="1" s="194"/>
    <row r="481" ht="15.75" customHeight="1" s="194"/>
    <row r="482" ht="15.75" customHeight="1" s="194"/>
    <row r="483" ht="15.75" customHeight="1" s="194"/>
    <row r="484" ht="15.75" customHeight="1" s="194"/>
    <row r="485" ht="15.75" customHeight="1" s="194"/>
    <row r="486" ht="15.75" customHeight="1" s="194"/>
    <row r="487" ht="15.75" customHeight="1" s="194"/>
    <row r="488" ht="15.75" customHeight="1" s="194"/>
    <row r="489" ht="15.75" customHeight="1" s="194"/>
    <row r="490" ht="15.75" customHeight="1" s="194"/>
    <row r="491" ht="15.75" customHeight="1" s="194"/>
    <row r="492" ht="15.75" customHeight="1" s="194"/>
    <row r="493" ht="15.75" customHeight="1" s="194"/>
    <row r="494" ht="15.75" customHeight="1" s="194"/>
    <row r="495" ht="15.75" customHeight="1" s="194"/>
    <row r="496" ht="15.75" customHeight="1" s="194"/>
    <row r="497" ht="15.75" customHeight="1" s="194"/>
    <row r="498" ht="15.75" customHeight="1" s="194"/>
    <row r="499" ht="15.75" customHeight="1" s="194"/>
    <row r="500" ht="15.75" customHeight="1" s="194"/>
    <row r="501" ht="15.75" customHeight="1" s="194"/>
    <row r="502" ht="15.75" customHeight="1" s="194"/>
    <row r="503" ht="15.75" customHeight="1" s="194"/>
    <row r="504" ht="15.75" customHeight="1" s="194"/>
    <row r="505" ht="15.75" customHeight="1" s="194"/>
    <row r="506" ht="15.75" customHeight="1" s="194"/>
    <row r="507" ht="15.75" customHeight="1" s="194"/>
    <row r="508" ht="15.75" customHeight="1" s="194"/>
    <row r="509" ht="15.75" customHeight="1" s="194"/>
    <row r="510" ht="15.75" customHeight="1" s="194"/>
    <row r="511" ht="15.75" customHeight="1" s="194"/>
    <row r="512" ht="15.75" customHeight="1" s="194"/>
    <row r="513" ht="15.75" customHeight="1" s="194"/>
    <row r="514" ht="15.75" customHeight="1" s="194"/>
    <row r="515" ht="15.75" customHeight="1" s="194"/>
    <row r="516" ht="15.75" customHeight="1" s="194"/>
    <row r="517" ht="15.75" customHeight="1" s="194"/>
    <row r="518" ht="15.75" customHeight="1" s="194"/>
    <row r="519" ht="15.75" customHeight="1" s="194"/>
    <row r="520" ht="15.75" customHeight="1" s="194"/>
    <row r="521" ht="15.75" customHeight="1" s="194"/>
    <row r="522" ht="15.75" customHeight="1" s="194"/>
    <row r="523" ht="15.75" customHeight="1" s="194"/>
    <row r="524" ht="15.75" customHeight="1" s="194"/>
    <row r="525" ht="15.75" customHeight="1" s="194"/>
    <row r="526" ht="15.75" customHeight="1" s="194"/>
    <row r="527" ht="15.75" customHeight="1" s="194"/>
    <row r="528" ht="15.75" customHeight="1" s="194"/>
    <row r="529" ht="15.75" customHeight="1" s="194"/>
    <row r="530" ht="15.75" customHeight="1" s="194"/>
    <row r="531" ht="15.75" customHeight="1" s="194"/>
    <row r="532" ht="15.75" customHeight="1" s="194"/>
    <row r="533" ht="15.75" customHeight="1" s="194"/>
    <row r="534" ht="15.75" customHeight="1" s="194"/>
    <row r="535" ht="15.75" customHeight="1" s="194"/>
    <row r="536" ht="15.75" customHeight="1" s="194"/>
    <row r="537" ht="15.75" customHeight="1" s="194"/>
    <row r="538" ht="15.75" customHeight="1" s="194"/>
    <row r="539" ht="15.75" customHeight="1" s="194"/>
    <row r="540" ht="15.75" customHeight="1" s="194"/>
    <row r="541" ht="15.75" customHeight="1" s="194"/>
    <row r="542" ht="15.75" customHeight="1" s="194"/>
    <row r="543" ht="15.75" customHeight="1" s="194"/>
    <row r="544" ht="15.75" customHeight="1" s="194"/>
    <row r="545" ht="15.75" customHeight="1" s="194"/>
    <row r="546" ht="15.75" customHeight="1" s="194"/>
    <row r="547" ht="15.75" customHeight="1" s="194"/>
    <row r="548" ht="15.75" customHeight="1" s="194"/>
    <row r="549" ht="15.75" customHeight="1" s="194"/>
    <row r="550" ht="15.75" customHeight="1" s="194"/>
    <row r="551" ht="15.75" customHeight="1" s="194"/>
    <row r="552" ht="15.75" customHeight="1" s="194"/>
    <row r="553" ht="15.75" customHeight="1" s="194"/>
    <row r="554" ht="15.75" customHeight="1" s="194"/>
    <row r="555" ht="15.75" customHeight="1" s="194"/>
    <row r="556" ht="15.75" customHeight="1" s="194"/>
    <row r="557" ht="15.75" customHeight="1" s="194"/>
    <row r="558" ht="15.75" customHeight="1" s="194"/>
    <row r="559" ht="15.75" customHeight="1" s="194"/>
    <row r="560" ht="15.75" customHeight="1" s="194"/>
    <row r="561" ht="15.75" customHeight="1" s="194"/>
    <row r="562" ht="15.75" customHeight="1" s="194"/>
    <row r="563" ht="15.75" customHeight="1" s="194"/>
    <row r="564" ht="15.75" customHeight="1" s="194"/>
    <row r="565" ht="15.75" customHeight="1" s="194"/>
    <row r="566" ht="15.75" customHeight="1" s="194"/>
    <row r="567" ht="15.75" customHeight="1" s="194"/>
    <row r="568" ht="15.75" customHeight="1" s="194"/>
    <row r="569" ht="15.75" customHeight="1" s="194"/>
    <row r="570" ht="15.75" customHeight="1" s="194"/>
    <row r="571" ht="15.75" customHeight="1" s="194"/>
    <row r="572" ht="15.75" customHeight="1" s="194"/>
    <row r="573" ht="15.75" customHeight="1" s="194"/>
    <row r="574" ht="15.75" customHeight="1" s="194"/>
    <row r="575" ht="15.75" customHeight="1" s="194"/>
    <row r="576" ht="15.75" customHeight="1" s="194"/>
    <row r="577" ht="15.75" customHeight="1" s="194"/>
    <row r="578" ht="15.75" customHeight="1" s="194"/>
    <row r="579" ht="15.75" customHeight="1" s="194"/>
    <row r="580" ht="15.75" customHeight="1" s="194"/>
    <row r="581" ht="15.75" customHeight="1" s="194"/>
    <row r="582" ht="15.75" customHeight="1" s="194"/>
    <row r="583" ht="15.75" customHeight="1" s="194"/>
    <row r="584" ht="15.75" customHeight="1" s="194"/>
    <row r="585" ht="15.75" customHeight="1" s="194"/>
    <row r="586" ht="15.75" customHeight="1" s="194"/>
    <row r="587" ht="15.75" customHeight="1" s="194"/>
    <row r="588" ht="15.75" customHeight="1" s="194"/>
    <row r="589" ht="15.75" customHeight="1" s="194"/>
    <row r="590" ht="15.75" customHeight="1" s="194"/>
    <row r="591" ht="15.75" customHeight="1" s="194"/>
    <row r="592" ht="15.75" customHeight="1" s="194"/>
    <row r="593" ht="15.75" customHeight="1" s="194"/>
    <row r="594" ht="15.75" customHeight="1" s="194"/>
    <row r="595" ht="15.75" customHeight="1" s="194"/>
    <row r="596" ht="15.75" customHeight="1" s="194"/>
    <row r="597" ht="15.75" customHeight="1" s="194"/>
    <row r="598" ht="15.75" customHeight="1" s="194"/>
    <row r="599" ht="15.75" customHeight="1" s="194"/>
    <row r="600" ht="15.75" customHeight="1" s="194"/>
    <row r="601" ht="15.75" customHeight="1" s="194"/>
    <row r="602" ht="15.75" customHeight="1" s="194"/>
    <row r="603" ht="15.75" customHeight="1" s="194"/>
    <row r="604" ht="15.75" customHeight="1" s="194"/>
    <row r="605" ht="15.75" customHeight="1" s="194"/>
    <row r="606" ht="15.75" customHeight="1" s="194"/>
    <row r="607" ht="15.75" customHeight="1" s="194"/>
    <row r="608" ht="15.75" customHeight="1" s="194"/>
    <row r="609" ht="15.75" customHeight="1" s="194"/>
    <row r="610" ht="15.75" customHeight="1" s="194"/>
    <row r="611" ht="15.75" customHeight="1" s="194"/>
    <row r="612" ht="15.75" customHeight="1" s="194"/>
    <row r="613" ht="15.75" customHeight="1" s="194"/>
    <row r="614" ht="15.75" customHeight="1" s="194"/>
    <row r="615" ht="15.75" customHeight="1" s="194"/>
    <row r="616" ht="15.75" customHeight="1" s="194"/>
    <row r="617" ht="15.75" customHeight="1" s="194"/>
    <row r="618" ht="15.75" customHeight="1" s="194"/>
    <row r="619" ht="15.75" customHeight="1" s="194"/>
    <row r="620" ht="15.75" customHeight="1" s="194"/>
    <row r="621" ht="15.75" customHeight="1" s="194"/>
    <row r="622" ht="15.75" customHeight="1" s="194"/>
    <row r="623" ht="15.75" customHeight="1" s="194"/>
    <row r="624" ht="15.75" customHeight="1" s="194"/>
    <row r="625" ht="15.75" customHeight="1" s="194"/>
    <row r="626" ht="15.75" customHeight="1" s="194"/>
    <row r="627" ht="15.75" customHeight="1" s="194"/>
    <row r="628" ht="15.75" customHeight="1" s="194"/>
    <row r="629" ht="15.75" customHeight="1" s="194"/>
    <row r="630" ht="15.75" customHeight="1" s="194"/>
    <row r="631" ht="15.75" customHeight="1" s="194"/>
    <row r="632" ht="15.75" customHeight="1" s="194"/>
    <row r="633" ht="15.75" customHeight="1" s="194"/>
    <row r="634" ht="15.75" customHeight="1" s="194"/>
    <row r="635" ht="15.75" customHeight="1" s="194"/>
    <row r="636" ht="15.75" customHeight="1" s="194"/>
    <row r="637" ht="15.75" customHeight="1" s="194"/>
    <row r="638" ht="15.75" customHeight="1" s="194"/>
    <row r="639" ht="15.75" customHeight="1" s="194"/>
    <row r="640" ht="15.75" customHeight="1" s="194"/>
    <row r="641" ht="15.75" customHeight="1" s="194"/>
    <row r="642" ht="15.75" customHeight="1" s="194"/>
    <row r="643" ht="15.75" customHeight="1" s="194"/>
    <row r="644" ht="15.75" customHeight="1" s="194"/>
    <row r="645" ht="15.75" customHeight="1" s="194"/>
    <row r="646" ht="15.75" customHeight="1" s="194"/>
    <row r="647" ht="15.75" customHeight="1" s="194"/>
    <row r="648" ht="15.75" customHeight="1" s="194"/>
    <row r="649" ht="15.75" customHeight="1" s="194"/>
    <row r="650" ht="15.75" customHeight="1" s="194"/>
    <row r="651" ht="15.75" customHeight="1" s="194"/>
    <row r="652" ht="15.75" customHeight="1" s="194"/>
    <row r="653" ht="15.75" customHeight="1" s="194"/>
    <row r="654" ht="15.75" customHeight="1" s="194"/>
    <row r="655" ht="15.75" customHeight="1" s="194"/>
    <row r="656" ht="15.75" customHeight="1" s="194"/>
    <row r="657" ht="15.75" customHeight="1" s="194"/>
    <row r="658" ht="15.75" customHeight="1" s="194"/>
    <row r="659" ht="15.75" customHeight="1" s="194"/>
    <row r="660" ht="15.75" customHeight="1" s="194"/>
    <row r="661" ht="15.75" customHeight="1" s="194"/>
    <row r="662" ht="15.75" customHeight="1" s="194"/>
    <row r="663" ht="15.75" customHeight="1" s="194"/>
    <row r="664" ht="15.75" customHeight="1" s="194"/>
    <row r="665" ht="15.75" customHeight="1" s="194"/>
    <row r="666" ht="15.75" customHeight="1" s="194"/>
    <row r="667" ht="15.75" customHeight="1" s="194"/>
    <row r="668" ht="15.75" customHeight="1" s="194"/>
    <row r="669" ht="15.75" customHeight="1" s="194"/>
    <row r="670" ht="15.75" customHeight="1" s="194"/>
    <row r="671" ht="15.75" customHeight="1" s="194"/>
    <row r="672" ht="15.75" customHeight="1" s="194"/>
    <row r="673" ht="15.75" customHeight="1" s="194"/>
    <row r="674" ht="15.75" customHeight="1" s="194"/>
    <row r="675" ht="15.75" customHeight="1" s="194"/>
    <row r="676" ht="15.75" customHeight="1" s="194"/>
    <row r="677" ht="15.75" customHeight="1" s="194"/>
    <row r="678" ht="15.75" customHeight="1" s="194"/>
    <row r="679" ht="15.75" customHeight="1" s="194"/>
    <row r="680" ht="15.75" customHeight="1" s="194"/>
    <row r="681" ht="15.75" customHeight="1" s="194"/>
    <row r="682" ht="15.75" customHeight="1" s="194"/>
    <row r="683" ht="15.75" customHeight="1" s="194"/>
    <row r="684" ht="15.75" customHeight="1" s="194"/>
    <row r="685" ht="15.75" customHeight="1" s="194"/>
    <row r="686" ht="15.75" customHeight="1" s="194"/>
    <row r="687" ht="15.75" customHeight="1" s="194"/>
    <row r="688" ht="15.75" customHeight="1" s="194"/>
    <row r="689" ht="15.75" customHeight="1" s="194"/>
    <row r="690" ht="15.75" customHeight="1" s="194"/>
    <row r="691" ht="15.75" customHeight="1" s="194"/>
    <row r="692" ht="15.75" customHeight="1" s="194"/>
    <row r="693" ht="15.75" customHeight="1" s="194"/>
    <row r="694" ht="15.75" customHeight="1" s="194"/>
    <row r="695" ht="15.75" customHeight="1" s="194"/>
    <row r="696" ht="15.75" customHeight="1" s="194"/>
    <row r="697" ht="15.75" customHeight="1" s="194"/>
    <row r="698" ht="15.75" customHeight="1" s="194"/>
    <row r="699" ht="15.75" customHeight="1" s="194"/>
    <row r="700" ht="15.75" customHeight="1" s="194"/>
    <row r="701" ht="15.75" customHeight="1" s="194"/>
    <row r="702" ht="15.75" customHeight="1" s="194"/>
    <row r="703" ht="15.75" customHeight="1" s="194"/>
    <row r="704" ht="15.75" customHeight="1" s="194"/>
    <row r="705" ht="15.75" customHeight="1" s="194"/>
    <row r="706" ht="15.75" customHeight="1" s="194"/>
    <row r="707" ht="15.75" customHeight="1" s="194"/>
    <row r="708" ht="15.75" customHeight="1" s="194"/>
    <row r="709" ht="15.75" customHeight="1" s="194"/>
    <row r="710" ht="15.75" customHeight="1" s="194"/>
    <row r="711" ht="15.75" customHeight="1" s="194"/>
    <row r="712" ht="15.75" customHeight="1" s="194"/>
    <row r="713" ht="15.75" customHeight="1" s="194"/>
    <row r="714" ht="15.75" customHeight="1" s="194"/>
    <row r="715" ht="15.75" customHeight="1" s="194"/>
    <row r="716" ht="15.75" customHeight="1" s="194"/>
    <row r="717" ht="15.75" customHeight="1" s="194"/>
    <row r="718" ht="15.75" customHeight="1" s="194"/>
    <row r="719" ht="15.75" customHeight="1" s="194"/>
    <row r="720" ht="15.75" customHeight="1" s="194"/>
    <row r="721" ht="15.75" customHeight="1" s="194"/>
    <row r="722" ht="15.75" customHeight="1" s="194"/>
    <row r="723" ht="15.75" customHeight="1" s="194"/>
    <row r="724" ht="15.75" customHeight="1" s="194"/>
    <row r="725" ht="15.75" customHeight="1" s="194"/>
    <row r="726" ht="15.75" customHeight="1" s="194"/>
    <row r="727" ht="15.75" customHeight="1" s="194"/>
    <row r="728" ht="15.75" customHeight="1" s="194"/>
    <row r="729" ht="15.75" customHeight="1" s="194"/>
    <row r="730" ht="15.75" customHeight="1" s="194"/>
    <row r="731" ht="15.75" customHeight="1" s="194"/>
    <row r="732" ht="15.75" customHeight="1" s="194"/>
    <row r="733" ht="15.75" customHeight="1" s="194"/>
    <row r="734" ht="15.75" customHeight="1" s="194"/>
    <row r="735" ht="15.75" customHeight="1" s="194"/>
    <row r="736" ht="15.75" customHeight="1" s="194"/>
    <row r="737" ht="15.75" customHeight="1" s="194"/>
    <row r="738" ht="15.75" customHeight="1" s="194"/>
    <row r="739" ht="15.75" customHeight="1" s="194"/>
    <row r="740" ht="15.75" customHeight="1" s="194"/>
    <row r="741" ht="15.75" customHeight="1" s="194"/>
    <row r="742" ht="15.75" customHeight="1" s="194"/>
    <row r="743" ht="15.75" customHeight="1" s="194"/>
    <row r="744" ht="15.75" customHeight="1" s="194"/>
    <row r="745" ht="15.75" customHeight="1" s="194"/>
    <row r="746" ht="15.75" customHeight="1" s="194"/>
    <row r="747" ht="15.75" customHeight="1" s="194"/>
    <row r="748" ht="15.75" customHeight="1" s="194"/>
    <row r="749" ht="15.75" customHeight="1" s="194"/>
    <row r="750" ht="15.75" customHeight="1" s="194"/>
    <row r="751" ht="15.75" customHeight="1" s="194"/>
    <row r="752" ht="15.75" customHeight="1" s="194"/>
    <row r="753" ht="15.75" customHeight="1" s="194"/>
    <row r="754" ht="15.75" customHeight="1" s="194"/>
    <row r="755" ht="15.75" customHeight="1" s="194"/>
    <row r="756" ht="15.75" customHeight="1" s="194"/>
    <row r="757" ht="15.75" customHeight="1" s="194"/>
    <row r="758" ht="15.75" customHeight="1" s="194"/>
    <row r="759" ht="15.75" customHeight="1" s="194"/>
    <row r="760" ht="15.75" customHeight="1" s="194"/>
    <row r="761" ht="15.75" customHeight="1" s="194"/>
    <row r="762" ht="15.75" customHeight="1" s="194"/>
    <row r="763" ht="15.75" customHeight="1" s="194"/>
    <row r="764" ht="15.75" customHeight="1" s="194"/>
    <row r="765" ht="15.75" customHeight="1" s="194"/>
    <row r="766" ht="15.75" customHeight="1" s="194"/>
    <row r="767" ht="15.75" customHeight="1" s="194"/>
    <row r="768" ht="15.75" customHeight="1" s="194"/>
    <row r="769" ht="15.75" customHeight="1" s="194"/>
    <row r="770" ht="15.75" customHeight="1" s="194"/>
    <row r="771" ht="15.75" customHeight="1" s="194"/>
    <row r="772" ht="15.75" customHeight="1" s="194"/>
    <row r="773" ht="15.75" customHeight="1" s="194"/>
    <row r="774" ht="15.75" customHeight="1" s="194"/>
    <row r="775" ht="15.75" customHeight="1" s="194"/>
    <row r="776" ht="15.75" customHeight="1" s="194"/>
    <row r="777" ht="15.75" customHeight="1" s="194"/>
    <row r="778" ht="15.75" customHeight="1" s="194"/>
    <row r="779" ht="15.75" customHeight="1" s="194"/>
    <row r="780" ht="15.75" customHeight="1" s="194"/>
    <row r="781" ht="15.75" customHeight="1" s="194"/>
    <row r="782" ht="15.75" customHeight="1" s="194"/>
    <row r="783" ht="15.75" customHeight="1" s="194"/>
    <row r="784" ht="15.75" customHeight="1" s="194"/>
    <row r="785" ht="15.75" customHeight="1" s="194"/>
    <row r="786" ht="15.75" customHeight="1" s="194"/>
    <row r="787" ht="15.75" customHeight="1" s="194"/>
    <row r="788" ht="15.75" customHeight="1" s="194"/>
    <row r="789" ht="15.75" customHeight="1" s="194"/>
    <row r="790" ht="15.75" customHeight="1" s="194"/>
    <row r="791" ht="15.75" customHeight="1" s="194"/>
    <row r="792" ht="15.75" customHeight="1" s="194"/>
    <row r="793" ht="15.75" customHeight="1" s="194"/>
    <row r="794" ht="15.75" customHeight="1" s="194"/>
    <row r="795" ht="15.75" customHeight="1" s="194"/>
    <row r="796" ht="15.75" customHeight="1" s="194"/>
    <row r="797" ht="15.75" customHeight="1" s="194"/>
    <row r="798" ht="15.75" customHeight="1" s="194"/>
    <row r="799" ht="15.75" customHeight="1" s="194"/>
    <row r="800" ht="15.75" customHeight="1" s="194"/>
    <row r="801" ht="15.75" customHeight="1" s="194"/>
    <row r="802" ht="15.75" customHeight="1" s="194"/>
    <row r="803" ht="15.75" customHeight="1" s="194"/>
    <row r="804" ht="15.75" customHeight="1" s="194"/>
    <row r="805" ht="15.75" customHeight="1" s="194"/>
    <row r="806" ht="15.75" customHeight="1" s="194"/>
    <row r="807" ht="15.75" customHeight="1" s="194"/>
    <row r="808" ht="15.75" customHeight="1" s="194"/>
    <row r="809" ht="15.75" customHeight="1" s="194"/>
    <row r="810" ht="15.75" customHeight="1" s="194"/>
    <row r="811" ht="15.75" customHeight="1" s="194"/>
    <row r="812" ht="15.75" customHeight="1" s="194"/>
    <row r="813" ht="15.75" customHeight="1" s="194"/>
    <row r="814" ht="15.75" customHeight="1" s="194"/>
    <row r="815" ht="15.75" customHeight="1" s="194"/>
    <row r="816" ht="15.75" customHeight="1" s="194"/>
    <row r="817" ht="15.75" customHeight="1" s="194"/>
    <row r="818" ht="15.75" customHeight="1" s="194"/>
    <row r="819" ht="15.75" customHeight="1" s="194"/>
    <row r="820" ht="15.75" customHeight="1" s="194"/>
    <row r="821" ht="15.75" customHeight="1" s="194"/>
    <row r="822" ht="15.75" customHeight="1" s="194"/>
    <row r="823" ht="15.75" customHeight="1" s="194"/>
    <row r="824" ht="15.75" customHeight="1" s="194"/>
    <row r="825" ht="15.75" customHeight="1" s="194"/>
    <row r="826" ht="15.75" customHeight="1" s="194"/>
    <row r="827" ht="15.75" customHeight="1" s="194"/>
    <row r="828" ht="15.75" customHeight="1" s="194"/>
    <row r="829" ht="15.75" customHeight="1" s="194"/>
    <row r="830" ht="15.75" customHeight="1" s="194"/>
    <row r="831" ht="15.75" customHeight="1" s="194"/>
    <row r="832" ht="15.75" customHeight="1" s="194"/>
    <row r="833" ht="15.75" customHeight="1" s="194"/>
    <row r="834" ht="15.75" customHeight="1" s="194"/>
    <row r="835" ht="15.75" customHeight="1" s="194"/>
    <row r="836" ht="15.75" customHeight="1" s="194"/>
    <row r="837" ht="15.75" customHeight="1" s="194"/>
    <row r="838" ht="15.75" customHeight="1" s="194"/>
    <row r="839" ht="15.75" customHeight="1" s="194"/>
    <row r="840" ht="15.75" customHeight="1" s="194"/>
    <row r="841" ht="15.75" customHeight="1" s="194"/>
    <row r="842" ht="15.75" customHeight="1" s="194"/>
    <row r="843" ht="15.75" customHeight="1" s="194"/>
    <row r="844" ht="15.75" customHeight="1" s="194"/>
    <row r="845" ht="15.75" customHeight="1" s="194"/>
    <row r="846" ht="15.75" customHeight="1" s="194"/>
    <row r="847" ht="15.75" customHeight="1" s="194"/>
    <row r="848" ht="15.75" customHeight="1" s="194"/>
    <row r="849" ht="15.75" customHeight="1" s="194"/>
    <row r="850" ht="15.75" customHeight="1" s="194"/>
    <row r="851" ht="15.75" customHeight="1" s="194"/>
    <row r="852" ht="15.75" customHeight="1" s="194"/>
    <row r="853" ht="15.75" customHeight="1" s="194"/>
    <row r="854" ht="15.75" customHeight="1" s="194"/>
    <row r="855" ht="15.75" customHeight="1" s="194"/>
    <row r="856" ht="15.75" customHeight="1" s="194"/>
    <row r="857" ht="15.75" customHeight="1" s="194"/>
    <row r="858" ht="15.75" customHeight="1" s="194"/>
    <row r="859" ht="15.75" customHeight="1" s="194"/>
    <row r="860" ht="15.75" customHeight="1" s="194"/>
    <row r="861" ht="15.75" customHeight="1" s="194"/>
    <row r="862" ht="15.75" customHeight="1" s="194"/>
    <row r="863" ht="15.75" customHeight="1" s="194"/>
    <row r="864" ht="15.75" customHeight="1" s="194"/>
    <row r="865" ht="15.75" customHeight="1" s="194"/>
    <row r="866" ht="15.75" customHeight="1" s="194"/>
    <row r="867" ht="15.75" customHeight="1" s="194"/>
    <row r="868" ht="15.75" customHeight="1" s="194"/>
    <row r="869" ht="15.75" customHeight="1" s="194"/>
    <row r="870" ht="15.75" customHeight="1" s="194"/>
    <row r="871" ht="15.75" customHeight="1" s="194"/>
    <row r="872" ht="15.75" customHeight="1" s="194"/>
    <row r="873" ht="15.75" customHeight="1" s="194"/>
    <row r="874" ht="15.75" customHeight="1" s="194"/>
    <row r="875" ht="15.75" customHeight="1" s="194"/>
    <row r="876" ht="15.75" customHeight="1" s="194"/>
    <row r="877" ht="15.75" customHeight="1" s="194"/>
    <row r="878" ht="15.75" customHeight="1" s="194"/>
    <row r="879" ht="15.75" customHeight="1" s="194"/>
    <row r="880" ht="15.75" customHeight="1" s="194"/>
    <row r="881" ht="15.75" customHeight="1" s="194"/>
    <row r="882" ht="15.75" customHeight="1" s="194"/>
    <row r="883" ht="15.75" customHeight="1" s="194"/>
    <row r="884" ht="15.75" customHeight="1" s="194"/>
    <row r="885" ht="15.75" customHeight="1" s="194"/>
    <row r="886" ht="15.75" customHeight="1" s="194"/>
    <row r="887" ht="15.75" customHeight="1" s="194"/>
    <row r="888" ht="15.75" customHeight="1" s="194"/>
    <row r="889" ht="15.75" customHeight="1" s="194"/>
    <row r="890" ht="15.75" customHeight="1" s="194"/>
    <row r="891" ht="15.75" customHeight="1" s="194"/>
    <row r="892" ht="15.75" customHeight="1" s="194"/>
    <row r="893" ht="15.75" customHeight="1" s="194"/>
    <row r="894" ht="15.75" customHeight="1" s="194"/>
    <row r="895" ht="15.75" customHeight="1" s="194"/>
    <row r="896" ht="15.75" customHeight="1" s="194"/>
    <row r="897" ht="15.75" customHeight="1" s="194"/>
    <row r="898" ht="15.75" customHeight="1" s="194"/>
    <row r="899" ht="15.75" customHeight="1" s="194"/>
    <row r="900" ht="15.75" customHeight="1" s="194"/>
    <row r="901" ht="15.75" customHeight="1" s="194"/>
    <row r="902" ht="15.75" customHeight="1" s="194"/>
    <row r="903" ht="15.75" customHeight="1" s="194"/>
    <row r="904" ht="15.75" customHeight="1" s="194"/>
    <row r="905" ht="15.75" customHeight="1" s="194"/>
    <row r="906" ht="15.75" customHeight="1" s="194"/>
    <row r="907" ht="15.75" customHeight="1" s="194"/>
    <row r="908" ht="15.75" customHeight="1" s="194"/>
    <row r="909" ht="15.75" customHeight="1" s="194"/>
    <row r="910" ht="15.75" customHeight="1" s="194"/>
    <row r="911" ht="15.75" customHeight="1" s="194"/>
    <row r="912" ht="15.75" customHeight="1" s="194"/>
    <row r="913" ht="15.75" customHeight="1" s="194"/>
    <row r="914" ht="15.75" customHeight="1" s="194"/>
    <row r="915" ht="15.75" customHeight="1" s="194"/>
    <row r="916" ht="15.75" customHeight="1" s="194"/>
    <row r="917" ht="15.75" customHeight="1" s="194"/>
    <row r="918" ht="15.75" customHeight="1" s="194"/>
    <row r="919" ht="15.75" customHeight="1" s="194"/>
    <row r="920" ht="15.75" customHeight="1" s="194"/>
    <row r="921" ht="15.75" customHeight="1" s="194"/>
    <row r="922" ht="15.75" customHeight="1" s="194"/>
    <row r="923" ht="15.75" customHeight="1" s="194"/>
    <row r="924" ht="15.75" customHeight="1" s="194"/>
    <row r="925" ht="15.75" customHeight="1" s="194"/>
    <row r="926" ht="15.75" customHeight="1" s="194"/>
    <row r="927" ht="15.75" customHeight="1" s="194"/>
    <row r="928" ht="15.75" customHeight="1" s="194"/>
    <row r="929" ht="15.75" customHeight="1" s="194"/>
    <row r="930" ht="15.75" customHeight="1" s="194"/>
    <row r="931" ht="15.75" customHeight="1" s="194"/>
    <row r="932" ht="15.75" customHeight="1" s="194"/>
    <row r="933" ht="15.75" customHeight="1" s="194"/>
    <row r="934" ht="15.75" customHeight="1" s="194"/>
    <row r="935" ht="15.75" customHeight="1" s="194"/>
    <row r="936" ht="15.75" customHeight="1" s="194"/>
    <row r="937" ht="15.75" customHeight="1" s="194"/>
    <row r="938" ht="15.75" customHeight="1" s="194"/>
    <row r="939" ht="15.75" customHeight="1" s="194"/>
    <row r="940" ht="15.75" customHeight="1" s="194"/>
    <row r="941" ht="15.75" customHeight="1" s="194"/>
    <row r="942" ht="15.75" customHeight="1" s="194"/>
    <row r="943" ht="15.75" customHeight="1" s="194"/>
    <row r="944" ht="15.75" customHeight="1" s="194"/>
    <row r="945" ht="15.75" customHeight="1" s="194"/>
    <row r="946" ht="15.75" customHeight="1" s="194"/>
    <row r="947" ht="15.75" customHeight="1" s="194"/>
    <row r="948" ht="15.75" customHeight="1" s="194"/>
    <row r="949" ht="15.75" customHeight="1" s="194"/>
    <row r="950" ht="15.75" customHeight="1" s="194"/>
    <row r="951" ht="15.75" customHeight="1" s="194"/>
    <row r="952" ht="15.75" customHeight="1" s="194"/>
    <row r="953" ht="15.75" customHeight="1" s="194"/>
    <row r="954" ht="15.75" customHeight="1" s="194"/>
    <row r="955" ht="15.75" customHeight="1" s="194"/>
    <row r="956" ht="15.75" customHeight="1" s="194"/>
    <row r="957" ht="15.75" customHeight="1" s="194"/>
    <row r="958" ht="15.75" customHeight="1" s="194"/>
    <row r="959" ht="15.75" customHeight="1" s="194"/>
    <row r="960" ht="15.75" customHeight="1" s="194"/>
    <row r="961" ht="15.75" customHeight="1" s="194"/>
    <row r="962" ht="15.75" customHeight="1" s="194"/>
    <row r="963" ht="15.75" customHeight="1" s="194"/>
    <row r="964" ht="15.75" customHeight="1" s="194"/>
    <row r="965" ht="15.75" customHeight="1" s="194"/>
    <row r="966" ht="15.75" customHeight="1" s="194"/>
    <row r="967" ht="15.75" customHeight="1" s="194"/>
    <row r="968" ht="15.75" customHeight="1" s="194"/>
    <row r="969" ht="15.75" customHeight="1" s="194"/>
    <row r="970" ht="15.75" customHeight="1" s="194"/>
    <row r="971" ht="15.75" customHeight="1" s="194"/>
    <row r="972" ht="15.75" customHeight="1" s="194"/>
    <row r="973" ht="15.75" customHeight="1" s="194"/>
    <row r="974" ht="15.75" customHeight="1" s="194"/>
    <row r="975" ht="15.75" customHeight="1" s="194"/>
    <row r="976" ht="15.75" customHeight="1" s="194"/>
    <row r="977" ht="15.75" customHeight="1" s="194"/>
    <row r="978" ht="15.75" customHeight="1" s="194"/>
    <row r="979" ht="15.75" customHeight="1" s="194"/>
    <row r="980" ht="15.75" customHeight="1" s="194"/>
    <row r="981" ht="15.75" customHeight="1" s="194"/>
    <row r="982" ht="15.75" customHeight="1" s="194"/>
    <row r="983" ht="15.75" customHeight="1" s="194"/>
    <row r="984" ht="15.75" customHeight="1" s="194"/>
    <row r="985" ht="15.75" customHeight="1" s="194"/>
    <row r="986" ht="15.75" customHeight="1" s="194"/>
    <row r="987" ht="15.75" customHeight="1" s="194"/>
    <row r="988" ht="15.75" customHeight="1" s="194"/>
    <row r="989" ht="15.75" customHeight="1" s="194"/>
    <row r="990" ht="15.75" customHeight="1" s="194"/>
    <row r="991" ht="15.75" customHeight="1" s="194"/>
    <row r="992" ht="15.75" customHeight="1" s="194"/>
    <row r="993" ht="15.75" customHeight="1" s="194"/>
    <row r="994" ht="15.75" customHeight="1" s="194"/>
    <row r="995" ht="15.75" customHeight="1" s="194"/>
    <row r="996" ht="15.75" customHeight="1" s="194"/>
    <row r="997" ht="15.75" customHeight="1" s="194"/>
    <row r="998" ht="15.75" customHeight="1" s="194"/>
    <row r="999" ht="15.75" customHeight="1" s="194"/>
    <row r="1000" ht="15.75" customHeight="1" s="194"/>
  </sheetData>
  <mergeCells count="57">
    <mergeCell ref="A69:O69"/>
    <mergeCell ref="E250:H250"/>
    <mergeCell ref="A232:H232"/>
    <mergeCell ref="A205:O205"/>
    <mergeCell ref="E237:H237"/>
    <mergeCell ref="A300:E300"/>
    <mergeCell ref="E256:H256"/>
    <mergeCell ref="B3:O3"/>
    <mergeCell ref="A260:K260"/>
    <mergeCell ref="A285:F285"/>
    <mergeCell ref="E243:H243"/>
    <mergeCell ref="E239:H239"/>
    <mergeCell ref="E246:H246"/>
    <mergeCell ref="A136:O136"/>
    <mergeCell ref="A154:O154"/>
    <mergeCell ref="E242:H242"/>
    <mergeCell ref="E255:H255"/>
    <mergeCell ref="E233:H233"/>
    <mergeCell ref="E251:H251"/>
    <mergeCell ref="A86:O86"/>
    <mergeCell ref="A179:O179"/>
    <mergeCell ref="A195:O195"/>
    <mergeCell ref="A42:O42"/>
    <mergeCell ref="E238:H238"/>
    <mergeCell ref="E258:H258"/>
    <mergeCell ref="A292:E292"/>
    <mergeCell ref="A5:O5"/>
    <mergeCell ref="A23:O23"/>
    <mergeCell ref="E248:H248"/>
    <mergeCell ref="A159:O159"/>
    <mergeCell ref="E235:H235"/>
    <mergeCell ref="A97:O97"/>
    <mergeCell ref="A206:O206"/>
    <mergeCell ref="A209:O209"/>
    <mergeCell ref="E247:H247"/>
    <mergeCell ref="E254:H254"/>
    <mergeCell ref="E234:H234"/>
    <mergeCell ref="A190:O190"/>
    <mergeCell ref="E253:H253"/>
    <mergeCell ref="E244:H244"/>
    <mergeCell ref="E240:H240"/>
    <mergeCell ref="A230:O230"/>
    <mergeCell ref="E236:H236"/>
    <mergeCell ref="A34:O34"/>
    <mergeCell ref="A92:O92"/>
    <mergeCell ref="A114:O114"/>
    <mergeCell ref="E249:H249"/>
    <mergeCell ref="E245:H245"/>
    <mergeCell ref="A191:O191"/>
    <mergeCell ref="A207:O207"/>
    <mergeCell ref="A49:O49"/>
    <mergeCell ref="E252:H252"/>
    <mergeCell ref="A1:O1"/>
    <mergeCell ref="A103:O103"/>
    <mergeCell ref="E241:H241"/>
    <mergeCell ref="E257:H257"/>
    <mergeCell ref="A61:O61"/>
  </mergeCells>
  <dataValidations count="20">
    <dataValidation sqref="D138:D150" showDropDown="0" showInputMessage="1" showErrorMessage="1" allowBlank="1" prompt="Выбери значение из списка - Свободный ввод не предусмотрен для этого поля." type="list">
      <formula1>"Да,Нет"</formula1>
    </dataValidation>
    <dataValidation sqref="B290" showDropDown="0" showInputMessage="1" showErrorMessage="1" allowBlank="1" prompt="Выбери значение из списка." type="list">
      <formula1>"Да,Нет"</formula1>
    </dataValidation>
    <dataValidation sqref="B9:B11 B16 B22 B106 B117:B118 B161:B163 B337:B339" showDropDown="0" showInputMessage="1" showErrorMessage="1" allowBlank="1" prompt="Количество - Введите неотрицательное число." type="decimal">
      <formula1>0.0</formula1>
      <formula2>100000.0</formula2>
    </dataValidation>
    <dataValidation sqref="B29 B31 B33 B82:B85 B173 B175 B177" showDropDown="0" showInputMessage="1" showErrorMessage="1" allowBlank="1" prompt="Номер месяца - От 1 (январь) до 12 (декабрь)." type="decimal">
      <formula1>1.0</formula1>
      <formula2>12.0</formula2>
    </dataValidation>
    <dataValidation sqref="B233" showDropDown="0" showInputMessage="1" showErrorMessage="1" allowBlank="1" prompt="Выбери значение из списка - Свободный ввод не предусмотрен для этого поля." type="list">
      <formula1>$A$198:$A$203</formula1>
    </dataValidation>
    <dataValidation sqref="C198:C203 E198:E203" showDropDown="0" showInputMessage="0" showErrorMessage="1" allowBlank="1" type="decimal" operator="greaterThanOrEqual">
      <formula1>0.0</formula1>
    </dataValidation>
    <dataValidation sqref="B234 B238:B239 B241 B294:B295 B322" showDropDown="0" showInputMessage="1" showErrorMessage="1" allowBlank="1" prompt="Учитывать сезон 25/26 - Да или Нет" type="list">
      <formula1>"Да,Нет"</formula1>
    </dataValidation>
    <dataValidation sqref="B296" showDropDown="0" showInputMessage="0" showErrorMessage="1" allowBlank="1" type="list">
      <formula1>"Новый сезон,Через 12 месяцев"</formula1>
    </dataValidation>
    <dataValidation sqref="B336" showDropDown="0" showInputMessage="1" showErrorMessage="1" allowBlank="1" prompt="Сумма в рублях - Введите сумму числом, без пробелов и знака рубля. Минус допустим: убыток и отток — тоже результат." type="decimal">
      <formula1>-1.0E12</formula1>
      <formula2>1.0E12</formula2>
    </dataValidation>
    <dataValidation sqref="B7 B81 B242 B244:B251 B255 B293" showDropDown="0" showInputMessage="1" showErrorMessage="1" allowBlank="1" prompt="Нужна дата - Введите дату между 2020 и 2040 годом." type="date">
      <formula1>DATE(2020,1,1)</formula1>
      <formula2>DATE(2040,12,31)</formula2>
    </dataValidation>
    <dataValidation sqref="B129" showDropDown="0" showInputMessage="1" showErrorMessage="1" allowBlank="1" prompt="Выбери значение из списка - Свободный ввод не предусмотрен для этого поля." type="list">
      <formula1>"ИП,Сотрудник"</formula1>
    </dataValidation>
    <dataValidation sqref="B192" showDropDown="0" showInputMessage="1" showErrorMessage="1" allowBlank="1" prompt="Только три сценария - Выберите негативный, базовый или позитивный." type="list">
      <formula1>"Негативный,Базовый,Позитивный"</formula1>
    </dataValidation>
    <dataValidation sqref="B252:B254 B256" showDropDown="0" showInputMessage="1" showErrorMessage="1" allowBlank="1" prompt="Выбери значение из списка - Свободный ввод не предусмотрен для этого поля." type="list">
      <formula1>"1,2,3,4,5,6,7,8,9,10,11,12"</formula1>
    </dataValidation>
    <dataValidation sqref="B188" showDropDown="0" showInputMessage="0" showErrorMessage="0" allowBlank="1" type="list">
      <formula1>"Без истории,С историей"</formula1>
    </dataValidation>
    <dataValidation sqref="B12:B13 B25 B55:B60 B72 B75:B76 B79 B116 B125 B128 B131 B156:B157 B169 B171:B172 B174 B176 B240 B286 B298" showDropDown="0" showInputMessage="1" showErrorMessage="1" allowBlank="1" prompt="Конверсия продажа - открытие - Долей: 0,065 = 6,5 %" type="decimal">
      <formula1>0.0</formula1>
      <formula2>1.0</formula2>
    </dataValidation>
    <dataValidation sqref="G198:G203" showDropDown="0" showInputMessage="0" showErrorMessage="1" allowBlank="1" type="decimal">
      <formula1>0.0</formula1>
      <formula2>0.99</formula2>
    </dataValidation>
    <dataValidation sqref="B225" showDropDown="0" showInputMessage="0" showErrorMessage="1" allowBlank="1" type="decimal">
      <formula1>0.0</formula1>
      <formula2>30.0</formula2>
    </dataValidation>
    <dataValidation sqref="B288" showDropDown="0" showInputMessage="1" showErrorMessage="1" allowBlank="1" prompt="Выбери значение из списка." type="list">
      <formula1>"С НДС,Без НДС"</formula1>
    </dataValidation>
    <dataValidation sqref="B17 B28 B30 B32 B71 B77:B78 B105 B107:B112 B119 B121:B124 B127 B133:B135 B164:B165 B167 B170 B237 B287" showDropDown="0" showInputMessage="1" showErrorMessage="1" allowBlank="1" prompt="Сумма в рублях - Введите сумму числом, без пробелов и знака рубля. Отрицательные суммы не принимаются." type="decimal" operator="greaterThanOrEqual">
      <formula1>0.0</formula1>
    </dataValidation>
    <dataValidation sqref="B8 B15 B19 B27 B80 B235 B243 B297 B310:B311" showDropDown="0" showInputMessage="1" showErrorMessage="1" allowBlank="1" prompt="Целое число - Срок задаётся целым числом, от 0 до 120." type="decimal">
      <formula1>0.0</formula1>
      <formula2>120.0</formula2>
    </dataValidation>
  </dataValidations>
  <hyperlinks>
    <hyperlink ref="G2" location="'09_Инструкция'!A1" display="#gid=561835286"/>
    <hyperlink ref="H2" location="'08_Проверки'!A1" display="#gid=724336794"/>
    <hyperlink ref="A4" location="'01_Вводные'!A190" display="#gid=322657005&amp;range=A190"/>
    <hyperlink ref="G4" location="'01_Вводные'!A190" display="#gid=322657005&amp;range=A190"/>
    <hyperlink ref="H4" location="'01_Вводные'!A260" display="#gid=322657005&amp;range=A260"/>
    <hyperlink ref="G6" location="'01_Вводные'!A232" display="#gid=322657005&amp;range=A232"/>
    <hyperlink ref="H6" location="'01_Вводные'!A285" display="#gid=322657005&amp;range=A285"/>
    <hyperlink ref="G8" location="'01_Вводные'!A309" display="#gid=322657005&amp;range=A309"/>
    <hyperlink ref="H8" location="'01_Вводные'!A321" display="#gid=322657005&amp;range=A321"/>
  </hyperlinks>
  <pageMargins left="0.75" right="0.75" top="1" bottom="1" header="0" footer="0"/>
  <pageSetup orientation="landscape" fitToHeight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BY59"/>
  <sheetViews>
    <sheetView showGridLines="0" workbookViewId="0">
      <pane xSplit="11" ySplit="5" topLeftCell="L6" activePane="bottomRight" state="frozen"/>
      <selection pane="topRight" activeCell="L1" sqref="L1"/>
      <selection pane="bottomLeft" activeCell="A6" sqref="A6"/>
      <selection pane="bottomRight" activeCell="L6" sqref="L6"/>
    </sheetView>
  </sheetViews>
  <sheetFormatPr baseColWidth="8" defaultColWidth="14.43" defaultRowHeight="15" customHeight="1" outlineLevelRow="1"/>
  <cols>
    <col width="5" customWidth="1" style="194" min="1" max="1"/>
    <col width="44" customWidth="1" style="194" min="2" max="2"/>
    <col width="5.71" customWidth="1" style="194" min="3" max="3"/>
    <col width="32.29" customWidth="1" style="194" min="4" max="4"/>
    <col width="15" customWidth="1" style="194" min="5" max="9"/>
    <col width="16" customWidth="1" style="194" min="10" max="10"/>
    <col width="3" customWidth="1" style="194" min="11" max="11"/>
    <col width="13" customWidth="1" style="194" min="12" max="71"/>
    <col hidden="1" width="13" customWidth="1" style="194" min="72" max="77"/>
  </cols>
  <sheetData>
    <row r="1">
      <c r="B1" s="1" t="inlineStr">
        <is>
          <t>Результат: БДР и БДДС</t>
        </is>
      </c>
    </row>
    <row r="2">
      <c r="B2" s="2" t="inlineStr">
        <is>
          <t>Начисления и деньги на одном листе, но в разных блоках. Слева итоги по годам, справа те же строки по месяцам.</t>
        </is>
      </c>
    </row>
    <row r="4" ht="25.5" customHeight="1" s="194">
      <c r="B4" s="4" t="inlineStr">
        <is>
          <t>Показатель</t>
        </is>
      </c>
      <c r="C4" s="4" t="inlineStr">
        <is>
          <t>Ед.</t>
        </is>
      </c>
      <c r="D4" s="4" t="inlineStr">
        <is>
          <t>Как считается</t>
        </is>
      </c>
      <c r="E4" s="4" t="inlineStr">
        <is>
          <t>Год 1</t>
        </is>
      </c>
      <c r="F4" s="4" t="inlineStr">
        <is>
          <t>Год 2</t>
        </is>
      </c>
      <c r="G4" s="4" t="inlineStr">
        <is>
          <t>Год 3</t>
        </is>
      </c>
      <c r="H4" s="4" t="inlineStr">
        <is>
          <t>Год 4</t>
        </is>
      </c>
      <c r="I4" s="4" t="inlineStr">
        <is>
          <t>Год 5</t>
        </is>
      </c>
      <c r="J4" s="4" t="inlineStr">
        <is>
          <t>Итого 5 лет</t>
        </is>
      </c>
      <c r="K4" s="4" t="n"/>
      <c r="L4" s="4" t="inlineStr">
        <is>
          <t>М1</t>
        </is>
      </c>
      <c r="M4" s="4" t="inlineStr">
        <is>
          <t>М2</t>
        </is>
      </c>
      <c r="N4" s="4" t="inlineStr">
        <is>
          <t>М3</t>
        </is>
      </c>
      <c r="O4" s="4" t="inlineStr">
        <is>
          <t>М4</t>
        </is>
      </c>
      <c r="P4" s="4" t="inlineStr">
        <is>
          <t>М5</t>
        </is>
      </c>
      <c r="Q4" s="4" t="inlineStr">
        <is>
          <t>М6</t>
        </is>
      </c>
      <c r="R4" s="4" t="inlineStr">
        <is>
          <t>М7</t>
        </is>
      </c>
      <c r="S4" s="4" t="inlineStr">
        <is>
          <t>М8</t>
        </is>
      </c>
      <c r="T4" s="4" t="inlineStr">
        <is>
          <t>М9</t>
        </is>
      </c>
      <c r="U4" s="4" t="inlineStr">
        <is>
          <t>М10</t>
        </is>
      </c>
      <c r="V4" s="4" t="inlineStr">
        <is>
          <t>М11</t>
        </is>
      </c>
      <c r="W4" s="4" t="inlineStr">
        <is>
          <t>М12</t>
        </is>
      </c>
      <c r="X4" s="4" t="inlineStr">
        <is>
          <t>М13</t>
        </is>
      </c>
      <c r="Y4" s="4" t="inlineStr">
        <is>
          <t>М14</t>
        </is>
      </c>
      <c r="Z4" s="4" t="inlineStr">
        <is>
          <t>М15</t>
        </is>
      </c>
      <c r="AA4" s="4" t="inlineStr">
        <is>
          <t>М16</t>
        </is>
      </c>
      <c r="AB4" s="4" t="inlineStr">
        <is>
          <t>М17</t>
        </is>
      </c>
      <c r="AC4" s="4" t="inlineStr">
        <is>
          <t>М18</t>
        </is>
      </c>
      <c r="AD4" s="4" t="inlineStr">
        <is>
          <t>М19</t>
        </is>
      </c>
      <c r="AE4" s="4" t="inlineStr">
        <is>
          <t>М20</t>
        </is>
      </c>
      <c r="AF4" s="4" t="inlineStr">
        <is>
          <t>М21</t>
        </is>
      </c>
      <c r="AG4" s="4" t="inlineStr">
        <is>
          <t>М22</t>
        </is>
      </c>
      <c r="AH4" s="4" t="inlineStr">
        <is>
          <t>М23</t>
        </is>
      </c>
      <c r="AI4" s="4" t="inlineStr">
        <is>
          <t>М24</t>
        </is>
      </c>
      <c r="AJ4" s="4" t="inlineStr">
        <is>
          <t>М25</t>
        </is>
      </c>
      <c r="AK4" s="4" t="inlineStr">
        <is>
          <t>М26</t>
        </is>
      </c>
      <c r="AL4" s="4" t="inlineStr">
        <is>
          <t>М27</t>
        </is>
      </c>
      <c r="AM4" s="4" t="inlineStr">
        <is>
          <t>М28</t>
        </is>
      </c>
      <c r="AN4" s="4" t="inlineStr">
        <is>
          <t>М29</t>
        </is>
      </c>
      <c r="AO4" s="4" t="inlineStr">
        <is>
          <t>М30</t>
        </is>
      </c>
      <c r="AP4" s="4" t="inlineStr">
        <is>
          <t>М31</t>
        </is>
      </c>
      <c r="AQ4" s="4" t="inlineStr">
        <is>
          <t>М32</t>
        </is>
      </c>
      <c r="AR4" s="4" t="inlineStr">
        <is>
          <t>М33</t>
        </is>
      </c>
      <c r="AS4" s="4" t="inlineStr">
        <is>
          <t>М34</t>
        </is>
      </c>
      <c r="AT4" s="4" t="inlineStr">
        <is>
          <t>М35</t>
        </is>
      </c>
      <c r="AU4" s="4" t="inlineStr">
        <is>
          <t>М36</t>
        </is>
      </c>
      <c r="AV4" s="4" t="inlineStr">
        <is>
          <t>М37</t>
        </is>
      </c>
      <c r="AW4" s="4" t="inlineStr">
        <is>
          <t>М38</t>
        </is>
      </c>
      <c r="AX4" s="4" t="inlineStr">
        <is>
          <t>М39</t>
        </is>
      </c>
      <c r="AY4" s="4" t="inlineStr">
        <is>
          <t>М40</t>
        </is>
      </c>
      <c r="AZ4" s="4" t="inlineStr">
        <is>
          <t>М41</t>
        </is>
      </c>
      <c r="BA4" s="4" t="inlineStr">
        <is>
          <t>М42</t>
        </is>
      </c>
      <c r="BB4" s="4" t="inlineStr">
        <is>
          <t>М43</t>
        </is>
      </c>
      <c r="BC4" s="4" t="inlineStr">
        <is>
          <t>М44</t>
        </is>
      </c>
      <c r="BD4" s="4" t="inlineStr">
        <is>
          <t>М45</t>
        </is>
      </c>
      <c r="BE4" s="4" t="inlineStr">
        <is>
          <t>М46</t>
        </is>
      </c>
      <c r="BF4" s="4" t="inlineStr">
        <is>
          <t>М47</t>
        </is>
      </c>
      <c r="BG4" s="4" t="inlineStr">
        <is>
          <t>М48</t>
        </is>
      </c>
      <c r="BH4" s="4" t="inlineStr">
        <is>
          <t>М49</t>
        </is>
      </c>
      <c r="BI4" s="4" t="inlineStr">
        <is>
          <t>М50</t>
        </is>
      </c>
      <c r="BJ4" s="4" t="inlineStr">
        <is>
          <t>М51</t>
        </is>
      </c>
      <c r="BK4" s="4" t="inlineStr">
        <is>
          <t>М52</t>
        </is>
      </c>
      <c r="BL4" s="4" t="inlineStr">
        <is>
          <t>М53</t>
        </is>
      </c>
      <c r="BM4" s="4" t="inlineStr">
        <is>
          <t>М54</t>
        </is>
      </c>
      <c r="BN4" s="4" t="inlineStr">
        <is>
          <t>М55</t>
        </is>
      </c>
      <c r="BO4" s="4" t="inlineStr">
        <is>
          <t>М56</t>
        </is>
      </c>
      <c r="BP4" s="4" t="inlineStr">
        <is>
          <t>М57</t>
        </is>
      </c>
      <c r="BQ4" s="4" t="inlineStr">
        <is>
          <t>М58</t>
        </is>
      </c>
      <c r="BR4" s="4" t="inlineStr">
        <is>
          <t>М59</t>
        </is>
      </c>
      <c r="BS4" s="4" t="inlineStr">
        <is>
          <t>М60</t>
        </is>
      </c>
      <c r="BT4" s="4" t="inlineStr">
        <is>
          <t>тех. 1</t>
        </is>
      </c>
      <c r="BU4" s="4" t="inlineStr">
        <is>
          <t>тех. 2</t>
        </is>
      </c>
      <c r="BV4" s="4" t="inlineStr">
        <is>
          <t>тех. 3</t>
        </is>
      </c>
      <c r="BW4" s="4" t="inlineStr">
        <is>
          <t>тех. 4</t>
        </is>
      </c>
      <c r="BX4" s="4" t="inlineStr">
        <is>
          <t>тех. 5</t>
        </is>
      </c>
      <c r="BY4" s="4" t="inlineStr">
        <is>
          <t>тех. 6</t>
        </is>
      </c>
    </row>
    <row r="5" ht="15.75" customHeight="1" s="194">
      <c r="E5" s="4">
        <f>TEXT(MONTH(DATE(YEAR(СтартМодели),MONTH(СтартМодели)+0,1)),"00")&amp;"."&amp;YEAR(DATE(YEAR(СтартМодели),MONTH(СтартМодели)+0,1))&amp;" – "&amp;TEXT(MONTH(DATE(YEAR(СтартМодели),MONTH(СтартМодели)+11,1)),"00")&amp;"."&amp;YEAR(DATE(YEAR(СтартМодели),MONTH(СтартМодели)+11,1))</f>
        <v/>
      </c>
      <c r="F5" s="4">
        <f>TEXT(MONTH(DATE(YEAR(СтартМодели),MONTH(СтартМодели)+12,1)),"00")&amp;"."&amp;YEAR(DATE(YEAR(СтартМодели),MONTH(СтартМодели)+12,1))&amp;" – "&amp;TEXT(MONTH(DATE(YEAR(СтартМодели),MONTH(СтартМодели)+23,1)),"00")&amp;"."&amp;YEAR(DATE(YEAR(СтартМодели),MONTH(СтартМодели)+23,1))</f>
        <v/>
      </c>
      <c r="G5" s="4">
        <f>TEXT(MONTH(DATE(YEAR(СтартМодели),MONTH(СтартМодели)+24,1)),"00")&amp;"."&amp;YEAR(DATE(YEAR(СтартМодели),MONTH(СтартМодели)+24,1))&amp;" – "&amp;TEXT(MONTH(DATE(YEAR(СтартМодели),MONTH(СтартМодели)+35,1)),"00")&amp;"."&amp;YEAR(DATE(YEAR(СтартМодели),MONTH(СтартМодели)+35,1))</f>
        <v/>
      </c>
      <c r="H5" s="4">
        <f>TEXT(MONTH(DATE(YEAR(СтартМодели),MONTH(СтартМодели)+36,1)),"00")&amp;"."&amp;YEAR(DATE(YEAR(СтартМодели),MONTH(СтартМодели)+36,1))&amp;" – "&amp;TEXT(MONTH(DATE(YEAR(СтартМодели),MONTH(СтартМодели)+47,1)),"00")&amp;"."&amp;YEAR(DATE(YEAR(СтартМодели),MONTH(СтартМодели)+47,1))</f>
        <v/>
      </c>
      <c r="I5" s="4">
        <f>TEXT(MONTH(DATE(YEAR(СтартМодели),MONTH(СтартМодели)+48,1)),"00")&amp;"."&amp;YEAR(DATE(YEAR(СтартМодели),MONTH(СтартМодели)+48,1))&amp;" – "&amp;TEXT(MONTH(DATE(YEAR(СтартМодели),MONTH(СтартМодели)+59,1)),"00")&amp;"."&amp;YEAR(DATE(YEAR(СтартМодели),MONTH(СтартМодели)+59,1))</f>
        <v/>
      </c>
      <c r="J5" s="4">
        <f>TEXT(MONTH(DATE(YEAR(СтартМодели),MONTH(СтартМодели)+0,1)),"00")&amp;"."&amp;YEAR(DATE(YEAR(СтартМодели),MONTH(СтартМодели)+0,1))&amp;" – "&amp;TEXT(MONTH(DATE(YEAR(СтартМодели),MONTH(СтартМодели)+59,1)),"00")&amp;"."&amp;YEAR(DATE(YEAR(СтартМодели),MONTH(СтартМодели)+59,1))</f>
        <v/>
      </c>
      <c r="K5" s="4" t="n"/>
      <c r="L5" s="32">
        <f>DATE(YEAR(СтартМодели),MONTH(СтартМодели)+1-1,1)</f>
        <v/>
      </c>
      <c r="M5" s="32">
        <f>DATE(YEAR(СтартМодели),MONTH(СтартМодели)+2-1,1)</f>
        <v/>
      </c>
      <c r="N5" s="32">
        <f>DATE(YEAR(СтартМодели),MONTH(СтартМодели)+3-1,1)</f>
        <v/>
      </c>
      <c r="O5" s="32">
        <f>DATE(YEAR(СтартМодели),MONTH(СтартМодели)+4-1,1)</f>
        <v/>
      </c>
      <c r="P5" s="32">
        <f>DATE(YEAR(СтартМодели),MONTH(СтартМодели)+5-1,1)</f>
        <v/>
      </c>
      <c r="Q5" s="32">
        <f>DATE(YEAR(СтартМодели),MONTH(СтартМодели)+6-1,1)</f>
        <v/>
      </c>
      <c r="R5" s="32">
        <f>DATE(YEAR(СтартМодели),MONTH(СтартМодели)+7-1,1)</f>
        <v/>
      </c>
      <c r="S5" s="32">
        <f>DATE(YEAR(СтартМодели),MONTH(СтартМодели)+8-1,1)</f>
        <v/>
      </c>
      <c r="T5" s="32">
        <f>DATE(YEAR(СтартМодели),MONTH(СтартМодели)+9-1,1)</f>
        <v/>
      </c>
      <c r="U5" s="32">
        <f>DATE(YEAR(СтартМодели),MONTH(СтартМодели)+10-1,1)</f>
        <v/>
      </c>
      <c r="V5" s="32">
        <f>DATE(YEAR(СтартМодели),MONTH(СтартМодели)+11-1,1)</f>
        <v/>
      </c>
      <c r="W5" s="32">
        <f>DATE(YEAR(СтартМодели),MONTH(СтартМодели)+12-1,1)</f>
        <v/>
      </c>
      <c r="X5" s="32">
        <f>DATE(YEAR(СтартМодели),MONTH(СтартМодели)+13-1,1)</f>
        <v/>
      </c>
      <c r="Y5" s="32">
        <f>DATE(YEAR(СтартМодели),MONTH(СтартМодели)+14-1,1)</f>
        <v/>
      </c>
      <c r="Z5" s="32">
        <f>DATE(YEAR(СтартМодели),MONTH(СтартМодели)+15-1,1)</f>
        <v/>
      </c>
      <c r="AA5" s="32">
        <f>DATE(YEAR(СтартМодели),MONTH(СтартМодели)+16-1,1)</f>
        <v/>
      </c>
      <c r="AB5" s="32">
        <f>DATE(YEAR(СтартМодели),MONTH(СтартМодели)+17-1,1)</f>
        <v/>
      </c>
      <c r="AC5" s="32">
        <f>DATE(YEAR(СтартМодели),MONTH(СтартМодели)+18-1,1)</f>
        <v/>
      </c>
      <c r="AD5" s="32">
        <f>DATE(YEAR(СтартМодели),MONTH(СтартМодели)+19-1,1)</f>
        <v/>
      </c>
      <c r="AE5" s="32">
        <f>DATE(YEAR(СтартМодели),MONTH(СтартМодели)+20-1,1)</f>
        <v/>
      </c>
      <c r="AF5" s="32">
        <f>DATE(YEAR(СтартМодели),MONTH(СтартМодели)+21-1,1)</f>
        <v/>
      </c>
      <c r="AG5" s="32">
        <f>DATE(YEAR(СтартМодели),MONTH(СтартМодели)+22-1,1)</f>
        <v/>
      </c>
      <c r="AH5" s="32">
        <f>DATE(YEAR(СтартМодели),MONTH(СтартМодели)+23-1,1)</f>
        <v/>
      </c>
      <c r="AI5" s="32">
        <f>DATE(YEAR(СтартМодели),MONTH(СтартМодели)+24-1,1)</f>
        <v/>
      </c>
      <c r="AJ5" s="32">
        <f>DATE(YEAR(СтартМодели),MONTH(СтартМодели)+25-1,1)</f>
        <v/>
      </c>
      <c r="AK5" s="32">
        <f>DATE(YEAR(СтартМодели),MONTH(СтартМодели)+26-1,1)</f>
        <v/>
      </c>
      <c r="AL5" s="32">
        <f>DATE(YEAR(СтартМодели),MONTH(СтартМодели)+27-1,1)</f>
        <v/>
      </c>
      <c r="AM5" s="32">
        <f>DATE(YEAR(СтартМодели),MONTH(СтартМодели)+28-1,1)</f>
        <v/>
      </c>
      <c r="AN5" s="32">
        <f>DATE(YEAR(СтартМодели),MONTH(СтартМодели)+29-1,1)</f>
        <v/>
      </c>
      <c r="AO5" s="32">
        <f>DATE(YEAR(СтартМодели),MONTH(СтартМодели)+30-1,1)</f>
        <v/>
      </c>
      <c r="AP5" s="32">
        <f>DATE(YEAR(СтартМодели),MONTH(СтартМодели)+31-1,1)</f>
        <v/>
      </c>
      <c r="AQ5" s="32">
        <f>DATE(YEAR(СтартМодели),MONTH(СтартМодели)+32-1,1)</f>
        <v/>
      </c>
      <c r="AR5" s="32">
        <f>DATE(YEAR(СтартМодели),MONTH(СтартМодели)+33-1,1)</f>
        <v/>
      </c>
      <c r="AS5" s="32">
        <f>DATE(YEAR(СтартМодели),MONTH(СтартМодели)+34-1,1)</f>
        <v/>
      </c>
      <c r="AT5" s="32">
        <f>DATE(YEAR(СтартМодели),MONTH(СтартМодели)+35-1,1)</f>
        <v/>
      </c>
      <c r="AU5" s="32">
        <f>DATE(YEAR(СтартМодели),MONTH(СтартМодели)+36-1,1)</f>
        <v/>
      </c>
      <c r="AV5" s="32">
        <f>DATE(YEAR(СтартМодели),MONTH(СтартМодели)+37-1,1)</f>
        <v/>
      </c>
      <c r="AW5" s="32">
        <f>DATE(YEAR(СтартМодели),MONTH(СтартМодели)+38-1,1)</f>
        <v/>
      </c>
      <c r="AX5" s="32">
        <f>DATE(YEAR(СтартМодели),MONTH(СтартМодели)+39-1,1)</f>
        <v/>
      </c>
      <c r="AY5" s="32">
        <f>DATE(YEAR(СтартМодели),MONTH(СтартМодели)+40-1,1)</f>
        <v/>
      </c>
      <c r="AZ5" s="32">
        <f>DATE(YEAR(СтартМодели),MONTH(СтартМодели)+41-1,1)</f>
        <v/>
      </c>
      <c r="BA5" s="32">
        <f>DATE(YEAR(СтартМодели),MONTH(СтартМодели)+42-1,1)</f>
        <v/>
      </c>
      <c r="BB5" s="32">
        <f>DATE(YEAR(СтартМодели),MONTH(СтартМодели)+43-1,1)</f>
        <v/>
      </c>
      <c r="BC5" s="32">
        <f>DATE(YEAR(СтартМодели),MONTH(СтартМодели)+44-1,1)</f>
        <v/>
      </c>
      <c r="BD5" s="32">
        <f>DATE(YEAR(СтартМодели),MONTH(СтартМодели)+45-1,1)</f>
        <v/>
      </c>
      <c r="BE5" s="32">
        <f>DATE(YEAR(СтартМодели),MONTH(СтартМодели)+46-1,1)</f>
        <v/>
      </c>
      <c r="BF5" s="32">
        <f>DATE(YEAR(СтартМодели),MONTH(СтартМодели)+47-1,1)</f>
        <v/>
      </c>
      <c r="BG5" s="32">
        <f>DATE(YEAR(СтартМодели),MONTH(СтартМодели)+48-1,1)</f>
        <v/>
      </c>
      <c r="BH5" s="32">
        <f>DATE(YEAR(СтартМодели),MONTH(СтартМодели)+49-1,1)</f>
        <v/>
      </c>
      <c r="BI5" s="32">
        <f>DATE(YEAR(СтартМодели),MONTH(СтартМодели)+50-1,1)</f>
        <v/>
      </c>
      <c r="BJ5" s="32">
        <f>DATE(YEAR(СтартМодели),MONTH(СтартМодели)+51-1,1)</f>
        <v/>
      </c>
      <c r="BK5" s="32">
        <f>DATE(YEAR(СтартМодели),MONTH(СтартМодели)+52-1,1)</f>
        <v/>
      </c>
      <c r="BL5" s="32">
        <f>DATE(YEAR(СтартМодели),MONTH(СтартМодели)+53-1,1)</f>
        <v/>
      </c>
      <c r="BM5" s="32">
        <f>DATE(YEAR(СтартМодели),MONTH(СтартМодели)+54-1,1)</f>
        <v/>
      </c>
      <c r="BN5" s="32">
        <f>DATE(YEAR(СтартМодели),MONTH(СтартМодели)+55-1,1)</f>
        <v/>
      </c>
      <c r="BO5" s="32">
        <f>DATE(YEAR(СтартМодели),MONTH(СтартМодели)+56-1,1)</f>
        <v/>
      </c>
      <c r="BP5" s="32">
        <f>DATE(YEAR(СтартМодели),MONTH(СтартМодели)+57-1,1)</f>
        <v/>
      </c>
      <c r="BQ5" s="32">
        <f>DATE(YEAR(СтартМодели),MONTH(СтартМодели)+58-1,1)</f>
        <v/>
      </c>
      <c r="BR5" s="32">
        <f>DATE(YEAR(СтартМодели),MONTH(СтартМодели)+59-1,1)</f>
        <v/>
      </c>
      <c r="BS5" s="32">
        <f>DATE(YEAR(СтартМодели),MONTH(СтартМодели)+60-1,1)</f>
        <v/>
      </c>
      <c r="BT5" s="32">
        <f>DATE(YEAR(СтартМодели),MONTH(СтартМодели)+61-1,1)</f>
        <v/>
      </c>
      <c r="BU5" s="32">
        <f>DATE(YEAR(СтартМодели),MONTH(СтартМодели)+62-1,1)</f>
        <v/>
      </c>
      <c r="BV5" s="32">
        <f>DATE(YEAR(СтартМодели),MONTH(СтартМодели)+63-1,1)</f>
        <v/>
      </c>
      <c r="BW5" s="32">
        <f>DATE(YEAR(СтартМодели),MONTH(СтартМодели)+64-1,1)</f>
        <v/>
      </c>
      <c r="BX5" s="32">
        <f>DATE(YEAR(СтартМодели),MONTH(СтартМодели)+65-1,1)</f>
        <v/>
      </c>
      <c r="BY5" s="32">
        <f>DATE(YEAR(СтартМодели),MONTH(СтартМодели)+66-1,1)</f>
        <v/>
      </c>
    </row>
    <row r="6">
      <c r="B6" s="54" t="inlineStr">
        <is>
          <t>Сеть (справочно)</t>
        </is>
      </c>
      <c r="C6" s="55" t="n"/>
      <c r="D6" s="55" t="n"/>
      <c r="E6" s="55" t="n"/>
      <c r="F6" s="55" t="n"/>
      <c r="G6" s="55" t="n"/>
      <c r="H6" s="55" t="n"/>
      <c r="I6" s="55" t="n"/>
      <c r="J6" s="55" t="n"/>
      <c r="K6" s="55" t="n"/>
      <c r="L6" s="55" t="n"/>
      <c r="M6" s="55" t="n"/>
      <c r="N6" s="55" t="n"/>
      <c r="O6" s="55" t="n"/>
      <c r="P6" s="55" t="n"/>
      <c r="Q6" s="55" t="n"/>
      <c r="R6" s="55" t="n"/>
      <c r="S6" s="55" t="n"/>
      <c r="T6" s="55" t="n"/>
      <c r="U6" s="55" t="n"/>
      <c r="V6" s="55" t="n"/>
      <c r="W6" s="55" t="n"/>
      <c r="X6" s="55" t="n"/>
      <c r="Y6" s="55" t="n"/>
      <c r="Z6" s="55" t="n"/>
      <c r="AA6" s="55" t="n"/>
      <c r="AB6" s="55" t="n"/>
      <c r="AC6" s="55" t="n"/>
      <c r="AD6" s="55" t="n"/>
      <c r="AE6" s="55" t="n"/>
      <c r="AF6" s="55" t="n"/>
      <c r="AG6" s="55" t="n"/>
      <c r="AH6" s="55" t="n"/>
      <c r="AI6" s="55" t="n"/>
      <c r="AJ6" s="55" t="n"/>
      <c r="AK6" s="55" t="n"/>
      <c r="AL6" s="55" t="n"/>
      <c r="AM6" s="55" t="n"/>
      <c r="AN6" s="55" t="n"/>
      <c r="AO6" s="55" t="n"/>
      <c r="AP6" s="55" t="n"/>
      <c r="AQ6" s="55" t="n"/>
      <c r="AR6" s="55" t="n"/>
      <c r="AS6" s="55" t="n"/>
      <c r="AT6" s="55" t="n"/>
      <c r="AU6" s="55" t="n"/>
      <c r="AV6" s="55" t="n"/>
      <c r="AW6" s="55" t="n"/>
      <c r="AX6" s="55" t="n"/>
      <c r="AY6" s="55" t="n"/>
      <c r="AZ6" s="55" t="n"/>
      <c r="BA6" s="55" t="n"/>
      <c r="BB6" s="55" t="n"/>
      <c r="BC6" s="55" t="n"/>
      <c r="BD6" s="55" t="n"/>
      <c r="BE6" s="55" t="n"/>
      <c r="BF6" s="55" t="n"/>
      <c r="BG6" s="55" t="n"/>
      <c r="BH6" s="55" t="n"/>
      <c r="BI6" s="55" t="n"/>
      <c r="BJ6" s="55" t="n"/>
      <c r="BK6" s="55" t="n"/>
      <c r="BL6" s="55" t="n"/>
      <c r="BM6" s="55" t="n"/>
      <c r="BN6" s="55" t="n"/>
      <c r="BO6" s="55" t="n"/>
      <c r="BP6" s="55" t="n"/>
      <c r="BQ6" s="55" t="n"/>
      <c r="BR6" s="55" t="n"/>
      <c r="BS6" s="55" t="n"/>
      <c r="BT6" s="55" t="n"/>
      <c r="BU6" s="55" t="n"/>
      <c r="BV6" s="55" t="n"/>
      <c r="BW6" s="55" t="n"/>
      <c r="BX6" s="55" t="n"/>
      <c r="BY6" s="55" t="n"/>
    </row>
    <row r="7">
      <c r="B7" s="56" t="inlineStr">
        <is>
          <t>Школы всего</t>
        </is>
      </c>
      <c r="C7" s="56" t="inlineStr">
        <is>
          <t>шт.</t>
        </is>
      </c>
      <c r="D7" s="57" t="inlineStr">
        <is>
          <t>Подробности — на листе «Сеть» В колонках лет — значение на конец года, в «Итого» — на конец пятого года. Это остаток, а не сумма.</t>
        </is>
      </c>
      <c r="E7" s="59">
        <f>W7</f>
        <v/>
      </c>
      <c r="F7" s="59">
        <f>AI7</f>
        <v/>
      </c>
      <c r="G7" s="59">
        <f>AU7</f>
        <v/>
      </c>
      <c r="H7" s="59">
        <f>BG7</f>
        <v/>
      </c>
      <c r="I7" s="59">
        <f>BS7</f>
        <v/>
      </c>
      <c r="J7" s="61">
        <f>BS7</f>
        <v/>
      </c>
      <c r="L7" s="62">
        <f>'03_Сеть'!L60</f>
        <v/>
      </c>
      <c r="M7" s="62">
        <f>'03_Сеть'!M60</f>
        <v/>
      </c>
      <c r="N7" s="62">
        <f>'03_Сеть'!N60</f>
        <v/>
      </c>
      <c r="O7" s="62">
        <f>'03_Сеть'!O60</f>
        <v/>
      </c>
      <c r="P7" s="62">
        <f>'03_Сеть'!P60</f>
        <v/>
      </c>
      <c r="Q7" s="62">
        <f>'03_Сеть'!Q60</f>
        <v/>
      </c>
      <c r="R7" s="62">
        <f>'03_Сеть'!R60</f>
        <v/>
      </c>
      <c r="S7" s="62">
        <f>'03_Сеть'!S60</f>
        <v/>
      </c>
      <c r="T7" s="62">
        <f>'03_Сеть'!T60</f>
        <v/>
      </c>
      <c r="U7" s="62">
        <f>'03_Сеть'!U60</f>
        <v/>
      </c>
      <c r="V7" s="62">
        <f>'03_Сеть'!V60</f>
        <v/>
      </c>
      <c r="W7" s="62">
        <f>'03_Сеть'!W60</f>
        <v/>
      </c>
      <c r="X7" s="62">
        <f>'03_Сеть'!X60</f>
        <v/>
      </c>
      <c r="Y7" s="62">
        <f>'03_Сеть'!Y60</f>
        <v/>
      </c>
      <c r="Z7" s="62">
        <f>'03_Сеть'!Z60</f>
        <v/>
      </c>
      <c r="AA7" s="62">
        <f>'03_Сеть'!AA60</f>
        <v/>
      </c>
      <c r="AB7" s="62">
        <f>'03_Сеть'!AB60</f>
        <v/>
      </c>
      <c r="AC7" s="62">
        <f>'03_Сеть'!AC60</f>
        <v/>
      </c>
      <c r="AD7" s="62">
        <f>'03_Сеть'!AD60</f>
        <v/>
      </c>
      <c r="AE7" s="62">
        <f>'03_Сеть'!AE60</f>
        <v/>
      </c>
      <c r="AF7" s="62">
        <f>'03_Сеть'!AF60</f>
        <v/>
      </c>
      <c r="AG7" s="62">
        <f>'03_Сеть'!AG60</f>
        <v/>
      </c>
      <c r="AH7" s="62">
        <f>'03_Сеть'!AH60</f>
        <v/>
      </c>
      <c r="AI7" s="62">
        <f>'03_Сеть'!AI60</f>
        <v/>
      </c>
      <c r="AJ7" s="62">
        <f>'03_Сеть'!AJ60</f>
        <v/>
      </c>
      <c r="AK7" s="62">
        <f>'03_Сеть'!AK60</f>
        <v/>
      </c>
      <c r="AL7" s="62">
        <f>'03_Сеть'!AL60</f>
        <v/>
      </c>
      <c r="AM7" s="62">
        <f>'03_Сеть'!AM60</f>
        <v/>
      </c>
      <c r="AN7" s="62">
        <f>'03_Сеть'!AN60</f>
        <v/>
      </c>
      <c r="AO7" s="62">
        <f>'03_Сеть'!AO60</f>
        <v/>
      </c>
      <c r="AP7" s="62">
        <f>'03_Сеть'!AP60</f>
        <v/>
      </c>
      <c r="AQ7" s="62">
        <f>'03_Сеть'!AQ60</f>
        <v/>
      </c>
      <c r="AR7" s="62">
        <f>'03_Сеть'!AR60</f>
        <v/>
      </c>
      <c r="AS7" s="62">
        <f>'03_Сеть'!AS60</f>
        <v/>
      </c>
      <c r="AT7" s="62">
        <f>'03_Сеть'!AT60</f>
        <v/>
      </c>
      <c r="AU7" s="62">
        <f>'03_Сеть'!AU60</f>
        <v/>
      </c>
      <c r="AV7" s="62">
        <f>'03_Сеть'!AV60</f>
        <v/>
      </c>
      <c r="AW7" s="62">
        <f>'03_Сеть'!AW60</f>
        <v/>
      </c>
      <c r="AX7" s="62">
        <f>'03_Сеть'!AX60</f>
        <v/>
      </c>
      <c r="AY7" s="62">
        <f>'03_Сеть'!AY60</f>
        <v/>
      </c>
      <c r="AZ7" s="62">
        <f>'03_Сеть'!AZ60</f>
        <v/>
      </c>
      <c r="BA7" s="62">
        <f>'03_Сеть'!BA60</f>
        <v/>
      </c>
      <c r="BB7" s="62">
        <f>'03_Сеть'!BB60</f>
        <v/>
      </c>
      <c r="BC7" s="62">
        <f>'03_Сеть'!BC60</f>
        <v/>
      </c>
      <c r="BD7" s="62">
        <f>'03_Сеть'!BD60</f>
        <v/>
      </c>
      <c r="BE7" s="62">
        <f>'03_Сеть'!BE60</f>
        <v/>
      </c>
      <c r="BF7" s="62">
        <f>'03_Сеть'!BF60</f>
        <v/>
      </c>
      <c r="BG7" s="62">
        <f>'03_Сеть'!BG60</f>
        <v/>
      </c>
      <c r="BH7" s="62">
        <f>'03_Сеть'!BH60</f>
        <v/>
      </c>
      <c r="BI7" s="62">
        <f>'03_Сеть'!BI60</f>
        <v/>
      </c>
      <c r="BJ7" s="62">
        <f>'03_Сеть'!BJ60</f>
        <v/>
      </c>
      <c r="BK7" s="62">
        <f>'03_Сеть'!BK60</f>
        <v/>
      </c>
      <c r="BL7" s="62">
        <f>'03_Сеть'!BL60</f>
        <v/>
      </c>
      <c r="BM7" s="62">
        <f>'03_Сеть'!BM60</f>
        <v/>
      </c>
      <c r="BN7" s="62">
        <f>'03_Сеть'!BN60</f>
        <v/>
      </c>
      <c r="BO7" s="62">
        <f>'03_Сеть'!BO60</f>
        <v/>
      </c>
      <c r="BP7" s="62">
        <f>'03_Сеть'!BP60</f>
        <v/>
      </c>
      <c r="BQ7" s="62">
        <f>'03_Сеть'!BQ60</f>
        <v/>
      </c>
      <c r="BR7" s="62">
        <f>'03_Сеть'!BR60</f>
        <v/>
      </c>
      <c r="BS7" s="62">
        <f>'03_Сеть'!BS60</f>
        <v/>
      </c>
      <c r="BT7" s="62">
        <f>'03_Сеть'!BT60</f>
        <v/>
      </c>
      <c r="BU7" s="62">
        <f>'03_Сеть'!BU60</f>
        <v/>
      </c>
      <c r="BV7" s="62">
        <f>'03_Сеть'!BV60</f>
        <v/>
      </c>
      <c r="BW7" s="62">
        <f>'03_Сеть'!BW60</f>
        <v/>
      </c>
      <c r="BX7" s="62">
        <f>'03_Сеть'!BX60</f>
        <v/>
      </c>
      <c r="BY7" s="62">
        <f>'03_Сеть'!BY60</f>
        <v/>
      </c>
    </row>
    <row r="8">
      <c r="B8" s="56" t="inlineStr">
        <is>
          <t>Партнёры (юрлица)</t>
        </is>
      </c>
      <c r="C8" s="56" t="inlineStr">
        <is>
          <t>шт.</t>
        </is>
      </c>
      <c r="D8" s="57" t="inlineStr">
        <is>
          <t>В колонках лет — значение на конец года, в «Итого» — на конец пятого года. Это остаток, а не сумма.</t>
        </is>
      </c>
      <c r="E8" s="59">
        <f>W8</f>
        <v/>
      </c>
      <c r="F8" s="59">
        <f>AI8</f>
        <v/>
      </c>
      <c r="G8" s="59">
        <f>AU8</f>
        <v/>
      </c>
      <c r="H8" s="59">
        <f>BG8</f>
        <v/>
      </c>
      <c r="I8" s="59">
        <f>BS8</f>
        <v/>
      </c>
      <c r="J8" s="61">
        <f>BS8</f>
        <v/>
      </c>
      <c r="L8" s="62">
        <f>'03_Сеть'!L61</f>
        <v/>
      </c>
      <c r="M8" s="62">
        <f>'03_Сеть'!M61</f>
        <v/>
      </c>
      <c r="N8" s="62">
        <f>'03_Сеть'!N61</f>
        <v/>
      </c>
      <c r="O8" s="62">
        <f>'03_Сеть'!O61</f>
        <v/>
      </c>
      <c r="P8" s="62">
        <f>'03_Сеть'!P61</f>
        <v/>
      </c>
      <c r="Q8" s="62">
        <f>'03_Сеть'!Q61</f>
        <v/>
      </c>
      <c r="R8" s="62">
        <f>'03_Сеть'!R61</f>
        <v/>
      </c>
      <c r="S8" s="62">
        <f>'03_Сеть'!S61</f>
        <v/>
      </c>
      <c r="T8" s="62">
        <f>'03_Сеть'!T61</f>
        <v/>
      </c>
      <c r="U8" s="62">
        <f>'03_Сеть'!U61</f>
        <v/>
      </c>
      <c r="V8" s="62">
        <f>'03_Сеть'!V61</f>
        <v/>
      </c>
      <c r="W8" s="62">
        <f>'03_Сеть'!W61</f>
        <v/>
      </c>
      <c r="X8" s="62">
        <f>'03_Сеть'!X61</f>
        <v/>
      </c>
      <c r="Y8" s="62">
        <f>'03_Сеть'!Y61</f>
        <v/>
      </c>
      <c r="Z8" s="62">
        <f>'03_Сеть'!Z61</f>
        <v/>
      </c>
      <c r="AA8" s="62">
        <f>'03_Сеть'!AA61</f>
        <v/>
      </c>
      <c r="AB8" s="62">
        <f>'03_Сеть'!AB61</f>
        <v/>
      </c>
      <c r="AC8" s="62">
        <f>'03_Сеть'!AC61</f>
        <v/>
      </c>
      <c r="AD8" s="62">
        <f>'03_Сеть'!AD61</f>
        <v/>
      </c>
      <c r="AE8" s="62">
        <f>'03_Сеть'!AE61</f>
        <v/>
      </c>
      <c r="AF8" s="62">
        <f>'03_Сеть'!AF61</f>
        <v/>
      </c>
      <c r="AG8" s="62">
        <f>'03_Сеть'!AG61</f>
        <v/>
      </c>
      <c r="AH8" s="62">
        <f>'03_Сеть'!AH61</f>
        <v/>
      </c>
      <c r="AI8" s="62">
        <f>'03_Сеть'!AI61</f>
        <v/>
      </c>
      <c r="AJ8" s="62">
        <f>'03_Сеть'!AJ61</f>
        <v/>
      </c>
      <c r="AK8" s="62">
        <f>'03_Сеть'!AK61</f>
        <v/>
      </c>
      <c r="AL8" s="62">
        <f>'03_Сеть'!AL61</f>
        <v/>
      </c>
      <c r="AM8" s="62">
        <f>'03_Сеть'!AM61</f>
        <v/>
      </c>
      <c r="AN8" s="62">
        <f>'03_Сеть'!AN61</f>
        <v/>
      </c>
      <c r="AO8" s="62">
        <f>'03_Сеть'!AO61</f>
        <v/>
      </c>
      <c r="AP8" s="62">
        <f>'03_Сеть'!AP61</f>
        <v/>
      </c>
      <c r="AQ8" s="62">
        <f>'03_Сеть'!AQ61</f>
        <v/>
      </c>
      <c r="AR8" s="62">
        <f>'03_Сеть'!AR61</f>
        <v/>
      </c>
      <c r="AS8" s="62">
        <f>'03_Сеть'!AS61</f>
        <v/>
      </c>
      <c r="AT8" s="62">
        <f>'03_Сеть'!AT61</f>
        <v/>
      </c>
      <c r="AU8" s="62">
        <f>'03_Сеть'!AU61</f>
        <v/>
      </c>
      <c r="AV8" s="62">
        <f>'03_Сеть'!AV61</f>
        <v/>
      </c>
      <c r="AW8" s="62">
        <f>'03_Сеть'!AW61</f>
        <v/>
      </c>
      <c r="AX8" s="62">
        <f>'03_Сеть'!AX61</f>
        <v/>
      </c>
      <c r="AY8" s="62">
        <f>'03_Сеть'!AY61</f>
        <v/>
      </c>
      <c r="AZ8" s="62">
        <f>'03_Сеть'!AZ61</f>
        <v/>
      </c>
      <c r="BA8" s="62">
        <f>'03_Сеть'!BA61</f>
        <v/>
      </c>
      <c r="BB8" s="62">
        <f>'03_Сеть'!BB61</f>
        <v/>
      </c>
      <c r="BC8" s="62">
        <f>'03_Сеть'!BC61</f>
        <v/>
      </c>
      <c r="BD8" s="62">
        <f>'03_Сеть'!BD61</f>
        <v/>
      </c>
      <c r="BE8" s="62">
        <f>'03_Сеть'!BE61</f>
        <v/>
      </c>
      <c r="BF8" s="62">
        <f>'03_Сеть'!BF61</f>
        <v/>
      </c>
      <c r="BG8" s="62">
        <f>'03_Сеть'!BG61</f>
        <v/>
      </c>
      <c r="BH8" s="62">
        <f>'03_Сеть'!BH61</f>
        <v/>
      </c>
      <c r="BI8" s="62">
        <f>'03_Сеть'!BI61</f>
        <v/>
      </c>
      <c r="BJ8" s="62">
        <f>'03_Сеть'!BJ61</f>
        <v/>
      </c>
      <c r="BK8" s="62">
        <f>'03_Сеть'!BK61</f>
        <v/>
      </c>
      <c r="BL8" s="62">
        <f>'03_Сеть'!BL61</f>
        <v/>
      </c>
      <c r="BM8" s="62">
        <f>'03_Сеть'!BM61</f>
        <v/>
      </c>
      <c r="BN8" s="62">
        <f>'03_Сеть'!BN61</f>
        <v/>
      </c>
      <c r="BO8" s="62">
        <f>'03_Сеть'!BO61</f>
        <v/>
      </c>
      <c r="BP8" s="62">
        <f>'03_Сеть'!BP61</f>
        <v/>
      </c>
      <c r="BQ8" s="62">
        <f>'03_Сеть'!BQ61</f>
        <v/>
      </c>
      <c r="BR8" s="62">
        <f>'03_Сеть'!BR61</f>
        <v/>
      </c>
      <c r="BS8" s="62">
        <f>'03_Сеть'!BS61</f>
        <v/>
      </c>
      <c r="BT8" s="62">
        <f>'03_Сеть'!BT61</f>
        <v/>
      </c>
      <c r="BU8" s="62">
        <f>'03_Сеть'!BU61</f>
        <v/>
      </c>
      <c r="BV8" s="62">
        <f>'03_Сеть'!BV61</f>
        <v/>
      </c>
      <c r="BW8" s="62">
        <f>'03_Сеть'!BW61</f>
        <v/>
      </c>
      <c r="BX8" s="62">
        <f>'03_Сеть'!BX61</f>
        <v/>
      </c>
      <c r="BY8" s="62">
        <f>'03_Сеть'!BY61</f>
        <v/>
      </c>
    </row>
    <row r="9">
      <c r="B9" s="56" t="inlineStr">
        <is>
          <t>Дети, активные</t>
        </is>
      </c>
      <c r="C9" s="56" t="inlineStr">
        <is>
          <t>чел.</t>
        </is>
      </c>
      <c r="D9" s="57" t="inlineStr">
        <is>
          <t>В колонках лет — значение на конец года, в «Итого» — на конец пятого года. Это остаток, а не сумма.</t>
        </is>
      </c>
      <c r="E9" s="85">
        <f>W9</f>
        <v/>
      </c>
      <c r="F9" s="85">
        <f>AI9</f>
        <v/>
      </c>
      <c r="G9" s="85">
        <f>AU9</f>
        <v/>
      </c>
      <c r="H9" s="85">
        <f>BG9</f>
        <v/>
      </c>
      <c r="I9" s="85">
        <f>BS9</f>
        <v/>
      </c>
      <c r="J9" s="86">
        <f>BS9</f>
        <v/>
      </c>
      <c r="L9" s="87">
        <f>'03_Сеть'!L62</f>
        <v/>
      </c>
      <c r="M9" s="87">
        <f>'03_Сеть'!M62</f>
        <v/>
      </c>
      <c r="N9" s="87">
        <f>'03_Сеть'!N62</f>
        <v/>
      </c>
      <c r="O9" s="87">
        <f>'03_Сеть'!O62</f>
        <v/>
      </c>
      <c r="P9" s="87">
        <f>'03_Сеть'!P62</f>
        <v/>
      </c>
      <c r="Q9" s="87">
        <f>'03_Сеть'!Q62</f>
        <v/>
      </c>
      <c r="R9" s="87">
        <f>'03_Сеть'!R62</f>
        <v/>
      </c>
      <c r="S9" s="87">
        <f>'03_Сеть'!S62</f>
        <v/>
      </c>
      <c r="T9" s="87">
        <f>'03_Сеть'!T62</f>
        <v/>
      </c>
      <c r="U9" s="87">
        <f>'03_Сеть'!U62</f>
        <v/>
      </c>
      <c r="V9" s="87">
        <f>'03_Сеть'!V62</f>
        <v/>
      </c>
      <c r="W9" s="87">
        <f>'03_Сеть'!W62</f>
        <v/>
      </c>
      <c r="X9" s="87">
        <f>'03_Сеть'!X62</f>
        <v/>
      </c>
      <c r="Y9" s="87">
        <f>'03_Сеть'!Y62</f>
        <v/>
      </c>
      <c r="Z9" s="87">
        <f>'03_Сеть'!Z62</f>
        <v/>
      </c>
      <c r="AA9" s="87">
        <f>'03_Сеть'!AA62</f>
        <v/>
      </c>
      <c r="AB9" s="87">
        <f>'03_Сеть'!AB62</f>
        <v/>
      </c>
      <c r="AC9" s="87">
        <f>'03_Сеть'!AC62</f>
        <v/>
      </c>
      <c r="AD9" s="87">
        <f>'03_Сеть'!AD62</f>
        <v/>
      </c>
      <c r="AE9" s="87">
        <f>'03_Сеть'!AE62</f>
        <v/>
      </c>
      <c r="AF9" s="87">
        <f>'03_Сеть'!AF62</f>
        <v/>
      </c>
      <c r="AG9" s="87">
        <f>'03_Сеть'!AG62</f>
        <v/>
      </c>
      <c r="AH9" s="87">
        <f>'03_Сеть'!AH62</f>
        <v/>
      </c>
      <c r="AI9" s="87">
        <f>'03_Сеть'!AI62</f>
        <v/>
      </c>
      <c r="AJ9" s="87">
        <f>'03_Сеть'!AJ62</f>
        <v/>
      </c>
      <c r="AK9" s="87">
        <f>'03_Сеть'!AK62</f>
        <v/>
      </c>
      <c r="AL9" s="87">
        <f>'03_Сеть'!AL62</f>
        <v/>
      </c>
      <c r="AM9" s="87">
        <f>'03_Сеть'!AM62</f>
        <v/>
      </c>
      <c r="AN9" s="87">
        <f>'03_Сеть'!AN62</f>
        <v/>
      </c>
      <c r="AO9" s="87">
        <f>'03_Сеть'!AO62</f>
        <v/>
      </c>
      <c r="AP9" s="87">
        <f>'03_Сеть'!AP62</f>
        <v/>
      </c>
      <c r="AQ9" s="87">
        <f>'03_Сеть'!AQ62</f>
        <v/>
      </c>
      <c r="AR9" s="87">
        <f>'03_Сеть'!AR62</f>
        <v/>
      </c>
      <c r="AS9" s="87">
        <f>'03_Сеть'!AS62</f>
        <v/>
      </c>
      <c r="AT9" s="87">
        <f>'03_Сеть'!AT62</f>
        <v/>
      </c>
      <c r="AU9" s="87">
        <f>'03_Сеть'!AU62</f>
        <v/>
      </c>
      <c r="AV9" s="87">
        <f>'03_Сеть'!AV62</f>
        <v/>
      </c>
      <c r="AW9" s="87">
        <f>'03_Сеть'!AW62</f>
        <v/>
      </c>
      <c r="AX9" s="87">
        <f>'03_Сеть'!AX62</f>
        <v/>
      </c>
      <c r="AY9" s="87">
        <f>'03_Сеть'!AY62</f>
        <v/>
      </c>
      <c r="AZ9" s="87">
        <f>'03_Сеть'!AZ62</f>
        <v/>
      </c>
      <c r="BA9" s="87">
        <f>'03_Сеть'!BA62</f>
        <v/>
      </c>
      <c r="BB9" s="87">
        <f>'03_Сеть'!BB62</f>
        <v/>
      </c>
      <c r="BC9" s="87">
        <f>'03_Сеть'!BC62</f>
        <v/>
      </c>
      <c r="BD9" s="87">
        <f>'03_Сеть'!BD62</f>
        <v/>
      </c>
      <c r="BE9" s="87">
        <f>'03_Сеть'!BE62</f>
        <v/>
      </c>
      <c r="BF9" s="87">
        <f>'03_Сеть'!BF62</f>
        <v/>
      </c>
      <c r="BG9" s="87">
        <f>'03_Сеть'!BG62</f>
        <v/>
      </c>
      <c r="BH9" s="87">
        <f>'03_Сеть'!BH62</f>
        <v/>
      </c>
      <c r="BI9" s="87">
        <f>'03_Сеть'!BI62</f>
        <v/>
      </c>
      <c r="BJ9" s="87">
        <f>'03_Сеть'!BJ62</f>
        <v/>
      </c>
      <c r="BK9" s="87">
        <f>'03_Сеть'!BK62</f>
        <v/>
      </c>
      <c r="BL9" s="87">
        <f>'03_Сеть'!BL62</f>
        <v/>
      </c>
      <c r="BM9" s="87">
        <f>'03_Сеть'!BM62</f>
        <v/>
      </c>
      <c r="BN9" s="87">
        <f>'03_Сеть'!BN62</f>
        <v/>
      </c>
      <c r="BO9" s="87">
        <f>'03_Сеть'!BO62</f>
        <v/>
      </c>
      <c r="BP9" s="87">
        <f>'03_Сеть'!BP62</f>
        <v/>
      </c>
      <c r="BQ9" s="87">
        <f>'03_Сеть'!BQ62</f>
        <v/>
      </c>
      <c r="BR9" s="87">
        <f>'03_Сеть'!BR62</f>
        <v/>
      </c>
      <c r="BS9" s="87">
        <f>'03_Сеть'!BS62</f>
        <v/>
      </c>
      <c r="BT9" s="87">
        <f>'03_Сеть'!BT62</f>
        <v/>
      </c>
      <c r="BU9" s="87">
        <f>'03_Сеть'!BU62</f>
        <v/>
      </c>
      <c r="BV9" s="87">
        <f>'03_Сеть'!BV62</f>
        <v/>
      </c>
      <c r="BW9" s="87">
        <f>'03_Сеть'!BW62</f>
        <v/>
      </c>
      <c r="BX9" s="87">
        <f>'03_Сеть'!BX62</f>
        <v/>
      </c>
      <c r="BY9" s="87">
        <f>'03_Сеть'!BY62</f>
        <v/>
      </c>
    </row>
    <row r="11">
      <c r="B11" s="54" t="inlineStr">
        <is>
          <t>БДР — начисления</t>
        </is>
      </c>
      <c r="C11" s="55" t="n"/>
      <c r="D11" s="55" t="n"/>
      <c r="E11" s="55" t="n"/>
      <c r="F11" s="55" t="n"/>
      <c r="G11" s="55" t="n"/>
      <c r="H11" s="55" t="n"/>
      <c r="I11" s="55" t="n"/>
      <c r="J11" s="55" t="n"/>
      <c r="K11" s="55" t="n"/>
      <c r="L11" s="55" t="n"/>
      <c r="M11" s="55" t="n"/>
      <c r="N11" s="55" t="n"/>
      <c r="O11" s="55" t="n"/>
      <c r="P11" s="55" t="n"/>
      <c r="Q11" s="55" t="n"/>
      <c r="R11" s="55" t="n"/>
      <c r="S11" s="55" t="n"/>
      <c r="T11" s="55" t="n"/>
      <c r="U11" s="55" t="n"/>
      <c r="V11" s="55" t="n"/>
      <c r="W11" s="55" t="n"/>
      <c r="X11" s="55" t="n"/>
      <c r="Y11" s="55" t="n"/>
      <c r="Z11" s="55" t="n"/>
      <c r="AA11" s="55" t="n"/>
      <c r="AB11" s="55" t="n"/>
      <c r="AC11" s="55" t="n"/>
      <c r="AD11" s="55" t="n"/>
      <c r="AE11" s="55" t="n"/>
      <c r="AF11" s="55" t="n"/>
      <c r="AG11" s="55" t="n"/>
      <c r="AH11" s="55" t="n"/>
      <c r="AI11" s="55" t="n"/>
      <c r="AJ11" s="55" t="n"/>
      <c r="AK11" s="55" t="n"/>
      <c r="AL11" s="55" t="n"/>
      <c r="AM11" s="55" t="n"/>
      <c r="AN11" s="55" t="n"/>
      <c r="AO11" s="55" t="n"/>
      <c r="AP11" s="55" t="n"/>
      <c r="AQ11" s="55" t="n"/>
      <c r="AR11" s="55" t="n"/>
      <c r="AS11" s="55" t="n"/>
      <c r="AT11" s="55" t="n"/>
      <c r="AU11" s="55" t="n"/>
      <c r="AV11" s="55" t="n"/>
      <c r="AW11" s="55" t="n"/>
      <c r="AX11" s="55" t="n"/>
      <c r="AY11" s="55" t="n"/>
      <c r="AZ11" s="55" t="n"/>
      <c r="BA11" s="55" t="n"/>
      <c r="BB11" s="55" t="n"/>
      <c r="BC11" s="55" t="n"/>
      <c r="BD11" s="55" t="n"/>
      <c r="BE11" s="55" t="n"/>
      <c r="BF11" s="55" t="n"/>
      <c r="BG11" s="55" t="n"/>
      <c r="BH11" s="55" t="n"/>
      <c r="BI11" s="55" t="n"/>
      <c r="BJ11" s="55" t="n"/>
      <c r="BK11" s="55" t="n"/>
      <c r="BL11" s="55" t="n"/>
      <c r="BM11" s="55" t="n"/>
      <c r="BN11" s="55" t="n"/>
      <c r="BO11" s="55" t="n"/>
      <c r="BP11" s="55" t="n"/>
      <c r="BQ11" s="55" t="n"/>
      <c r="BR11" s="55" t="n"/>
      <c r="BS11" s="55" t="n"/>
      <c r="BT11" s="55" t="n"/>
      <c r="BU11" s="55" t="n"/>
      <c r="BV11" s="55" t="n"/>
      <c r="BW11" s="55" t="n"/>
      <c r="BX11" s="55" t="n"/>
      <c r="BY11" s="55" t="n"/>
    </row>
    <row r="12">
      <c r="B12" s="56" t="inlineStr">
        <is>
          <t>Паушальные взносы</t>
        </is>
      </c>
      <c r="C12" s="56" t="inlineStr">
        <is>
          <t>₽</t>
        </is>
      </c>
      <c r="D12" s="57" t="inlineStr">
        <is>
          <t>Без НДС</t>
        </is>
      </c>
      <c r="E12" s="85">
        <f>SUM(L12:W12)</f>
        <v/>
      </c>
      <c r="F12" s="85">
        <f>SUM(X12:AI12)</f>
        <v/>
      </c>
      <c r="G12" s="85">
        <f>SUM(AJ12:AU12)</f>
        <v/>
      </c>
      <c r="H12" s="85">
        <f>SUM(AV12:BG12)</f>
        <v/>
      </c>
      <c r="I12" s="85">
        <f>SUM(BH12:BS12)</f>
        <v/>
      </c>
      <c r="J12" s="86">
        <f>SUM(L12:BS12)</f>
        <v/>
      </c>
      <c r="L12" s="87">
        <f>'04_Доходы'!L14</f>
        <v/>
      </c>
      <c r="M12" s="87">
        <f>'04_Доходы'!M14</f>
        <v/>
      </c>
      <c r="N12" s="87">
        <f>'04_Доходы'!N14</f>
        <v/>
      </c>
      <c r="O12" s="87">
        <f>'04_Доходы'!O14</f>
        <v/>
      </c>
      <c r="P12" s="87">
        <f>'04_Доходы'!P14</f>
        <v/>
      </c>
      <c r="Q12" s="87">
        <f>'04_Доходы'!Q14</f>
        <v/>
      </c>
      <c r="R12" s="87">
        <f>'04_Доходы'!R14</f>
        <v/>
      </c>
      <c r="S12" s="87">
        <f>'04_Доходы'!S14</f>
        <v/>
      </c>
      <c r="T12" s="87">
        <f>'04_Доходы'!T14</f>
        <v/>
      </c>
      <c r="U12" s="87">
        <f>'04_Доходы'!U14</f>
        <v/>
      </c>
      <c r="V12" s="87">
        <f>'04_Доходы'!V14</f>
        <v/>
      </c>
      <c r="W12" s="87">
        <f>'04_Доходы'!W14</f>
        <v/>
      </c>
      <c r="X12" s="87">
        <f>'04_Доходы'!X14</f>
        <v/>
      </c>
      <c r="Y12" s="87">
        <f>'04_Доходы'!Y14</f>
        <v/>
      </c>
      <c r="Z12" s="87">
        <f>'04_Доходы'!Z14</f>
        <v/>
      </c>
      <c r="AA12" s="87">
        <f>'04_Доходы'!AA14</f>
        <v/>
      </c>
      <c r="AB12" s="87">
        <f>'04_Доходы'!AB14</f>
        <v/>
      </c>
      <c r="AC12" s="87">
        <f>'04_Доходы'!AC14</f>
        <v/>
      </c>
      <c r="AD12" s="87">
        <f>'04_Доходы'!AD14</f>
        <v/>
      </c>
      <c r="AE12" s="87">
        <f>'04_Доходы'!AE14</f>
        <v/>
      </c>
      <c r="AF12" s="87">
        <f>'04_Доходы'!AF14</f>
        <v/>
      </c>
      <c r="AG12" s="87">
        <f>'04_Доходы'!AG14</f>
        <v/>
      </c>
      <c r="AH12" s="87">
        <f>'04_Доходы'!AH14</f>
        <v/>
      </c>
      <c r="AI12" s="87">
        <f>'04_Доходы'!AI14</f>
        <v/>
      </c>
      <c r="AJ12" s="87">
        <f>'04_Доходы'!AJ14</f>
        <v/>
      </c>
      <c r="AK12" s="87">
        <f>'04_Доходы'!AK14</f>
        <v/>
      </c>
      <c r="AL12" s="87">
        <f>'04_Доходы'!AL14</f>
        <v/>
      </c>
      <c r="AM12" s="87">
        <f>'04_Доходы'!AM14</f>
        <v/>
      </c>
      <c r="AN12" s="87">
        <f>'04_Доходы'!AN14</f>
        <v/>
      </c>
      <c r="AO12" s="87">
        <f>'04_Доходы'!AO14</f>
        <v/>
      </c>
      <c r="AP12" s="87">
        <f>'04_Доходы'!AP14</f>
        <v/>
      </c>
      <c r="AQ12" s="87">
        <f>'04_Доходы'!AQ14</f>
        <v/>
      </c>
      <c r="AR12" s="87">
        <f>'04_Доходы'!AR14</f>
        <v/>
      </c>
      <c r="AS12" s="87">
        <f>'04_Доходы'!AS14</f>
        <v/>
      </c>
      <c r="AT12" s="87">
        <f>'04_Доходы'!AT14</f>
        <v/>
      </c>
      <c r="AU12" s="87">
        <f>'04_Доходы'!AU14</f>
        <v/>
      </c>
      <c r="AV12" s="87">
        <f>'04_Доходы'!AV14</f>
        <v/>
      </c>
      <c r="AW12" s="87">
        <f>'04_Доходы'!AW14</f>
        <v/>
      </c>
      <c r="AX12" s="87">
        <f>'04_Доходы'!AX14</f>
        <v/>
      </c>
      <c r="AY12" s="87">
        <f>'04_Доходы'!AY14</f>
        <v/>
      </c>
      <c r="AZ12" s="87">
        <f>'04_Доходы'!AZ14</f>
        <v/>
      </c>
      <c r="BA12" s="87">
        <f>'04_Доходы'!BA14</f>
        <v/>
      </c>
      <c r="BB12" s="87">
        <f>'04_Доходы'!BB14</f>
        <v/>
      </c>
      <c r="BC12" s="87">
        <f>'04_Доходы'!BC14</f>
        <v/>
      </c>
      <c r="BD12" s="87">
        <f>'04_Доходы'!BD14</f>
        <v/>
      </c>
      <c r="BE12" s="87">
        <f>'04_Доходы'!BE14</f>
        <v/>
      </c>
      <c r="BF12" s="87">
        <f>'04_Доходы'!BF14</f>
        <v/>
      </c>
      <c r="BG12" s="87">
        <f>'04_Доходы'!BG14</f>
        <v/>
      </c>
      <c r="BH12" s="87">
        <f>'04_Доходы'!BH14</f>
        <v/>
      </c>
      <c r="BI12" s="87">
        <f>'04_Доходы'!BI14</f>
        <v/>
      </c>
      <c r="BJ12" s="87">
        <f>'04_Доходы'!BJ14</f>
        <v/>
      </c>
      <c r="BK12" s="87">
        <f>'04_Доходы'!BK14</f>
        <v/>
      </c>
      <c r="BL12" s="87">
        <f>'04_Доходы'!BL14</f>
        <v/>
      </c>
      <c r="BM12" s="87">
        <f>'04_Доходы'!BM14</f>
        <v/>
      </c>
      <c r="BN12" s="87">
        <f>'04_Доходы'!BN14</f>
        <v/>
      </c>
      <c r="BO12" s="87">
        <f>'04_Доходы'!BO14</f>
        <v/>
      </c>
      <c r="BP12" s="87">
        <f>'04_Доходы'!BP14</f>
        <v/>
      </c>
      <c r="BQ12" s="87">
        <f>'04_Доходы'!BQ14</f>
        <v/>
      </c>
      <c r="BR12" s="87">
        <f>'04_Доходы'!BR14</f>
        <v/>
      </c>
      <c r="BS12" s="87">
        <f>'04_Доходы'!BS14</f>
        <v/>
      </c>
      <c r="BT12" s="87">
        <f>'04_Доходы'!BT14</f>
        <v/>
      </c>
      <c r="BU12" s="87">
        <f>'04_Доходы'!BU14</f>
        <v/>
      </c>
      <c r="BV12" s="87">
        <f>'04_Доходы'!BV14</f>
        <v/>
      </c>
      <c r="BW12" s="87">
        <f>'04_Доходы'!BW14</f>
        <v/>
      </c>
      <c r="BX12" s="87">
        <f>'04_Доходы'!BX14</f>
        <v/>
      </c>
      <c r="BY12" s="87">
        <f>'04_Доходы'!BY14</f>
        <v/>
      </c>
    </row>
    <row r="13">
      <c r="B13" s="56" t="inlineStr">
        <is>
          <t>Роялти</t>
        </is>
      </c>
      <c r="C13" s="56" t="inlineStr">
        <is>
          <t>₽</t>
        </is>
      </c>
      <c r="D13" s="57" t="inlineStr">
        <is>
          <t>Без НДС</t>
        </is>
      </c>
      <c r="E13" s="85">
        <f>SUM(L13:W13)</f>
        <v/>
      </c>
      <c r="F13" s="85">
        <f>SUM(X13:AI13)</f>
        <v/>
      </c>
      <c r="G13" s="85">
        <f>SUM(AJ13:AU13)</f>
        <v/>
      </c>
      <c r="H13" s="85">
        <f>SUM(AV13:BG13)</f>
        <v/>
      </c>
      <c r="I13" s="85">
        <f>SUM(BH13:BS13)</f>
        <v/>
      </c>
      <c r="J13" s="86">
        <f>SUM(L13:BS13)</f>
        <v/>
      </c>
      <c r="L13" s="87">
        <f>'04_Доходы'!L103/(1+НДС)</f>
        <v/>
      </c>
      <c r="M13" s="87">
        <f>'04_Доходы'!M103/(1+НДС)</f>
        <v/>
      </c>
      <c r="N13" s="87">
        <f>'04_Доходы'!N103/(1+НДС)</f>
        <v/>
      </c>
      <c r="O13" s="87">
        <f>'04_Доходы'!O103/(1+НДС)</f>
        <v/>
      </c>
      <c r="P13" s="87">
        <f>'04_Доходы'!P103/(1+НДС)</f>
        <v/>
      </c>
      <c r="Q13" s="87">
        <f>'04_Доходы'!Q103/(1+НДС)</f>
        <v/>
      </c>
      <c r="R13" s="87">
        <f>'04_Доходы'!R103/(1+НДС)</f>
        <v/>
      </c>
      <c r="S13" s="87">
        <f>'04_Доходы'!S103/(1+НДС)</f>
        <v/>
      </c>
      <c r="T13" s="87">
        <f>'04_Доходы'!T103/(1+НДС)</f>
        <v/>
      </c>
      <c r="U13" s="87">
        <f>'04_Доходы'!U103/(1+НДС)</f>
        <v/>
      </c>
      <c r="V13" s="87">
        <f>'04_Доходы'!V103/(1+НДС)</f>
        <v/>
      </c>
      <c r="W13" s="87">
        <f>'04_Доходы'!W103/(1+НДС)</f>
        <v/>
      </c>
      <c r="X13" s="87">
        <f>'04_Доходы'!X103/(1+НДС)</f>
        <v/>
      </c>
      <c r="Y13" s="87">
        <f>'04_Доходы'!Y103/(1+НДС)</f>
        <v/>
      </c>
      <c r="Z13" s="87">
        <f>'04_Доходы'!Z103/(1+НДС)</f>
        <v/>
      </c>
      <c r="AA13" s="87">
        <f>'04_Доходы'!AA103/(1+НДС)</f>
        <v/>
      </c>
      <c r="AB13" s="87">
        <f>'04_Доходы'!AB103/(1+НДС)</f>
        <v/>
      </c>
      <c r="AC13" s="87">
        <f>'04_Доходы'!AC103/(1+НДС)</f>
        <v/>
      </c>
      <c r="AD13" s="87">
        <f>'04_Доходы'!AD103/(1+НДС)</f>
        <v/>
      </c>
      <c r="AE13" s="87">
        <f>'04_Доходы'!AE103/(1+НДС)</f>
        <v/>
      </c>
      <c r="AF13" s="87">
        <f>'04_Доходы'!AF103/(1+НДС)</f>
        <v/>
      </c>
      <c r="AG13" s="87">
        <f>'04_Доходы'!AG103/(1+НДС)</f>
        <v/>
      </c>
      <c r="AH13" s="87">
        <f>'04_Доходы'!AH103/(1+НДС)</f>
        <v/>
      </c>
      <c r="AI13" s="87">
        <f>'04_Доходы'!AI103/(1+НДС)</f>
        <v/>
      </c>
      <c r="AJ13" s="87">
        <f>'04_Доходы'!AJ103/(1+НДС)</f>
        <v/>
      </c>
      <c r="AK13" s="87">
        <f>'04_Доходы'!AK103/(1+НДС)</f>
        <v/>
      </c>
      <c r="AL13" s="87">
        <f>'04_Доходы'!AL103/(1+НДС)</f>
        <v/>
      </c>
      <c r="AM13" s="87">
        <f>'04_Доходы'!AM103/(1+НДС)</f>
        <v/>
      </c>
      <c r="AN13" s="87">
        <f>'04_Доходы'!AN103/(1+НДС)</f>
        <v/>
      </c>
      <c r="AO13" s="87">
        <f>'04_Доходы'!AO103/(1+НДС)</f>
        <v/>
      </c>
      <c r="AP13" s="87">
        <f>'04_Доходы'!AP103/(1+НДС)</f>
        <v/>
      </c>
      <c r="AQ13" s="87">
        <f>'04_Доходы'!AQ103/(1+НДС)</f>
        <v/>
      </c>
      <c r="AR13" s="87">
        <f>'04_Доходы'!AR103/(1+НДС)</f>
        <v/>
      </c>
      <c r="AS13" s="87">
        <f>'04_Доходы'!AS103/(1+НДС)</f>
        <v/>
      </c>
      <c r="AT13" s="87">
        <f>'04_Доходы'!AT103/(1+НДС)</f>
        <v/>
      </c>
      <c r="AU13" s="87">
        <f>'04_Доходы'!AU103/(1+НДС)</f>
        <v/>
      </c>
      <c r="AV13" s="87">
        <f>'04_Доходы'!AV103/(1+НДС)</f>
        <v/>
      </c>
      <c r="AW13" s="87">
        <f>'04_Доходы'!AW103/(1+НДС)</f>
        <v/>
      </c>
      <c r="AX13" s="87">
        <f>'04_Доходы'!AX103/(1+НДС)</f>
        <v/>
      </c>
      <c r="AY13" s="87">
        <f>'04_Доходы'!AY103/(1+НДС)</f>
        <v/>
      </c>
      <c r="AZ13" s="87">
        <f>'04_Доходы'!AZ103/(1+НДС)</f>
        <v/>
      </c>
      <c r="BA13" s="87">
        <f>'04_Доходы'!BA103/(1+НДС)</f>
        <v/>
      </c>
      <c r="BB13" s="87">
        <f>'04_Доходы'!BB103/(1+НДС)</f>
        <v/>
      </c>
      <c r="BC13" s="87">
        <f>'04_Доходы'!BC103/(1+НДС)</f>
        <v/>
      </c>
      <c r="BD13" s="87">
        <f>'04_Доходы'!BD103/(1+НДС)</f>
        <v/>
      </c>
      <c r="BE13" s="87">
        <f>'04_Доходы'!BE103/(1+НДС)</f>
        <v/>
      </c>
      <c r="BF13" s="87">
        <f>'04_Доходы'!BF103/(1+НДС)</f>
        <v/>
      </c>
      <c r="BG13" s="87">
        <f>'04_Доходы'!BG103/(1+НДС)</f>
        <v/>
      </c>
      <c r="BH13" s="87">
        <f>'04_Доходы'!BH103/(1+НДС)</f>
        <v/>
      </c>
      <c r="BI13" s="87">
        <f>'04_Доходы'!BI103/(1+НДС)</f>
        <v/>
      </c>
      <c r="BJ13" s="87">
        <f>'04_Доходы'!BJ103/(1+НДС)</f>
        <v/>
      </c>
      <c r="BK13" s="87">
        <f>'04_Доходы'!BK103/(1+НДС)</f>
        <v/>
      </c>
      <c r="BL13" s="87">
        <f>'04_Доходы'!BL103/(1+НДС)</f>
        <v/>
      </c>
      <c r="BM13" s="87">
        <f>'04_Доходы'!BM103/(1+НДС)</f>
        <v/>
      </c>
      <c r="BN13" s="87">
        <f>'04_Доходы'!BN103/(1+НДС)</f>
        <v/>
      </c>
      <c r="BO13" s="87">
        <f>'04_Доходы'!BO103/(1+НДС)</f>
        <v/>
      </c>
      <c r="BP13" s="87">
        <f>'04_Доходы'!BP103/(1+НДС)</f>
        <v/>
      </c>
      <c r="BQ13" s="87">
        <f>'04_Доходы'!BQ103/(1+НДС)</f>
        <v/>
      </c>
      <c r="BR13" s="87">
        <f>'04_Доходы'!BR103/(1+НДС)</f>
        <v/>
      </c>
      <c r="BS13" s="87">
        <f>'04_Доходы'!BS103/(1+НДС)</f>
        <v/>
      </c>
      <c r="BT13" s="87">
        <f>'04_Доходы'!BT103/(1+НДС)</f>
        <v/>
      </c>
      <c r="BU13" s="87">
        <f>'04_Доходы'!BU103/(1+НДС)</f>
        <v/>
      </c>
      <c r="BV13" s="87">
        <f>'04_Доходы'!BV103/(1+НДС)</f>
        <v/>
      </c>
      <c r="BW13" s="87">
        <f>'04_Доходы'!BW103/(1+НДС)</f>
        <v/>
      </c>
      <c r="BX13" s="87">
        <f>'04_Доходы'!BX103/(1+НДС)</f>
        <v/>
      </c>
      <c r="BY13" s="87">
        <f>'04_Доходы'!BY103/(1+НДС)</f>
        <v/>
      </c>
    </row>
    <row r="14">
      <c r="B14" s="56" t="inlineStr">
        <is>
          <t>Мерч</t>
        </is>
      </c>
      <c r="C14" s="56" t="inlineStr">
        <is>
          <t>₽</t>
        </is>
      </c>
      <c r="D14" s="57" t="inlineStr">
        <is>
          <t>Без НДС</t>
        </is>
      </c>
      <c r="E14" s="85">
        <f>SUM(L14:W14)</f>
        <v/>
      </c>
      <c r="F14" s="85">
        <f>SUM(X14:AI14)</f>
        <v/>
      </c>
      <c r="G14" s="85">
        <f>SUM(AJ14:AU14)</f>
        <v/>
      </c>
      <c r="H14" s="85">
        <f>SUM(AV14:BG14)</f>
        <v/>
      </c>
      <c r="I14" s="85">
        <f>SUM(BH14:BS14)</f>
        <v/>
      </c>
      <c r="J14" s="86">
        <f>SUM(L14:BS14)</f>
        <v/>
      </c>
      <c r="L14" s="87">
        <f>'04_Доходы'!L132</f>
        <v/>
      </c>
      <c r="M14" s="87">
        <f>'04_Доходы'!M132</f>
        <v/>
      </c>
      <c r="N14" s="87">
        <f>'04_Доходы'!N132</f>
        <v/>
      </c>
      <c r="O14" s="87">
        <f>'04_Доходы'!O132</f>
        <v/>
      </c>
      <c r="P14" s="87">
        <f>'04_Доходы'!P132</f>
        <v/>
      </c>
      <c r="Q14" s="87">
        <f>'04_Доходы'!Q132</f>
        <v/>
      </c>
      <c r="R14" s="87">
        <f>'04_Доходы'!R132</f>
        <v/>
      </c>
      <c r="S14" s="87">
        <f>'04_Доходы'!S132</f>
        <v/>
      </c>
      <c r="T14" s="87">
        <f>'04_Доходы'!T132</f>
        <v/>
      </c>
      <c r="U14" s="87">
        <f>'04_Доходы'!U132</f>
        <v/>
      </c>
      <c r="V14" s="87">
        <f>'04_Доходы'!V132</f>
        <v/>
      </c>
      <c r="W14" s="87">
        <f>'04_Доходы'!W132</f>
        <v/>
      </c>
      <c r="X14" s="87">
        <f>'04_Доходы'!X132</f>
        <v/>
      </c>
      <c r="Y14" s="87">
        <f>'04_Доходы'!Y132</f>
        <v/>
      </c>
      <c r="Z14" s="87">
        <f>'04_Доходы'!Z132</f>
        <v/>
      </c>
      <c r="AA14" s="87">
        <f>'04_Доходы'!AA132</f>
        <v/>
      </c>
      <c r="AB14" s="87">
        <f>'04_Доходы'!AB132</f>
        <v/>
      </c>
      <c r="AC14" s="87">
        <f>'04_Доходы'!AC132</f>
        <v/>
      </c>
      <c r="AD14" s="87">
        <f>'04_Доходы'!AD132</f>
        <v/>
      </c>
      <c r="AE14" s="87">
        <f>'04_Доходы'!AE132</f>
        <v/>
      </c>
      <c r="AF14" s="87">
        <f>'04_Доходы'!AF132</f>
        <v/>
      </c>
      <c r="AG14" s="87">
        <f>'04_Доходы'!AG132</f>
        <v/>
      </c>
      <c r="AH14" s="87">
        <f>'04_Доходы'!AH132</f>
        <v/>
      </c>
      <c r="AI14" s="87">
        <f>'04_Доходы'!AI132</f>
        <v/>
      </c>
      <c r="AJ14" s="87">
        <f>'04_Доходы'!AJ132</f>
        <v/>
      </c>
      <c r="AK14" s="87">
        <f>'04_Доходы'!AK132</f>
        <v/>
      </c>
      <c r="AL14" s="87">
        <f>'04_Доходы'!AL132</f>
        <v/>
      </c>
      <c r="AM14" s="87">
        <f>'04_Доходы'!AM132</f>
        <v/>
      </c>
      <c r="AN14" s="87">
        <f>'04_Доходы'!AN132</f>
        <v/>
      </c>
      <c r="AO14" s="87">
        <f>'04_Доходы'!AO132</f>
        <v/>
      </c>
      <c r="AP14" s="87">
        <f>'04_Доходы'!AP132</f>
        <v/>
      </c>
      <c r="AQ14" s="87">
        <f>'04_Доходы'!AQ132</f>
        <v/>
      </c>
      <c r="AR14" s="87">
        <f>'04_Доходы'!AR132</f>
        <v/>
      </c>
      <c r="AS14" s="87">
        <f>'04_Доходы'!AS132</f>
        <v/>
      </c>
      <c r="AT14" s="87">
        <f>'04_Доходы'!AT132</f>
        <v/>
      </c>
      <c r="AU14" s="87">
        <f>'04_Доходы'!AU132</f>
        <v/>
      </c>
      <c r="AV14" s="87">
        <f>'04_Доходы'!AV132</f>
        <v/>
      </c>
      <c r="AW14" s="87">
        <f>'04_Доходы'!AW132</f>
        <v/>
      </c>
      <c r="AX14" s="87">
        <f>'04_Доходы'!AX132</f>
        <v/>
      </c>
      <c r="AY14" s="87">
        <f>'04_Доходы'!AY132</f>
        <v/>
      </c>
      <c r="AZ14" s="87">
        <f>'04_Доходы'!AZ132</f>
        <v/>
      </c>
      <c r="BA14" s="87">
        <f>'04_Доходы'!BA132</f>
        <v/>
      </c>
      <c r="BB14" s="87">
        <f>'04_Доходы'!BB132</f>
        <v/>
      </c>
      <c r="BC14" s="87">
        <f>'04_Доходы'!BC132</f>
        <v/>
      </c>
      <c r="BD14" s="87">
        <f>'04_Доходы'!BD132</f>
        <v/>
      </c>
      <c r="BE14" s="87">
        <f>'04_Доходы'!BE132</f>
        <v/>
      </c>
      <c r="BF14" s="87">
        <f>'04_Доходы'!BF132</f>
        <v/>
      </c>
      <c r="BG14" s="87">
        <f>'04_Доходы'!BG132</f>
        <v/>
      </c>
      <c r="BH14" s="87">
        <f>'04_Доходы'!BH132</f>
        <v/>
      </c>
      <c r="BI14" s="87">
        <f>'04_Доходы'!BI132</f>
        <v/>
      </c>
      <c r="BJ14" s="87">
        <f>'04_Доходы'!BJ132</f>
        <v/>
      </c>
      <c r="BK14" s="87">
        <f>'04_Доходы'!BK132</f>
        <v/>
      </c>
      <c r="BL14" s="87">
        <f>'04_Доходы'!BL132</f>
        <v/>
      </c>
      <c r="BM14" s="87">
        <f>'04_Доходы'!BM132</f>
        <v/>
      </c>
      <c r="BN14" s="87">
        <f>'04_Доходы'!BN132</f>
        <v/>
      </c>
      <c r="BO14" s="87">
        <f>'04_Доходы'!BO132</f>
        <v/>
      </c>
      <c r="BP14" s="87">
        <f>'04_Доходы'!BP132</f>
        <v/>
      </c>
      <c r="BQ14" s="87">
        <f>'04_Доходы'!BQ132</f>
        <v/>
      </c>
      <c r="BR14" s="87">
        <f>'04_Доходы'!BR132</f>
        <v/>
      </c>
      <c r="BS14" s="87">
        <f>'04_Доходы'!BS132</f>
        <v/>
      </c>
      <c r="BT14" s="87">
        <f>'04_Доходы'!BT132</f>
        <v/>
      </c>
      <c r="BU14" s="87">
        <f>'04_Доходы'!BU132</f>
        <v/>
      </c>
      <c r="BV14" s="87">
        <f>'04_Доходы'!BV132</f>
        <v/>
      </c>
      <c r="BW14" s="87">
        <f>'04_Доходы'!BW132</f>
        <v/>
      </c>
      <c r="BX14" s="87">
        <f>'04_Доходы'!BX132</f>
        <v/>
      </c>
      <c r="BY14" s="87">
        <f>'04_Доходы'!BY132</f>
        <v/>
      </c>
    </row>
    <row r="15">
      <c r="B15" s="56" t="inlineStr">
        <is>
          <t>Лагеря</t>
        </is>
      </c>
      <c r="C15" s="56" t="inlineStr">
        <is>
          <t>₽</t>
        </is>
      </c>
      <c r="D15" s="57" t="inlineStr">
        <is>
          <t>Блок отключён переключателем на листе вводных</t>
        </is>
      </c>
      <c r="E15" s="85">
        <f>SUM(L15:W15)</f>
        <v/>
      </c>
      <c r="F15" s="85">
        <f>SUM(X15:AI15)</f>
        <v/>
      </c>
      <c r="G15" s="85">
        <f>SUM(AJ15:AU15)</f>
        <v/>
      </c>
      <c r="H15" s="85">
        <f>SUM(AV15:BG15)</f>
        <v/>
      </c>
      <c r="I15" s="85">
        <f>SUM(BH15:BS15)</f>
        <v/>
      </c>
      <c r="J15" s="86">
        <f>SUM(L15:BS15)</f>
        <v/>
      </c>
      <c r="L15" s="87">
        <f>0</f>
        <v/>
      </c>
      <c r="M15" s="87">
        <f>0</f>
        <v/>
      </c>
      <c r="N15" s="87">
        <f>0</f>
        <v/>
      </c>
      <c r="O15" s="87">
        <f>0</f>
        <v/>
      </c>
      <c r="P15" s="87">
        <f>0</f>
        <v/>
      </c>
      <c r="Q15" s="87">
        <f>0</f>
        <v/>
      </c>
      <c r="R15" s="87">
        <f>0</f>
        <v/>
      </c>
      <c r="S15" s="87">
        <f>0</f>
        <v/>
      </c>
      <c r="T15" s="87">
        <f>0</f>
        <v/>
      </c>
      <c r="U15" s="87">
        <f>0</f>
        <v/>
      </c>
      <c r="V15" s="87">
        <f>0</f>
        <v/>
      </c>
      <c r="W15" s="87">
        <f>0</f>
        <v/>
      </c>
      <c r="X15" s="87">
        <f>0</f>
        <v/>
      </c>
      <c r="Y15" s="87">
        <f>0</f>
        <v/>
      </c>
      <c r="Z15" s="87">
        <f>0</f>
        <v/>
      </c>
      <c r="AA15" s="87">
        <f>0</f>
        <v/>
      </c>
      <c r="AB15" s="87">
        <f>0</f>
        <v/>
      </c>
      <c r="AC15" s="87">
        <f>0</f>
        <v/>
      </c>
      <c r="AD15" s="87">
        <f>0</f>
        <v/>
      </c>
      <c r="AE15" s="87">
        <f>0</f>
        <v/>
      </c>
      <c r="AF15" s="87">
        <f>0</f>
        <v/>
      </c>
      <c r="AG15" s="87">
        <f>0</f>
        <v/>
      </c>
      <c r="AH15" s="87">
        <f>0</f>
        <v/>
      </c>
      <c r="AI15" s="87">
        <f>0</f>
        <v/>
      </c>
      <c r="AJ15" s="87">
        <f>0</f>
        <v/>
      </c>
      <c r="AK15" s="87">
        <f>0</f>
        <v/>
      </c>
      <c r="AL15" s="87">
        <f>0</f>
        <v/>
      </c>
      <c r="AM15" s="87">
        <f>0</f>
        <v/>
      </c>
      <c r="AN15" s="87">
        <f>0</f>
        <v/>
      </c>
      <c r="AO15" s="87">
        <f>0</f>
        <v/>
      </c>
      <c r="AP15" s="87">
        <f>0</f>
        <v/>
      </c>
      <c r="AQ15" s="87">
        <f>0</f>
        <v/>
      </c>
      <c r="AR15" s="87">
        <f>0</f>
        <v/>
      </c>
      <c r="AS15" s="87">
        <f>0</f>
        <v/>
      </c>
      <c r="AT15" s="87">
        <f>0</f>
        <v/>
      </c>
      <c r="AU15" s="87">
        <f>0</f>
        <v/>
      </c>
      <c r="AV15" s="87">
        <f>0</f>
        <v/>
      </c>
      <c r="AW15" s="87">
        <f>0</f>
        <v/>
      </c>
      <c r="AX15" s="87">
        <f>0</f>
        <v/>
      </c>
      <c r="AY15" s="87">
        <f>0</f>
        <v/>
      </c>
      <c r="AZ15" s="87">
        <f>0</f>
        <v/>
      </c>
      <c r="BA15" s="87">
        <f>0</f>
        <v/>
      </c>
      <c r="BB15" s="87">
        <f>0</f>
        <v/>
      </c>
      <c r="BC15" s="87">
        <f>0</f>
        <v/>
      </c>
      <c r="BD15" s="87">
        <f>0</f>
        <v/>
      </c>
      <c r="BE15" s="87">
        <f>0</f>
        <v/>
      </c>
      <c r="BF15" s="87">
        <f>0</f>
        <v/>
      </c>
      <c r="BG15" s="87">
        <f>0</f>
        <v/>
      </c>
      <c r="BH15" s="87">
        <f>0</f>
        <v/>
      </c>
      <c r="BI15" s="87">
        <f>0</f>
        <v/>
      </c>
      <c r="BJ15" s="87">
        <f>0</f>
        <v/>
      </c>
      <c r="BK15" s="87">
        <f>0</f>
        <v/>
      </c>
      <c r="BL15" s="87">
        <f>0</f>
        <v/>
      </c>
      <c r="BM15" s="87">
        <f>0</f>
        <v/>
      </c>
      <c r="BN15" s="87">
        <f>0</f>
        <v/>
      </c>
      <c r="BO15" s="87">
        <f>0</f>
        <v/>
      </c>
      <c r="BP15" s="87">
        <f>0</f>
        <v/>
      </c>
      <c r="BQ15" s="87">
        <f>0</f>
        <v/>
      </c>
      <c r="BR15" s="87">
        <f>0</f>
        <v/>
      </c>
      <c r="BS15" s="87">
        <f>0</f>
        <v/>
      </c>
      <c r="BT15" s="87">
        <f>0</f>
        <v/>
      </c>
      <c r="BU15" s="87">
        <f>0</f>
        <v/>
      </c>
      <c r="BV15" s="87">
        <f>0</f>
        <v/>
      </c>
      <c r="BW15" s="87">
        <f>0</f>
        <v/>
      </c>
      <c r="BX15" s="87">
        <f>0</f>
        <v/>
      </c>
      <c r="BY15" s="87">
        <f>0</f>
        <v/>
      </c>
    </row>
    <row r="16">
      <c r="B16" s="130" t="inlineStr">
        <is>
          <t>Выручка — всего</t>
        </is>
      </c>
      <c r="C16" s="130" t="inlineStr">
        <is>
          <t>₽</t>
        </is>
      </c>
      <c r="D16" s="156" t="n"/>
      <c r="E16" s="157">
        <f>SUM(L16:W16)</f>
        <v/>
      </c>
      <c r="F16" s="157">
        <f>SUM(X16:AI16)</f>
        <v/>
      </c>
      <c r="G16" s="157">
        <f>SUM(AJ16:AU16)</f>
        <v/>
      </c>
      <c r="H16" s="157">
        <f>SUM(AV16:BG16)</f>
        <v/>
      </c>
      <c r="I16" s="157">
        <f>SUM(BH16:BS16)</f>
        <v/>
      </c>
      <c r="J16" s="134">
        <f>SUM(L16:BS16)</f>
        <v/>
      </c>
      <c r="L16" s="133">
        <f>SUM(L12:L15)</f>
        <v/>
      </c>
      <c r="M16" s="133">
        <f>SUM(M12:M15)</f>
        <v/>
      </c>
      <c r="N16" s="133">
        <f>SUM(N12:N15)</f>
        <v/>
      </c>
      <c r="O16" s="133">
        <f>SUM(O12:O15)</f>
        <v/>
      </c>
      <c r="P16" s="133">
        <f>SUM(P12:P15)</f>
        <v/>
      </c>
      <c r="Q16" s="133">
        <f>SUM(Q12:Q15)</f>
        <v/>
      </c>
      <c r="R16" s="133">
        <f>SUM(R12:R15)</f>
        <v/>
      </c>
      <c r="S16" s="133">
        <f>SUM(S12:S15)</f>
        <v/>
      </c>
      <c r="T16" s="133">
        <f>SUM(T12:T15)</f>
        <v/>
      </c>
      <c r="U16" s="133">
        <f>SUM(U12:U15)</f>
        <v/>
      </c>
      <c r="V16" s="133">
        <f>SUM(V12:V15)</f>
        <v/>
      </c>
      <c r="W16" s="133">
        <f>SUM(W12:W15)</f>
        <v/>
      </c>
      <c r="X16" s="133">
        <f>SUM(X12:X15)</f>
        <v/>
      </c>
      <c r="Y16" s="133">
        <f>SUM(Y12:Y15)</f>
        <v/>
      </c>
      <c r="Z16" s="133">
        <f>SUM(Z12:Z15)</f>
        <v/>
      </c>
      <c r="AA16" s="133">
        <f>SUM(AA12:AA15)</f>
        <v/>
      </c>
      <c r="AB16" s="133">
        <f>SUM(AB12:AB15)</f>
        <v/>
      </c>
      <c r="AC16" s="133">
        <f>SUM(AC12:AC15)</f>
        <v/>
      </c>
      <c r="AD16" s="133">
        <f>SUM(AD12:AD15)</f>
        <v/>
      </c>
      <c r="AE16" s="133">
        <f>SUM(AE12:AE15)</f>
        <v/>
      </c>
      <c r="AF16" s="133">
        <f>SUM(AF12:AF15)</f>
        <v/>
      </c>
      <c r="AG16" s="133">
        <f>SUM(AG12:AG15)</f>
        <v/>
      </c>
      <c r="AH16" s="133">
        <f>SUM(AH12:AH15)</f>
        <v/>
      </c>
      <c r="AI16" s="133">
        <f>SUM(AI12:AI15)</f>
        <v/>
      </c>
      <c r="AJ16" s="133">
        <f>SUM(AJ12:AJ15)</f>
        <v/>
      </c>
      <c r="AK16" s="133">
        <f>SUM(AK12:AK15)</f>
        <v/>
      </c>
      <c r="AL16" s="133">
        <f>SUM(AL12:AL15)</f>
        <v/>
      </c>
      <c r="AM16" s="133">
        <f>SUM(AM12:AM15)</f>
        <v/>
      </c>
      <c r="AN16" s="133">
        <f>SUM(AN12:AN15)</f>
        <v/>
      </c>
      <c r="AO16" s="133">
        <f>SUM(AO12:AO15)</f>
        <v/>
      </c>
      <c r="AP16" s="133">
        <f>SUM(AP12:AP15)</f>
        <v/>
      </c>
      <c r="AQ16" s="133">
        <f>SUM(AQ12:AQ15)</f>
        <v/>
      </c>
      <c r="AR16" s="133">
        <f>SUM(AR12:AR15)</f>
        <v/>
      </c>
      <c r="AS16" s="133">
        <f>SUM(AS12:AS15)</f>
        <v/>
      </c>
      <c r="AT16" s="133">
        <f>SUM(AT12:AT15)</f>
        <v/>
      </c>
      <c r="AU16" s="133">
        <f>SUM(AU12:AU15)</f>
        <v/>
      </c>
      <c r="AV16" s="133">
        <f>SUM(AV12:AV15)</f>
        <v/>
      </c>
      <c r="AW16" s="133">
        <f>SUM(AW12:AW15)</f>
        <v/>
      </c>
      <c r="AX16" s="133">
        <f>SUM(AX12:AX15)</f>
        <v/>
      </c>
      <c r="AY16" s="133">
        <f>SUM(AY12:AY15)</f>
        <v/>
      </c>
      <c r="AZ16" s="133">
        <f>SUM(AZ12:AZ15)</f>
        <v/>
      </c>
      <c r="BA16" s="133">
        <f>SUM(BA12:BA15)</f>
        <v/>
      </c>
      <c r="BB16" s="133">
        <f>SUM(BB12:BB15)</f>
        <v/>
      </c>
      <c r="BC16" s="133">
        <f>SUM(BC12:BC15)</f>
        <v/>
      </c>
      <c r="BD16" s="133">
        <f>SUM(BD12:BD15)</f>
        <v/>
      </c>
      <c r="BE16" s="133">
        <f>SUM(BE12:BE15)</f>
        <v/>
      </c>
      <c r="BF16" s="133">
        <f>SUM(BF12:BF15)</f>
        <v/>
      </c>
      <c r="BG16" s="133">
        <f>SUM(BG12:BG15)</f>
        <v/>
      </c>
      <c r="BH16" s="133">
        <f>SUM(BH12:BH15)</f>
        <v/>
      </c>
      <c r="BI16" s="133">
        <f>SUM(BI12:BI15)</f>
        <v/>
      </c>
      <c r="BJ16" s="133">
        <f>SUM(BJ12:BJ15)</f>
        <v/>
      </c>
      <c r="BK16" s="133">
        <f>SUM(BK12:BK15)</f>
        <v/>
      </c>
      <c r="BL16" s="133">
        <f>SUM(BL12:BL15)</f>
        <v/>
      </c>
      <c r="BM16" s="133">
        <f>SUM(BM12:BM15)</f>
        <v/>
      </c>
      <c r="BN16" s="133">
        <f>SUM(BN12:BN15)</f>
        <v/>
      </c>
      <c r="BO16" s="133">
        <f>SUM(BO12:BO15)</f>
        <v/>
      </c>
      <c r="BP16" s="133">
        <f>SUM(BP12:BP15)</f>
        <v/>
      </c>
      <c r="BQ16" s="133">
        <f>SUM(BQ12:BQ15)</f>
        <v/>
      </c>
      <c r="BR16" s="133">
        <f>SUM(BR12:BR15)</f>
        <v/>
      </c>
      <c r="BS16" s="133">
        <f>SUM(BS12:BS15)</f>
        <v/>
      </c>
      <c r="BT16" s="133">
        <f>SUM(BT12:BT15)</f>
        <v/>
      </c>
      <c r="BU16" s="133">
        <f>SUM(BU12:BU15)</f>
        <v/>
      </c>
      <c r="BV16" s="133">
        <f>SUM(BV12:BV15)</f>
        <v/>
      </c>
      <c r="BW16" s="133">
        <f>SUM(BW12:BW15)</f>
        <v/>
      </c>
      <c r="BX16" s="133">
        <f>SUM(BX12:BX15)</f>
        <v/>
      </c>
      <c r="BY16" s="133">
        <f>SUM(BY12:BY15)</f>
        <v/>
      </c>
    </row>
    <row r="17">
      <c r="B17" s="56" t="inlineStr">
        <is>
          <t>COGS мерча</t>
        </is>
      </c>
      <c r="C17" s="56" t="inlineStr">
        <is>
          <t>₽</t>
        </is>
      </c>
      <c r="D17" s="57" t="n"/>
      <c r="E17" s="85">
        <f>SUM(L17:W17)</f>
        <v/>
      </c>
      <c r="F17" s="85">
        <f>SUM(X17:AI17)</f>
        <v/>
      </c>
      <c r="G17" s="85">
        <f>SUM(AJ17:AU17)</f>
        <v/>
      </c>
      <c r="H17" s="85">
        <f>SUM(AV17:BG17)</f>
        <v/>
      </c>
      <c r="I17" s="85">
        <f>SUM(BH17:BS17)</f>
        <v/>
      </c>
      <c r="J17" s="86">
        <f>SUM(L17:BS17)</f>
        <v/>
      </c>
      <c r="L17" s="87">
        <f>'04_Доходы'!L133</f>
        <v/>
      </c>
      <c r="M17" s="87">
        <f>'04_Доходы'!M133</f>
        <v/>
      </c>
      <c r="N17" s="87">
        <f>'04_Доходы'!N133</f>
        <v/>
      </c>
      <c r="O17" s="87">
        <f>'04_Доходы'!O133</f>
        <v/>
      </c>
      <c r="P17" s="87">
        <f>'04_Доходы'!P133</f>
        <v/>
      </c>
      <c r="Q17" s="87">
        <f>'04_Доходы'!Q133</f>
        <v/>
      </c>
      <c r="R17" s="87">
        <f>'04_Доходы'!R133</f>
        <v/>
      </c>
      <c r="S17" s="87">
        <f>'04_Доходы'!S133</f>
        <v/>
      </c>
      <c r="T17" s="87">
        <f>'04_Доходы'!T133</f>
        <v/>
      </c>
      <c r="U17" s="87">
        <f>'04_Доходы'!U133</f>
        <v/>
      </c>
      <c r="V17" s="87">
        <f>'04_Доходы'!V133</f>
        <v/>
      </c>
      <c r="W17" s="87">
        <f>'04_Доходы'!W133</f>
        <v/>
      </c>
      <c r="X17" s="87">
        <f>'04_Доходы'!X133</f>
        <v/>
      </c>
      <c r="Y17" s="87">
        <f>'04_Доходы'!Y133</f>
        <v/>
      </c>
      <c r="Z17" s="87">
        <f>'04_Доходы'!Z133</f>
        <v/>
      </c>
      <c r="AA17" s="87">
        <f>'04_Доходы'!AA133</f>
        <v/>
      </c>
      <c r="AB17" s="87">
        <f>'04_Доходы'!AB133</f>
        <v/>
      </c>
      <c r="AC17" s="87">
        <f>'04_Доходы'!AC133</f>
        <v/>
      </c>
      <c r="AD17" s="87">
        <f>'04_Доходы'!AD133</f>
        <v/>
      </c>
      <c r="AE17" s="87">
        <f>'04_Доходы'!AE133</f>
        <v/>
      </c>
      <c r="AF17" s="87">
        <f>'04_Доходы'!AF133</f>
        <v/>
      </c>
      <c r="AG17" s="87">
        <f>'04_Доходы'!AG133</f>
        <v/>
      </c>
      <c r="AH17" s="87">
        <f>'04_Доходы'!AH133</f>
        <v/>
      </c>
      <c r="AI17" s="87">
        <f>'04_Доходы'!AI133</f>
        <v/>
      </c>
      <c r="AJ17" s="87">
        <f>'04_Доходы'!AJ133</f>
        <v/>
      </c>
      <c r="AK17" s="87">
        <f>'04_Доходы'!AK133</f>
        <v/>
      </c>
      <c r="AL17" s="87">
        <f>'04_Доходы'!AL133</f>
        <v/>
      </c>
      <c r="AM17" s="87">
        <f>'04_Доходы'!AM133</f>
        <v/>
      </c>
      <c r="AN17" s="87">
        <f>'04_Доходы'!AN133</f>
        <v/>
      </c>
      <c r="AO17" s="87">
        <f>'04_Доходы'!AO133</f>
        <v/>
      </c>
      <c r="AP17" s="87">
        <f>'04_Доходы'!AP133</f>
        <v/>
      </c>
      <c r="AQ17" s="87">
        <f>'04_Доходы'!AQ133</f>
        <v/>
      </c>
      <c r="AR17" s="87">
        <f>'04_Доходы'!AR133</f>
        <v/>
      </c>
      <c r="AS17" s="87">
        <f>'04_Доходы'!AS133</f>
        <v/>
      </c>
      <c r="AT17" s="87">
        <f>'04_Доходы'!AT133</f>
        <v/>
      </c>
      <c r="AU17" s="87">
        <f>'04_Доходы'!AU133</f>
        <v/>
      </c>
      <c r="AV17" s="87">
        <f>'04_Доходы'!AV133</f>
        <v/>
      </c>
      <c r="AW17" s="87">
        <f>'04_Доходы'!AW133</f>
        <v/>
      </c>
      <c r="AX17" s="87">
        <f>'04_Доходы'!AX133</f>
        <v/>
      </c>
      <c r="AY17" s="87">
        <f>'04_Доходы'!AY133</f>
        <v/>
      </c>
      <c r="AZ17" s="87">
        <f>'04_Доходы'!AZ133</f>
        <v/>
      </c>
      <c r="BA17" s="87">
        <f>'04_Доходы'!BA133</f>
        <v/>
      </c>
      <c r="BB17" s="87">
        <f>'04_Доходы'!BB133</f>
        <v/>
      </c>
      <c r="BC17" s="87">
        <f>'04_Доходы'!BC133</f>
        <v/>
      </c>
      <c r="BD17" s="87">
        <f>'04_Доходы'!BD133</f>
        <v/>
      </c>
      <c r="BE17" s="87">
        <f>'04_Доходы'!BE133</f>
        <v/>
      </c>
      <c r="BF17" s="87">
        <f>'04_Доходы'!BF133</f>
        <v/>
      </c>
      <c r="BG17" s="87">
        <f>'04_Доходы'!BG133</f>
        <v/>
      </c>
      <c r="BH17" s="87">
        <f>'04_Доходы'!BH133</f>
        <v/>
      </c>
      <c r="BI17" s="87">
        <f>'04_Доходы'!BI133</f>
        <v/>
      </c>
      <c r="BJ17" s="87">
        <f>'04_Доходы'!BJ133</f>
        <v/>
      </c>
      <c r="BK17" s="87">
        <f>'04_Доходы'!BK133</f>
        <v/>
      </c>
      <c r="BL17" s="87">
        <f>'04_Доходы'!BL133</f>
        <v/>
      </c>
      <c r="BM17" s="87">
        <f>'04_Доходы'!BM133</f>
        <v/>
      </c>
      <c r="BN17" s="87">
        <f>'04_Доходы'!BN133</f>
        <v/>
      </c>
      <c r="BO17" s="87">
        <f>'04_Доходы'!BO133</f>
        <v/>
      </c>
      <c r="BP17" s="87">
        <f>'04_Доходы'!BP133</f>
        <v/>
      </c>
      <c r="BQ17" s="87">
        <f>'04_Доходы'!BQ133</f>
        <v/>
      </c>
      <c r="BR17" s="87">
        <f>'04_Доходы'!BR133</f>
        <v/>
      </c>
      <c r="BS17" s="87">
        <f>'04_Доходы'!BS133</f>
        <v/>
      </c>
      <c r="BT17" s="87">
        <f>'04_Доходы'!BT133</f>
        <v/>
      </c>
      <c r="BU17" s="87">
        <f>'04_Доходы'!BU133</f>
        <v/>
      </c>
      <c r="BV17" s="87">
        <f>'04_Доходы'!BV133</f>
        <v/>
      </c>
      <c r="BW17" s="87">
        <f>'04_Доходы'!BW133</f>
        <v/>
      </c>
      <c r="BX17" s="87">
        <f>'04_Доходы'!BX133</f>
        <v/>
      </c>
      <c r="BY17" s="87">
        <f>'04_Доходы'!BY133</f>
        <v/>
      </c>
    </row>
    <row r="18">
      <c r="B18" s="56" t="inlineStr">
        <is>
          <t>Логистика, возвраты, брак</t>
        </is>
      </c>
      <c r="C18" s="56" t="inlineStr">
        <is>
          <t>₽</t>
        </is>
      </c>
      <c r="D18" s="57" t="n"/>
      <c r="E18" s="85">
        <f>SUM(L18:W18)</f>
        <v/>
      </c>
      <c r="F18" s="85">
        <f>SUM(X18:AI18)</f>
        <v/>
      </c>
      <c r="G18" s="85">
        <f>SUM(AJ18:AU18)</f>
        <v/>
      </c>
      <c r="H18" s="85">
        <f>SUM(AV18:BG18)</f>
        <v/>
      </c>
      <c r="I18" s="85">
        <f>SUM(BH18:BS18)</f>
        <v/>
      </c>
      <c r="J18" s="86">
        <f>SUM(L18:BS18)</f>
        <v/>
      </c>
      <c r="L18" s="87">
        <f>'04_Доходы'!L134</f>
        <v/>
      </c>
      <c r="M18" s="87">
        <f>'04_Доходы'!M134</f>
        <v/>
      </c>
      <c r="N18" s="87">
        <f>'04_Доходы'!N134</f>
        <v/>
      </c>
      <c r="O18" s="87">
        <f>'04_Доходы'!O134</f>
        <v/>
      </c>
      <c r="P18" s="87">
        <f>'04_Доходы'!P134</f>
        <v/>
      </c>
      <c r="Q18" s="87">
        <f>'04_Доходы'!Q134</f>
        <v/>
      </c>
      <c r="R18" s="87">
        <f>'04_Доходы'!R134</f>
        <v/>
      </c>
      <c r="S18" s="87">
        <f>'04_Доходы'!S134</f>
        <v/>
      </c>
      <c r="T18" s="87">
        <f>'04_Доходы'!T134</f>
        <v/>
      </c>
      <c r="U18" s="87">
        <f>'04_Доходы'!U134</f>
        <v/>
      </c>
      <c r="V18" s="87">
        <f>'04_Доходы'!V134</f>
        <v/>
      </c>
      <c r="W18" s="87">
        <f>'04_Доходы'!W134</f>
        <v/>
      </c>
      <c r="X18" s="87">
        <f>'04_Доходы'!X134</f>
        <v/>
      </c>
      <c r="Y18" s="87">
        <f>'04_Доходы'!Y134</f>
        <v/>
      </c>
      <c r="Z18" s="87">
        <f>'04_Доходы'!Z134</f>
        <v/>
      </c>
      <c r="AA18" s="87">
        <f>'04_Доходы'!AA134</f>
        <v/>
      </c>
      <c r="AB18" s="87">
        <f>'04_Доходы'!AB134</f>
        <v/>
      </c>
      <c r="AC18" s="87">
        <f>'04_Доходы'!AC134</f>
        <v/>
      </c>
      <c r="AD18" s="87">
        <f>'04_Доходы'!AD134</f>
        <v/>
      </c>
      <c r="AE18" s="87">
        <f>'04_Доходы'!AE134</f>
        <v/>
      </c>
      <c r="AF18" s="87">
        <f>'04_Доходы'!AF134</f>
        <v/>
      </c>
      <c r="AG18" s="87">
        <f>'04_Доходы'!AG134</f>
        <v/>
      </c>
      <c r="AH18" s="87">
        <f>'04_Доходы'!AH134</f>
        <v/>
      </c>
      <c r="AI18" s="87">
        <f>'04_Доходы'!AI134</f>
        <v/>
      </c>
      <c r="AJ18" s="87">
        <f>'04_Доходы'!AJ134</f>
        <v/>
      </c>
      <c r="AK18" s="87">
        <f>'04_Доходы'!AK134</f>
        <v/>
      </c>
      <c r="AL18" s="87">
        <f>'04_Доходы'!AL134</f>
        <v/>
      </c>
      <c r="AM18" s="87">
        <f>'04_Доходы'!AM134</f>
        <v/>
      </c>
      <c r="AN18" s="87">
        <f>'04_Доходы'!AN134</f>
        <v/>
      </c>
      <c r="AO18" s="87">
        <f>'04_Доходы'!AO134</f>
        <v/>
      </c>
      <c r="AP18" s="87">
        <f>'04_Доходы'!AP134</f>
        <v/>
      </c>
      <c r="AQ18" s="87">
        <f>'04_Доходы'!AQ134</f>
        <v/>
      </c>
      <c r="AR18" s="87">
        <f>'04_Доходы'!AR134</f>
        <v/>
      </c>
      <c r="AS18" s="87">
        <f>'04_Доходы'!AS134</f>
        <v/>
      </c>
      <c r="AT18" s="87">
        <f>'04_Доходы'!AT134</f>
        <v/>
      </c>
      <c r="AU18" s="87">
        <f>'04_Доходы'!AU134</f>
        <v/>
      </c>
      <c r="AV18" s="87">
        <f>'04_Доходы'!AV134</f>
        <v/>
      </c>
      <c r="AW18" s="87">
        <f>'04_Доходы'!AW134</f>
        <v/>
      </c>
      <c r="AX18" s="87">
        <f>'04_Доходы'!AX134</f>
        <v/>
      </c>
      <c r="AY18" s="87">
        <f>'04_Доходы'!AY134</f>
        <v/>
      </c>
      <c r="AZ18" s="87">
        <f>'04_Доходы'!AZ134</f>
        <v/>
      </c>
      <c r="BA18" s="87">
        <f>'04_Доходы'!BA134</f>
        <v/>
      </c>
      <c r="BB18" s="87">
        <f>'04_Доходы'!BB134</f>
        <v/>
      </c>
      <c r="BC18" s="87">
        <f>'04_Доходы'!BC134</f>
        <v/>
      </c>
      <c r="BD18" s="87">
        <f>'04_Доходы'!BD134</f>
        <v/>
      </c>
      <c r="BE18" s="87">
        <f>'04_Доходы'!BE134</f>
        <v/>
      </c>
      <c r="BF18" s="87">
        <f>'04_Доходы'!BF134</f>
        <v/>
      </c>
      <c r="BG18" s="87">
        <f>'04_Доходы'!BG134</f>
        <v/>
      </c>
      <c r="BH18" s="87">
        <f>'04_Доходы'!BH134</f>
        <v/>
      </c>
      <c r="BI18" s="87">
        <f>'04_Доходы'!BI134</f>
        <v/>
      </c>
      <c r="BJ18" s="87">
        <f>'04_Доходы'!BJ134</f>
        <v/>
      </c>
      <c r="BK18" s="87">
        <f>'04_Доходы'!BK134</f>
        <v/>
      </c>
      <c r="BL18" s="87">
        <f>'04_Доходы'!BL134</f>
        <v/>
      </c>
      <c r="BM18" s="87">
        <f>'04_Доходы'!BM134</f>
        <v/>
      </c>
      <c r="BN18" s="87">
        <f>'04_Доходы'!BN134</f>
        <v/>
      </c>
      <c r="BO18" s="87">
        <f>'04_Доходы'!BO134</f>
        <v/>
      </c>
      <c r="BP18" s="87">
        <f>'04_Доходы'!BP134</f>
        <v/>
      </c>
      <c r="BQ18" s="87">
        <f>'04_Доходы'!BQ134</f>
        <v/>
      </c>
      <c r="BR18" s="87">
        <f>'04_Доходы'!BR134</f>
        <v/>
      </c>
      <c r="BS18" s="87">
        <f>'04_Доходы'!BS134</f>
        <v/>
      </c>
      <c r="BT18" s="87">
        <f>'04_Доходы'!BT134</f>
        <v/>
      </c>
      <c r="BU18" s="87">
        <f>'04_Доходы'!BU134</f>
        <v/>
      </c>
      <c r="BV18" s="87">
        <f>'04_Доходы'!BV134</f>
        <v/>
      </c>
      <c r="BW18" s="87">
        <f>'04_Доходы'!BW134</f>
        <v/>
      </c>
      <c r="BX18" s="87">
        <f>'04_Доходы'!BX134</f>
        <v/>
      </c>
      <c r="BY18" s="87">
        <f>'04_Доходы'!BY134</f>
        <v/>
      </c>
    </row>
    <row r="19">
      <c r="B19" s="56" t="inlineStr">
        <is>
          <t>Клубу: доля прибыли мерча</t>
        </is>
      </c>
      <c r="C19" s="56" t="inlineStr">
        <is>
          <t>₽</t>
        </is>
      </c>
      <c r="D19" s="57" t="n"/>
      <c r="E19" s="85">
        <f>SUM(L19:W19)</f>
        <v/>
      </c>
      <c r="F19" s="85">
        <f>SUM(X19:AI19)</f>
        <v/>
      </c>
      <c r="G19" s="85">
        <f>SUM(AJ19:AU19)</f>
        <v/>
      </c>
      <c r="H19" s="85">
        <f>SUM(AV19:BG19)</f>
        <v/>
      </c>
      <c r="I19" s="85">
        <f>SUM(BH19:BS19)</f>
        <v/>
      </c>
      <c r="J19" s="86">
        <f>SUM(L19:BS19)</f>
        <v/>
      </c>
      <c r="L19" s="87">
        <f>'05_Расходы'!L49</f>
        <v/>
      </c>
      <c r="M19" s="87">
        <f>'05_Расходы'!M49</f>
        <v/>
      </c>
      <c r="N19" s="87">
        <f>'05_Расходы'!N49</f>
        <v/>
      </c>
      <c r="O19" s="87">
        <f>'05_Расходы'!O49</f>
        <v/>
      </c>
      <c r="P19" s="87">
        <f>'05_Расходы'!P49</f>
        <v/>
      </c>
      <c r="Q19" s="87">
        <f>'05_Расходы'!Q49</f>
        <v/>
      </c>
      <c r="R19" s="87">
        <f>'05_Расходы'!R49</f>
        <v/>
      </c>
      <c r="S19" s="87">
        <f>'05_Расходы'!S49</f>
        <v/>
      </c>
      <c r="T19" s="87">
        <f>'05_Расходы'!T49</f>
        <v/>
      </c>
      <c r="U19" s="87">
        <f>'05_Расходы'!U49</f>
        <v/>
      </c>
      <c r="V19" s="87">
        <f>'05_Расходы'!V49</f>
        <v/>
      </c>
      <c r="W19" s="87">
        <f>'05_Расходы'!W49</f>
        <v/>
      </c>
      <c r="X19" s="87">
        <f>'05_Расходы'!X49</f>
        <v/>
      </c>
      <c r="Y19" s="87">
        <f>'05_Расходы'!Y49</f>
        <v/>
      </c>
      <c r="Z19" s="87">
        <f>'05_Расходы'!Z49</f>
        <v/>
      </c>
      <c r="AA19" s="87">
        <f>'05_Расходы'!AA49</f>
        <v/>
      </c>
      <c r="AB19" s="87">
        <f>'05_Расходы'!AB49</f>
        <v/>
      </c>
      <c r="AC19" s="87">
        <f>'05_Расходы'!AC49</f>
        <v/>
      </c>
      <c r="AD19" s="87">
        <f>'05_Расходы'!AD49</f>
        <v/>
      </c>
      <c r="AE19" s="87">
        <f>'05_Расходы'!AE49</f>
        <v/>
      </c>
      <c r="AF19" s="87">
        <f>'05_Расходы'!AF49</f>
        <v/>
      </c>
      <c r="AG19" s="87">
        <f>'05_Расходы'!AG49</f>
        <v/>
      </c>
      <c r="AH19" s="87">
        <f>'05_Расходы'!AH49</f>
        <v/>
      </c>
      <c r="AI19" s="87">
        <f>'05_Расходы'!AI49</f>
        <v/>
      </c>
      <c r="AJ19" s="87">
        <f>'05_Расходы'!AJ49</f>
        <v/>
      </c>
      <c r="AK19" s="87">
        <f>'05_Расходы'!AK49</f>
        <v/>
      </c>
      <c r="AL19" s="87">
        <f>'05_Расходы'!AL49</f>
        <v/>
      </c>
      <c r="AM19" s="87">
        <f>'05_Расходы'!AM49</f>
        <v/>
      </c>
      <c r="AN19" s="87">
        <f>'05_Расходы'!AN49</f>
        <v/>
      </c>
      <c r="AO19" s="87">
        <f>'05_Расходы'!AO49</f>
        <v/>
      </c>
      <c r="AP19" s="87">
        <f>'05_Расходы'!AP49</f>
        <v/>
      </c>
      <c r="AQ19" s="87">
        <f>'05_Расходы'!AQ49</f>
        <v/>
      </c>
      <c r="AR19" s="87">
        <f>'05_Расходы'!AR49</f>
        <v/>
      </c>
      <c r="AS19" s="87">
        <f>'05_Расходы'!AS49</f>
        <v/>
      </c>
      <c r="AT19" s="87">
        <f>'05_Расходы'!AT49</f>
        <v/>
      </c>
      <c r="AU19" s="87">
        <f>'05_Расходы'!AU49</f>
        <v/>
      </c>
      <c r="AV19" s="87">
        <f>'05_Расходы'!AV49</f>
        <v/>
      </c>
      <c r="AW19" s="87">
        <f>'05_Расходы'!AW49</f>
        <v/>
      </c>
      <c r="AX19" s="87">
        <f>'05_Расходы'!AX49</f>
        <v/>
      </c>
      <c r="AY19" s="87">
        <f>'05_Расходы'!AY49</f>
        <v/>
      </c>
      <c r="AZ19" s="87">
        <f>'05_Расходы'!AZ49</f>
        <v/>
      </c>
      <c r="BA19" s="87">
        <f>'05_Расходы'!BA49</f>
        <v/>
      </c>
      <c r="BB19" s="87">
        <f>'05_Расходы'!BB49</f>
        <v/>
      </c>
      <c r="BC19" s="87">
        <f>'05_Расходы'!BC49</f>
        <v/>
      </c>
      <c r="BD19" s="87">
        <f>'05_Расходы'!BD49</f>
        <v/>
      </c>
      <c r="BE19" s="87">
        <f>'05_Расходы'!BE49</f>
        <v/>
      </c>
      <c r="BF19" s="87">
        <f>'05_Расходы'!BF49</f>
        <v/>
      </c>
      <c r="BG19" s="87">
        <f>'05_Расходы'!BG49</f>
        <v/>
      </c>
      <c r="BH19" s="87">
        <f>'05_Расходы'!BH49</f>
        <v/>
      </c>
      <c r="BI19" s="87">
        <f>'05_Расходы'!BI49</f>
        <v/>
      </c>
      <c r="BJ19" s="87">
        <f>'05_Расходы'!BJ49</f>
        <v/>
      </c>
      <c r="BK19" s="87">
        <f>'05_Расходы'!BK49</f>
        <v/>
      </c>
      <c r="BL19" s="87">
        <f>'05_Расходы'!BL49</f>
        <v/>
      </c>
      <c r="BM19" s="87">
        <f>'05_Расходы'!BM49</f>
        <v/>
      </c>
      <c r="BN19" s="87">
        <f>'05_Расходы'!BN49</f>
        <v/>
      </c>
      <c r="BO19" s="87">
        <f>'05_Расходы'!BO49</f>
        <v/>
      </c>
      <c r="BP19" s="87">
        <f>'05_Расходы'!BP49</f>
        <v/>
      </c>
      <c r="BQ19" s="87">
        <f>'05_Расходы'!BQ49</f>
        <v/>
      </c>
      <c r="BR19" s="87">
        <f>'05_Расходы'!BR49</f>
        <v/>
      </c>
      <c r="BS19" s="87">
        <f>'05_Расходы'!BS49</f>
        <v/>
      </c>
      <c r="BT19" s="87">
        <f>'05_Расходы'!BT49</f>
        <v/>
      </c>
      <c r="BU19" s="87">
        <f>'05_Расходы'!BU49</f>
        <v/>
      </c>
      <c r="BV19" s="87">
        <f>'05_Расходы'!BV49</f>
        <v/>
      </c>
      <c r="BW19" s="87">
        <f>'05_Расходы'!BW49</f>
        <v/>
      </c>
      <c r="BX19" s="87">
        <f>'05_Расходы'!BX49</f>
        <v/>
      </c>
      <c r="BY19" s="87">
        <f>'05_Расходы'!BY49</f>
        <v/>
      </c>
    </row>
    <row r="20">
      <c r="B20" s="56" t="inlineStr">
        <is>
          <t>Клубу: доля паушальных</t>
        </is>
      </c>
      <c r="C20" s="56" t="inlineStr">
        <is>
          <t>₽</t>
        </is>
      </c>
      <c r="D20" s="57" t="n"/>
      <c r="E20" s="85">
        <f>SUM(L20:W20)</f>
        <v/>
      </c>
      <c r="F20" s="85">
        <f>SUM(X20:AI20)</f>
        <v/>
      </c>
      <c r="G20" s="85">
        <f>SUM(AJ20:AU20)</f>
        <v/>
      </c>
      <c r="H20" s="85">
        <f>SUM(AV20:BG20)</f>
        <v/>
      </c>
      <c r="I20" s="85">
        <f>SUM(BH20:BS20)</f>
        <v/>
      </c>
      <c r="J20" s="86">
        <f>SUM(L20:BS20)</f>
        <v/>
      </c>
      <c r="L20" s="87">
        <f>'05_Расходы'!L47</f>
        <v/>
      </c>
      <c r="M20" s="87">
        <f>'05_Расходы'!M47</f>
        <v/>
      </c>
      <c r="N20" s="87">
        <f>'05_Расходы'!N47</f>
        <v/>
      </c>
      <c r="O20" s="87">
        <f>'05_Расходы'!O47</f>
        <v/>
      </c>
      <c r="P20" s="87">
        <f>'05_Расходы'!P47</f>
        <v/>
      </c>
      <c r="Q20" s="87">
        <f>'05_Расходы'!Q47</f>
        <v/>
      </c>
      <c r="R20" s="87">
        <f>'05_Расходы'!R47</f>
        <v/>
      </c>
      <c r="S20" s="87">
        <f>'05_Расходы'!S47</f>
        <v/>
      </c>
      <c r="T20" s="87">
        <f>'05_Расходы'!T47</f>
        <v/>
      </c>
      <c r="U20" s="87">
        <f>'05_Расходы'!U47</f>
        <v/>
      </c>
      <c r="V20" s="87">
        <f>'05_Расходы'!V47</f>
        <v/>
      </c>
      <c r="W20" s="87">
        <f>'05_Расходы'!W47</f>
        <v/>
      </c>
      <c r="X20" s="87">
        <f>'05_Расходы'!X47</f>
        <v/>
      </c>
      <c r="Y20" s="87">
        <f>'05_Расходы'!Y47</f>
        <v/>
      </c>
      <c r="Z20" s="87">
        <f>'05_Расходы'!Z47</f>
        <v/>
      </c>
      <c r="AA20" s="87">
        <f>'05_Расходы'!AA47</f>
        <v/>
      </c>
      <c r="AB20" s="87">
        <f>'05_Расходы'!AB47</f>
        <v/>
      </c>
      <c r="AC20" s="87">
        <f>'05_Расходы'!AC47</f>
        <v/>
      </c>
      <c r="AD20" s="87">
        <f>'05_Расходы'!AD47</f>
        <v/>
      </c>
      <c r="AE20" s="87">
        <f>'05_Расходы'!AE47</f>
        <v/>
      </c>
      <c r="AF20" s="87">
        <f>'05_Расходы'!AF47</f>
        <v/>
      </c>
      <c r="AG20" s="87">
        <f>'05_Расходы'!AG47</f>
        <v/>
      </c>
      <c r="AH20" s="87">
        <f>'05_Расходы'!AH47</f>
        <v/>
      </c>
      <c r="AI20" s="87">
        <f>'05_Расходы'!AI47</f>
        <v/>
      </c>
      <c r="AJ20" s="87">
        <f>'05_Расходы'!AJ47</f>
        <v/>
      </c>
      <c r="AK20" s="87">
        <f>'05_Расходы'!AK47</f>
        <v/>
      </c>
      <c r="AL20" s="87">
        <f>'05_Расходы'!AL47</f>
        <v/>
      </c>
      <c r="AM20" s="87">
        <f>'05_Расходы'!AM47</f>
        <v/>
      </c>
      <c r="AN20" s="87">
        <f>'05_Расходы'!AN47</f>
        <v/>
      </c>
      <c r="AO20" s="87">
        <f>'05_Расходы'!AO47</f>
        <v/>
      </c>
      <c r="AP20" s="87">
        <f>'05_Расходы'!AP47</f>
        <v/>
      </c>
      <c r="AQ20" s="87">
        <f>'05_Расходы'!AQ47</f>
        <v/>
      </c>
      <c r="AR20" s="87">
        <f>'05_Расходы'!AR47</f>
        <v/>
      </c>
      <c r="AS20" s="87">
        <f>'05_Расходы'!AS47</f>
        <v/>
      </c>
      <c r="AT20" s="87">
        <f>'05_Расходы'!AT47</f>
        <v/>
      </c>
      <c r="AU20" s="87">
        <f>'05_Расходы'!AU47</f>
        <v/>
      </c>
      <c r="AV20" s="87">
        <f>'05_Расходы'!AV47</f>
        <v/>
      </c>
      <c r="AW20" s="87">
        <f>'05_Расходы'!AW47</f>
        <v/>
      </c>
      <c r="AX20" s="87">
        <f>'05_Расходы'!AX47</f>
        <v/>
      </c>
      <c r="AY20" s="87">
        <f>'05_Расходы'!AY47</f>
        <v/>
      </c>
      <c r="AZ20" s="87">
        <f>'05_Расходы'!AZ47</f>
        <v/>
      </c>
      <c r="BA20" s="87">
        <f>'05_Расходы'!BA47</f>
        <v/>
      </c>
      <c r="BB20" s="87">
        <f>'05_Расходы'!BB47</f>
        <v/>
      </c>
      <c r="BC20" s="87">
        <f>'05_Расходы'!BC47</f>
        <v/>
      </c>
      <c r="BD20" s="87">
        <f>'05_Расходы'!BD47</f>
        <v/>
      </c>
      <c r="BE20" s="87">
        <f>'05_Расходы'!BE47</f>
        <v/>
      </c>
      <c r="BF20" s="87">
        <f>'05_Расходы'!BF47</f>
        <v/>
      </c>
      <c r="BG20" s="87">
        <f>'05_Расходы'!BG47</f>
        <v/>
      </c>
      <c r="BH20" s="87">
        <f>'05_Расходы'!BH47</f>
        <v/>
      </c>
      <c r="BI20" s="87">
        <f>'05_Расходы'!BI47</f>
        <v/>
      </c>
      <c r="BJ20" s="87">
        <f>'05_Расходы'!BJ47</f>
        <v/>
      </c>
      <c r="BK20" s="87">
        <f>'05_Расходы'!BK47</f>
        <v/>
      </c>
      <c r="BL20" s="87">
        <f>'05_Расходы'!BL47</f>
        <v/>
      </c>
      <c r="BM20" s="87">
        <f>'05_Расходы'!BM47</f>
        <v/>
      </c>
      <c r="BN20" s="87">
        <f>'05_Расходы'!BN47</f>
        <v/>
      </c>
      <c r="BO20" s="87">
        <f>'05_Расходы'!BO47</f>
        <v/>
      </c>
      <c r="BP20" s="87">
        <f>'05_Расходы'!BP47</f>
        <v/>
      </c>
      <c r="BQ20" s="87">
        <f>'05_Расходы'!BQ47</f>
        <v/>
      </c>
      <c r="BR20" s="87">
        <f>'05_Расходы'!BR47</f>
        <v/>
      </c>
      <c r="BS20" s="87">
        <f>'05_Расходы'!BS47</f>
        <v/>
      </c>
      <c r="BT20" s="87">
        <f>'05_Расходы'!BT47</f>
        <v/>
      </c>
      <c r="BU20" s="87">
        <f>'05_Расходы'!BU47</f>
        <v/>
      </c>
      <c r="BV20" s="87">
        <f>'05_Расходы'!BV47</f>
        <v/>
      </c>
      <c r="BW20" s="87">
        <f>'05_Расходы'!BW47</f>
        <v/>
      </c>
      <c r="BX20" s="87">
        <f>'05_Расходы'!BX47</f>
        <v/>
      </c>
      <c r="BY20" s="87">
        <f>'05_Расходы'!BY47</f>
        <v/>
      </c>
    </row>
    <row r="21" ht="15.75" customHeight="1" s="194">
      <c r="B21" s="56" t="inlineStr">
        <is>
          <t>Клубу: доля роялти</t>
        </is>
      </c>
      <c r="C21" s="56" t="inlineStr">
        <is>
          <t>₽</t>
        </is>
      </c>
      <c r="D21" s="57" t="n"/>
      <c r="E21" s="85">
        <f>SUM(L21:W21)</f>
        <v/>
      </c>
      <c r="F21" s="85">
        <f>SUM(X21:AI21)</f>
        <v/>
      </c>
      <c r="G21" s="85">
        <f>SUM(AJ21:AU21)</f>
        <v/>
      </c>
      <c r="H21" s="85">
        <f>SUM(AV21:BG21)</f>
        <v/>
      </c>
      <c r="I21" s="85">
        <f>SUM(BH21:BS21)</f>
        <v/>
      </c>
      <c r="J21" s="86">
        <f>SUM(L21:BS21)</f>
        <v/>
      </c>
      <c r="L21" s="87">
        <f>'05_Расходы'!L48</f>
        <v/>
      </c>
      <c r="M21" s="87">
        <f>'05_Расходы'!M48</f>
        <v/>
      </c>
      <c r="N21" s="87">
        <f>'05_Расходы'!N48</f>
        <v/>
      </c>
      <c r="O21" s="87">
        <f>'05_Расходы'!O48</f>
        <v/>
      </c>
      <c r="P21" s="87">
        <f>'05_Расходы'!P48</f>
        <v/>
      </c>
      <c r="Q21" s="87">
        <f>'05_Расходы'!Q48</f>
        <v/>
      </c>
      <c r="R21" s="87">
        <f>'05_Расходы'!R48</f>
        <v/>
      </c>
      <c r="S21" s="87">
        <f>'05_Расходы'!S48</f>
        <v/>
      </c>
      <c r="T21" s="87">
        <f>'05_Расходы'!T48</f>
        <v/>
      </c>
      <c r="U21" s="87">
        <f>'05_Расходы'!U48</f>
        <v/>
      </c>
      <c r="V21" s="87">
        <f>'05_Расходы'!V48</f>
        <v/>
      </c>
      <c r="W21" s="87">
        <f>'05_Расходы'!W48</f>
        <v/>
      </c>
      <c r="X21" s="87">
        <f>'05_Расходы'!X48</f>
        <v/>
      </c>
      <c r="Y21" s="87">
        <f>'05_Расходы'!Y48</f>
        <v/>
      </c>
      <c r="Z21" s="87">
        <f>'05_Расходы'!Z48</f>
        <v/>
      </c>
      <c r="AA21" s="87">
        <f>'05_Расходы'!AA48</f>
        <v/>
      </c>
      <c r="AB21" s="87">
        <f>'05_Расходы'!AB48</f>
        <v/>
      </c>
      <c r="AC21" s="87">
        <f>'05_Расходы'!AC48</f>
        <v/>
      </c>
      <c r="AD21" s="87">
        <f>'05_Расходы'!AD48</f>
        <v/>
      </c>
      <c r="AE21" s="87">
        <f>'05_Расходы'!AE48</f>
        <v/>
      </c>
      <c r="AF21" s="87">
        <f>'05_Расходы'!AF48</f>
        <v/>
      </c>
      <c r="AG21" s="87">
        <f>'05_Расходы'!AG48</f>
        <v/>
      </c>
      <c r="AH21" s="87">
        <f>'05_Расходы'!AH48</f>
        <v/>
      </c>
      <c r="AI21" s="87">
        <f>'05_Расходы'!AI48</f>
        <v/>
      </c>
      <c r="AJ21" s="87">
        <f>'05_Расходы'!AJ48</f>
        <v/>
      </c>
      <c r="AK21" s="87">
        <f>'05_Расходы'!AK48</f>
        <v/>
      </c>
      <c r="AL21" s="87">
        <f>'05_Расходы'!AL48</f>
        <v/>
      </c>
      <c r="AM21" s="87">
        <f>'05_Расходы'!AM48</f>
        <v/>
      </c>
      <c r="AN21" s="87">
        <f>'05_Расходы'!AN48</f>
        <v/>
      </c>
      <c r="AO21" s="87">
        <f>'05_Расходы'!AO48</f>
        <v/>
      </c>
      <c r="AP21" s="87">
        <f>'05_Расходы'!AP48</f>
        <v/>
      </c>
      <c r="AQ21" s="87">
        <f>'05_Расходы'!AQ48</f>
        <v/>
      </c>
      <c r="AR21" s="87">
        <f>'05_Расходы'!AR48</f>
        <v/>
      </c>
      <c r="AS21" s="87">
        <f>'05_Расходы'!AS48</f>
        <v/>
      </c>
      <c r="AT21" s="87">
        <f>'05_Расходы'!AT48</f>
        <v/>
      </c>
      <c r="AU21" s="87">
        <f>'05_Расходы'!AU48</f>
        <v/>
      </c>
      <c r="AV21" s="87">
        <f>'05_Расходы'!AV48</f>
        <v/>
      </c>
      <c r="AW21" s="87">
        <f>'05_Расходы'!AW48</f>
        <v/>
      </c>
      <c r="AX21" s="87">
        <f>'05_Расходы'!AX48</f>
        <v/>
      </c>
      <c r="AY21" s="87">
        <f>'05_Расходы'!AY48</f>
        <v/>
      </c>
      <c r="AZ21" s="87">
        <f>'05_Расходы'!AZ48</f>
        <v/>
      </c>
      <c r="BA21" s="87">
        <f>'05_Расходы'!BA48</f>
        <v/>
      </c>
      <c r="BB21" s="87">
        <f>'05_Расходы'!BB48</f>
        <v/>
      </c>
      <c r="BC21" s="87">
        <f>'05_Расходы'!BC48</f>
        <v/>
      </c>
      <c r="BD21" s="87">
        <f>'05_Расходы'!BD48</f>
        <v/>
      </c>
      <c r="BE21" s="87">
        <f>'05_Расходы'!BE48</f>
        <v/>
      </c>
      <c r="BF21" s="87">
        <f>'05_Расходы'!BF48</f>
        <v/>
      </c>
      <c r="BG21" s="87">
        <f>'05_Расходы'!BG48</f>
        <v/>
      </c>
      <c r="BH21" s="87">
        <f>'05_Расходы'!BH48</f>
        <v/>
      </c>
      <c r="BI21" s="87">
        <f>'05_Расходы'!BI48</f>
        <v/>
      </c>
      <c r="BJ21" s="87">
        <f>'05_Расходы'!BJ48</f>
        <v/>
      </c>
      <c r="BK21" s="87">
        <f>'05_Расходы'!BK48</f>
        <v/>
      </c>
      <c r="BL21" s="87">
        <f>'05_Расходы'!BL48</f>
        <v/>
      </c>
      <c r="BM21" s="87">
        <f>'05_Расходы'!BM48</f>
        <v/>
      </c>
      <c r="BN21" s="87">
        <f>'05_Расходы'!BN48</f>
        <v/>
      </c>
      <c r="BO21" s="87">
        <f>'05_Расходы'!BO48</f>
        <v/>
      </c>
      <c r="BP21" s="87">
        <f>'05_Расходы'!BP48</f>
        <v/>
      </c>
      <c r="BQ21" s="87">
        <f>'05_Расходы'!BQ48</f>
        <v/>
      </c>
      <c r="BR21" s="87">
        <f>'05_Расходы'!BR48</f>
        <v/>
      </c>
      <c r="BS21" s="87">
        <f>'05_Расходы'!BS48</f>
        <v/>
      </c>
      <c r="BT21" s="87">
        <f>'05_Расходы'!BT48</f>
        <v/>
      </c>
      <c r="BU21" s="87">
        <f>'05_Расходы'!BU48</f>
        <v/>
      </c>
      <c r="BV21" s="87">
        <f>'05_Расходы'!BV48</f>
        <v/>
      </c>
      <c r="BW21" s="87">
        <f>'05_Расходы'!BW48</f>
        <v/>
      </c>
      <c r="BX21" s="87">
        <f>'05_Расходы'!BX48</f>
        <v/>
      </c>
      <c r="BY21" s="87">
        <f>'05_Расходы'!BY48</f>
        <v/>
      </c>
    </row>
    <row r="22" ht="15.75" customHeight="1" s="194">
      <c r="B22" s="130" t="inlineStr">
        <is>
          <t>Прямые расходы — всего</t>
        </is>
      </c>
      <c r="C22" s="130" t="inlineStr">
        <is>
          <t>₽</t>
        </is>
      </c>
      <c r="D22" s="156" t="n"/>
      <c r="E22" s="157">
        <f>SUM(L22:W22)</f>
        <v/>
      </c>
      <c r="F22" s="157">
        <f>SUM(X22:AI22)</f>
        <v/>
      </c>
      <c r="G22" s="157">
        <f>SUM(AJ22:AU22)</f>
        <v/>
      </c>
      <c r="H22" s="157">
        <f>SUM(AV22:BG22)</f>
        <v/>
      </c>
      <c r="I22" s="157">
        <f>SUM(BH22:BS22)</f>
        <v/>
      </c>
      <c r="J22" s="134">
        <f>SUM(L22:BS22)</f>
        <v/>
      </c>
      <c r="L22" s="133">
        <f>SUM(L17:L21)</f>
        <v/>
      </c>
      <c r="M22" s="133">
        <f>SUM(M17:M21)</f>
        <v/>
      </c>
      <c r="N22" s="133">
        <f>SUM(N17:N21)</f>
        <v/>
      </c>
      <c r="O22" s="133">
        <f>SUM(O17:O21)</f>
        <v/>
      </c>
      <c r="P22" s="133">
        <f>SUM(P17:P21)</f>
        <v/>
      </c>
      <c r="Q22" s="133">
        <f>SUM(Q17:Q21)</f>
        <v/>
      </c>
      <c r="R22" s="133">
        <f>SUM(R17:R21)</f>
        <v/>
      </c>
      <c r="S22" s="133">
        <f>SUM(S17:S21)</f>
        <v/>
      </c>
      <c r="T22" s="133">
        <f>SUM(T17:T21)</f>
        <v/>
      </c>
      <c r="U22" s="133">
        <f>SUM(U17:U21)</f>
        <v/>
      </c>
      <c r="V22" s="133">
        <f>SUM(V17:V21)</f>
        <v/>
      </c>
      <c r="W22" s="133">
        <f>SUM(W17:W21)</f>
        <v/>
      </c>
      <c r="X22" s="133">
        <f>SUM(X17:X21)</f>
        <v/>
      </c>
      <c r="Y22" s="133">
        <f>SUM(Y17:Y21)</f>
        <v/>
      </c>
      <c r="Z22" s="133">
        <f>SUM(Z17:Z21)</f>
        <v/>
      </c>
      <c r="AA22" s="133">
        <f>SUM(AA17:AA21)</f>
        <v/>
      </c>
      <c r="AB22" s="133">
        <f>SUM(AB17:AB21)</f>
        <v/>
      </c>
      <c r="AC22" s="133">
        <f>SUM(AC17:AC21)</f>
        <v/>
      </c>
      <c r="AD22" s="133">
        <f>SUM(AD17:AD21)</f>
        <v/>
      </c>
      <c r="AE22" s="133">
        <f>SUM(AE17:AE21)</f>
        <v/>
      </c>
      <c r="AF22" s="133">
        <f>SUM(AF17:AF21)</f>
        <v/>
      </c>
      <c r="AG22" s="133">
        <f>SUM(AG17:AG21)</f>
        <v/>
      </c>
      <c r="AH22" s="133">
        <f>SUM(AH17:AH21)</f>
        <v/>
      </c>
      <c r="AI22" s="133">
        <f>SUM(AI17:AI21)</f>
        <v/>
      </c>
      <c r="AJ22" s="133">
        <f>SUM(AJ17:AJ21)</f>
        <v/>
      </c>
      <c r="AK22" s="133">
        <f>SUM(AK17:AK21)</f>
        <v/>
      </c>
      <c r="AL22" s="133">
        <f>SUM(AL17:AL21)</f>
        <v/>
      </c>
      <c r="AM22" s="133">
        <f>SUM(AM17:AM21)</f>
        <v/>
      </c>
      <c r="AN22" s="133">
        <f>SUM(AN17:AN21)</f>
        <v/>
      </c>
      <c r="AO22" s="133">
        <f>SUM(AO17:AO21)</f>
        <v/>
      </c>
      <c r="AP22" s="133">
        <f>SUM(AP17:AP21)</f>
        <v/>
      </c>
      <c r="AQ22" s="133">
        <f>SUM(AQ17:AQ21)</f>
        <v/>
      </c>
      <c r="AR22" s="133">
        <f>SUM(AR17:AR21)</f>
        <v/>
      </c>
      <c r="AS22" s="133">
        <f>SUM(AS17:AS21)</f>
        <v/>
      </c>
      <c r="AT22" s="133">
        <f>SUM(AT17:AT21)</f>
        <v/>
      </c>
      <c r="AU22" s="133">
        <f>SUM(AU17:AU21)</f>
        <v/>
      </c>
      <c r="AV22" s="133">
        <f>SUM(AV17:AV21)</f>
        <v/>
      </c>
      <c r="AW22" s="133">
        <f>SUM(AW17:AW21)</f>
        <v/>
      </c>
      <c r="AX22" s="133">
        <f>SUM(AX17:AX21)</f>
        <v/>
      </c>
      <c r="AY22" s="133">
        <f>SUM(AY17:AY21)</f>
        <v/>
      </c>
      <c r="AZ22" s="133">
        <f>SUM(AZ17:AZ21)</f>
        <v/>
      </c>
      <c r="BA22" s="133">
        <f>SUM(BA17:BA21)</f>
        <v/>
      </c>
      <c r="BB22" s="133">
        <f>SUM(BB17:BB21)</f>
        <v/>
      </c>
      <c r="BC22" s="133">
        <f>SUM(BC17:BC21)</f>
        <v/>
      </c>
      <c r="BD22" s="133">
        <f>SUM(BD17:BD21)</f>
        <v/>
      </c>
      <c r="BE22" s="133">
        <f>SUM(BE17:BE21)</f>
        <v/>
      </c>
      <c r="BF22" s="133">
        <f>SUM(BF17:BF21)</f>
        <v/>
      </c>
      <c r="BG22" s="133">
        <f>SUM(BG17:BG21)</f>
        <v/>
      </c>
      <c r="BH22" s="133">
        <f>SUM(BH17:BH21)</f>
        <v/>
      </c>
      <c r="BI22" s="133">
        <f>SUM(BI17:BI21)</f>
        <v/>
      </c>
      <c r="BJ22" s="133">
        <f>SUM(BJ17:BJ21)</f>
        <v/>
      </c>
      <c r="BK22" s="133">
        <f>SUM(BK17:BK21)</f>
        <v/>
      </c>
      <c r="BL22" s="133">
        <f>SUM(BL17:BL21)</f>
        <v/>
      </c>
      <c r="BM22" s="133">
        <f>SUM(BM17:BM21)</f>
        <v/>
      </c>
      <c r="BN22" s="133">
        <f>SUM(BN17:BN21)</f>
        <v/>
      </c>
      <c r="BO22" s="133">
        <f>SUM(BO17:BO21)</f>
        <v/>
      </c>
      <c r="BP22" s="133">
        <f>SUM(BP17:BP21)</f>
        <v/>
      </c>
      <c r="BQ22" s="133">
        <f>SUM(BQ17:BQ21)</f>
        <v/>
      </c>
      <c r="BR22" s="133">
        <f>SUM(BR17:BR21)</f>
        <v/>
      </c>
      <c r="BS22" s="133">
        <f>SUM(BS17:BS21)</f>
        <v/>
      </c>
      <c r="BT22" s="133">
        <f>SUM(BT17:BT21)</f>
        <v/>
      </c>
      <c r="BU22" s="133">
        <f>SUM(BU17:BU21)</f>
        <v/>
      </c>
      <c r="BV22" s="133">
        <f>SUM(BV17:BV21)</f>
        <v/>
      </c>
      <c r="BW22" s="133">
        <f>SUM(BW17:BW21)</f>
        <v/>
      </c>
      <c r="BX22" s="133">
        <f>SUM(BX17:BX21)</f>
        <v/>
      </c>
      <c r="BY22" s="133">
        <f>SUM(BY17:BY21)</f>
        <v/>
      </c>
    </row>
    <row r="23" ht="15.75" customHeight="1" s="194">
      <c r="B23" s="130" t="inlineStr">
        <is>
          <t>Валовая прибыль</t>
        </is>
      </c>
      <c r="C23" s="130" t="inlineStr">
        <is>
          <t>₽</t>
        </is>
      </c>
      <c r="D23" s="156" t="n"/>
      <c r="E23" s="157">
        <f>SUM(L23:W23)</f>
        <v/>
      </c>
      <c r="F23" s="157">
        <f>SUM(X23:AI23)</f>
        <v/>
      </c>
      <c r="G23" s="157">
        <f>SUM(AJ23:AU23)</f>
        <v/>
      </c>
      <c r="H23" s="157">
        <f>SUM(AV23:BG23)</f>
        <v/>
      </c>
      <c r="I23" s="157">
        <f>SUM(BH23:BS23)</f>
        <v/>
      </c>
      <c r="J23" s="134">
        <f>SUM(L23:BS23)</f>
        <v/>
      </c>
      <c r="L23" s="133">
        <f>L16-L22</f>
        <v/>
      </c>
      <c r="M23" s="133">
        <f>M16-M22</f>
        <v/>
      </c>
      <c r="N23" s="133">
        <f>N16-N22</f>
        <v/>
      </c>
      <c r="O23" s="133">
        <f>O16-O22</f>
        <v/>
      </c>
      <c r="P23" s="133">
        <f>P16-P22</f>
        <v/>
      </c>
      <c r="Q23" s="133">
        <f>Q16-Q22</f>
        <v/>
      </c>
      <c r="R23" s="133">
        <f>R16-R22</f>
        <v/>
      </c>
      <c r="S23" s="133">
        <f>S16-S22</f>
        <v/>
      </c>
      <c r="T23" s="133">
        <f>T16-T22</f>
        <v/>
      </c>
      <c r="U23" s="133">
        <f>U16-U22</f>
        <v/>
      </c>
      <c r="V23" s="133">
        <f>V16-V22</f>
        <v/>
      </c>
      <c r="W23" s="133">
        <f>W16-W22</f>
        <v/>
      </c>
      <c r="X23" s="133">
        <f>X16-X22</f>
        <v/>
      </c>
      <c r="Y23" s="133">
        <f>Y16-Y22</f>
        <v/>
      </c>
      <c r="Z23" s="133">
        <f>Z16-Z22</f>
        <v/>
      </c>
      <c r="AA23" s="133">
        <f>AA16-AA22</f>
        <v/>
      </c>
      <c r="AB23" s="133">
        <f>AB16-AB22</f>
        <v/>
      </c>
      <c r="AC23" s="133">
        <f>AC16-AC22</f>
        <v/>
      </c>
      <c r="AD23" s="133">
        <f>AD16-AD22</f>
        <v/>
      </c>
      <c r="AE23" s="133">
        <f>AE16-AE22</f>
        <v/>
      </c>
      <c r="AF23" s="133">
        <f>AF16-AF22</f>
        <v/>
      </c>
      <c r="AG23" s="133">
        <f>AG16-AG22</f>
        <v/>
      </c>
      <c r="AH23" s="133">
        <f>AH16-AH22</f>
        <v/>
      </c>
      <c r="AI23" s="133">
        <f>AI16-AI22</f>
        <v/>
      </c>
      <c r="AJ23" s="133">
        <f>AJ16-AJ22</f>
        <v/>
      </c>
      <c r="AK23" s="133">
        <f>AK16-AK22</f>
        <v/>
      </c>
      <c r="AL23" s="133">
        <f>AL16-AL22</f>
        <v/>
      </c>
      <c r="AM23" s="133">
        <f>AM16-AM22</f>
        <v/>
      </c>
      <c r="AN23" s="133">
        <f>AN16-AN22</f>
        <v/>
      </c>
      <c r="AO23" s="133">
        <f>AO16-AO22</f>
        <v/>
      </c>
      <c r="AP23" s="133">
        <f>AP16-AP22</f>
        <v/>
      </c>
      <c r="AQ23" s="133">
        <f>AQ16-AQ22</f>
        <v/>
      </c>
      <c r="AR23" s="133">
        <f>AR16-AR22</f>
        <v/>
      </c>
      <c r="AS23" s="133">
        <f>AS16-AS22</f>
        <v/>
      </c>
      <c r="AT23" s="133">
        <f>AT16-AT22</f>
        <v/>
      </c>
      <c r="AU23" s="133">
        <f>AU16-AU22</f>
        <v/>
      </c>
      <c r="AV23" s="133">
        <f>AV16-AV22</f>
        <v/>
      </c>
      <c r="AW23" s="133">
        <f>AW16-AW22</f>
        <v/>
      </c>
      <c r="AX23" s="133">
        <f>AX16-AX22</f>
        <v/>
      </c>
      <c r="AY23" s="133">
        <f>AY16-AY22</f>
        <v/>
      </c>
      <c r="AZ23" s="133">
        <f>AZ16-AZ22</f>
        <v/>
      </c>
      <c r="BA23" s="133">
        <f>BA16-BA22</f>
        <v/>
      </c>
      <c r="BB23" s="133">
        <f>BB16-BB22</f>
        <v/>
      </c>
      <c r="BC23" s="133">
        <f>BC16-BC22</f>
        <v/>
      </c>
      <c r="BD23" s="133">
        <f>BD16-BD22</f>
        <v/>
      </c>
      <c r="BE23" s="133">
        <f>BE16-BE22</f>
        <v/>
      </c>
      <c r="BF23" s="133">
        <f>BF16-BF22</f>
        <v/>
      </c>
      <c r="BG23" s="133">
        <f>BG16-BG22</f>
        <v/>
      </c>
      <c r="BH23" s="133">
        <f>BH16-BH22</f>
        <v/>
      </c>
      <c r="BI23" s="133">
        <f>BI16-BI22</f>
        <v/>
      </c>
      <c r="BJ23" s="133">
        <f>BJ16-BJ22</f>
        <v/>
      </c>
      <c r="BK23" s="133">
        <f>BK16-BK22</f>
        <v/>
      </c>
      <c r="BL23" s="133">
        <f>BL16-BL22</f>
        <v/>
      </c>
      <c r="BM23" s="133">
        <f>BM16-BM22</f>
        <v/>
      </c>
      <c r="BN23" s="133">
        <f>BN16-BN22</f>
        <v/>
      </c>
      <c r="BO23" s="133">
        <f>BO16-BO22</f>
        <v/>
      </c>
      <c r="BP23" s="133">
        <f>BP16-BP22</f>
        <v/>
      </c>
      <c r="BQ23" s="133">
        <f>BQ16-BQ22</f>
        <v/>
      </c>
      <c r="BR23" s="133">
        <f>BR16-BR22</f>
        <v/>
      </c>
      <c r="BS23" s="133">
        <f>BS16-BS22</f>
        <v/>
      </c>
      <c r="BT23" s="133">
        <f>BT16-BT22</f>
        <v/>
      </c>
      <c r="BU23" s="133">
        <f>BU16-BU22</f>
        <v/>
      </c>
      <c r="BV23" s="133">
        <f>BV16-BV22</f>
        <v/>
      </c>
      <c r="BW23" s="133">
        <f>BW16-BW22</f>
        <v/>
      </c>
      <c r="BX23" s="133">
        <f>BX16-BX22</f>
        <v/>
      </c>
      <c r="BY23" s="133">
        <f>BY16-BY22</f>
        <v/>
      </c>
    </row>
    <row r="24" ht="15.75" customHeight="1" s="194">
      <c r="B24" s="56" t="inlineStr">
        <is>
          <t>ФОТ и кадровые расходы</t>
        </is>
      </c>
      <c r="C24" s="56" t="inlineStr">
        <is>
          <t>₽</t>
        </is>
      </c>
      <c r="D24" s="57" t="n"/>
      <c r="E24" s="85">
        <f>SUM(L24:W24)</f>
        <v/>
      </c>
      <c r="F24" s="85">
        <f>SUM(X24:AI24)</f>
        <v/>
      </c>
      <c r="G24" s="85">
        <f>SUM(AJ24:AU24)</f>
        <v/>
      </c>
      <c r="H24" s="85">
        <f>SUM(AV24:BG24)</f>
        <v/>
      </c>
      <c r="I24" s="85">
        <f>SUM(BH24:BS24)</f>
        <v/>
      </c>
      <c r="J24" s="86">
        <f>SUM(L24:BS24)</f>
        <v/>
      </c>
      <c r="L24" s="87">
        <f>'05_Расходы'!L30</f>
        <v/>
      </c>
      <c r="M24" s="87">
        <f>'05_Расходы'!M30</f>
        <v/>
      </c>
      <c r="N24" s="87">
        <f>'05_Расходы'!N30</f>
        <v/>
      </c>
      <c r="O24" s="87">
        <f>'05_Расходы'!O30</f>
        <v/>
      </c>
      <c r="P24" s="87">
        <f>'05_Расходы'!P30</f>
        <v/>
      </c>
      <c r="Q24" s="87">
        <f>'05_Расходы'!Q30</f>
        <v/>
      </c>
      <c r="R24" s="87">
        <f>'05_Расходы'!R30</f>
        <v/>
      </c>
      <c r="S24" s="87">
        <f>'05_Расходы'!S30</f>
        <v/>
      </c>
      <c r="T24" s="87">
        <f>'05_Расходы'!T30</f>
        <v/>
      </c>
      <c r="U24" s="87">
        <f>'05_Расходы'!U30</f>
        <v/>
      </c>
      <c r="V24" s="87">
        <f>'05_Расходы'!V30</f>
        <v/>
      </c>
      <c r="W24" s="87">
        <f>'05_Расходы'!W30</f>
        <v/>
      </c>
      <c r="X24" s="87">
        <f>'05_Расходы'!X30</f>
        <v/>
      </c>
      <c r="Y24" s="87">
        <f>'05_Расходы'!Y30</f>
        <v/>
      </c>
      <c r="Z24" s="87">
        <f>'05_Расходы'!Z30</f>
        <v/>
      </c>
      <c r="AA24" s="87">
        <f>'05_Расходы'!AA30</f>
        <v/>
      </c>
      <c r="AB24" s="87">
        <f>'05_Расходы'!AB30</f>
        <v/>
      </c>
      <c r="AC24" s="87">
        <f>'05_Расходы'!AC30</f>
        <v/>
      </c>
      <c r="AD24" s="87">
        <f>'05_Расходы'!AD30</f>
        <v/>
      </c>
      <c r="AE24" s="87">
        <f>'05_Расходы'!AE30</f>
        <v/>
      </c>
      <c r="AF24" s="87">
        <f>'05_Расходы'!AF30</f>
        <v/>
      </c>
      <c r="AG24" s="87">
        <f>'05_Расходы'!AG30</f>
        <v/>
      </c>
      <c r="AH24" s="87">
        <f>'05_Расходы'!AH30</f>
        <v/>
      </c>
      <c r="AI24" s="87">
        <f>'05_Расходы'!AI30</f>
        <v/>
      </c>
      <c r="AJ24" s="87">
        <f>'05_Расходы'!AJ30</f>
        <v/>
      </c>
      <c r="AK24" s="87">
        <f>'05_Расходы'!AK30</f>
        <v/>
      </c>
      <c r="AL24" s="87">
        <f>'05_Расходы'!AL30</f>
        <v/>
      </c>
      <c r="AM24" s="87">
        <f>'05_Расходы'!AM30</f>
        <v/>
      </c>
      <c r="AN24" s="87">
        <f>'05_Расходы'!AN30</f>
        <v/>
      </c>
      <c r="AO24" s="87">
        <f>'05_Расходы'!AO30</f>
        <v/>
      </c>
      <c r="AP24" s="87">
        <f>'05_Расходы'!AP30</f>
        <v/>
      </c>
      <c r="AQ24" s="87">
        <f>'05_Расходы'!AQ30</f>
        <v/>
      </c>
      <c r="AR24" s="87">
        <f>'05_Расходы'!AR30</f>
        <v/>
      </c>
      <c r="AS24" s="87">
        <f>'05_Расходы'!AS30</f>
        <v/>
      </c>
      <c r="AT24" s="87">
        <f>'05_Расходы'!AT30</f>
        <v/>
      </c>
      <c r="AU24" s="87">
        <f>'05_Расходы'!AU30</f>
        <v/>
      </c>
      <c r="AV24" s="87">
        <f>'05_Расходы'!AV30</f>
        <v/>
      </c>
      <c r="AW24" s="87">
        <f>'05_Расходы'!AW30</f>
        <v/>
      </c>
      <c r="AX24" s="87">
        <f>'05_Расходы'!AX30</f>
        <v/>
      </c>
      <c r="AY24" s="87">
        <f>'05_Расходы'!AY30</f>
        <v/>
      </c>
      <c r="AZ24" s="87">
        <f>'05_Расходы'!AZ30</f>
        <v/>
      </c>
      <c r="BA24" s="87">
        <f>'05_Расходы'!BA30</f>
        <v/>
      </c>
      <c r="BB24" s="87">
        <f>'05_Расходы'!BB30</f>
        <v/>
      </c>
      <c r="BC24" s="87">
        <f>'05_Расходы'!BC30</f>
        <v/>
      </c>
      <c r="BD24" s="87">
        <f>'05_Расходы'!BD30</f>
        <v/>
      </c>
      <c r="BE24" s="87">
        <f>'05_Расходы'!BE30</f>
        <v/>
      </c>
      <c r="BF24" s="87">
        <f>'05_Расходы'!BF30</f>
        <v/>
      </c>
      <c r="BG24" s="87">
        <f>'05_Расходы'!BG30</f>
        <v/>
      </c>
      <c r="BH24" s="87">
        <f>'05_Расходы'!BH30</f>
        <v/>
      </c>
      <c r="BI24" s="87">
        <f>'05_Расходы'!BI30</f>
        <v/>
      </c>
      <c r="BJ24" s="87">
        <f>'05_Расходы'!BJ30</f>
        <v/>
      </c>
      <c r="BK24" s="87">
        <f>'05_Расходы'!BK30</f>
        <v/>
      </c>
      <c r="BL24" s="87">
        <f>'05_Расходы'!BL30</f>
        <v/>
      </c>
      <c r="BM24" s="87">
        <f>'05_Расходы'!BM30</f>
        <v/>
      </c>
      <c r="BN24" s="87">
        <f>'05_Расходы'!BN30</f>
        <v/>
      </c>
      <c r="BO24" s="87">
        <f>'05_Расходы'!BO30</f>
        <v/>
      </c>
      <c r="BP24" s="87">
        <f>'05_Расходы'!BP30</f>
        <v/>
      </c>
      <c r="BQ24" s="87">
        <f>'05_Расходы'!BQ30</f>
        <v/>
      </c>
      <c r="BR24" s="87">
        <f>'05_Расходы'!BR30</f>
        <v/>
      </c>
      <c r="BS24" s="87">
        <f>'05_Расходы'!BS30</f>
        <v/>
      </c>
      <c r="BT24" s="87">
        <f>'05_Расходы'!BT30</f>
        <v/>
      </c>
      <c r="BU24" s="87">
        <f>'05_Расходы'!BU30</f>
        <v/>
      </c>
      <c r="BV24" s="87">
        <f>'05_Расходы'!BV30</f>
        <v/>
      </c>
      <c r="BW24" s="87">
        <f>'05_Расходы'!BW30</f>
        <v/>
      </c>
      <c r="BX24" s="87">
        <f>'05_Расходы'!BX30</f>
        <v/>
      </c>
      <c r="BY24" s="87">
        <f>'05_Расходы'!BY30</f>
        <v/>
      </c>
    </row>
    <row r="25" ht="15.75" customHeight="1" s="194">
      <c r="B25" s="56" t="inlineStr">
        <is>
          <t>ERP</t>
        </is>
      </c>
      <c r="C25" s="56" t="inlineStr">
        <is>
          <t>₽</t>
        </is>
      </c>
      <c r="D25" s="57" t="n"/>
      <c r="E25" s="85">
        <f>SUM(L25:W25)</f>
        <v/>
      </c>
      <c r="F25" s="85">
        <f>SUM(X25:AI25)</f>
        <v/>
      </c>
      <c r="G25" s="85">
        <f>SUM(AJ25:AU25)</f>
        <v/>
      </c>
      <c r="H25" s="85">
        <f>SUM(AV25:BG25)</f>
        <v/>
      </c>
      <c r="I25" s="85">
        <f>SUM(BH25:BS25)</f>
        <v/>
      </c>
      <c r="J25" s="86">
        <f>SUM(L25:BS25)</f>
        <v/>
      </c>
      <c r="L25" s="87">
        <f>'05_Расходы'!L35</f>
        <v/>
      </c>
      <c r="M25" s="87">
        <f>'05_Расходы'!M35</f>
        <v/>
      </c>
      <c r="N25" s="87">
        <f>'05_Расходы'!N35</f>
        <v/>
      </c>
      <c r="O25" s="87">
        <f>'05_Расходы'!O35</f>
        <v/>
      </c>
      <c r="P25" s="87">
        <f>'05_Расходы'!P35</f>
        <v/>
      </c>
      <c r="Q25" s="87">
        <f>'05_Расходы'!Q35</f>
        <v/>
      </c>
      <c r="R25" s="87">
        <f>'05_Расходы'!R35</f>
        <v/>
      </c>
      <c r="S25" s="87">
        <f>'05_Расходы'!S35</f>
        <v/>
      </c>
      <c r="T25" s="87">
        <f>'05_Расходы'!T35</f>
        <v/>
      </c>
      <c r="U25" s="87">
        <f>'05_Расходы'!U35</f>
        <v/>
      </c>
      <c r="V25" s="87">
        <f>'05_Расходы'!V35</f>
        <v/>
      </c>
      <c r="W25" s="87">
        <f>'05_Расходы'!W35</f>
        <v/>
      </c>
      <c r="X25" s="87">
        <f>'05_Расходы'!X35</f>
        <v/>
      </c>
      <c r="Y25" s="87">
        <f>'05_Расходы'!Y35</f>
        <v/>
      </c>
      <c r="Z25" s="87">
        <f>'05_Расходы'!Z35</f>
        <v/>
      </c>
      <c r="AA25" s="87">
        <f>'05_Расходы'!AA35</f>
        <v/>
      </c>
      <c r="AB25" s="87">
        <f>'05_Расходы'!AB35</f>
        <v/>
      </c>
      <c r="AC25" s="87">
        <f>'05_Расходы'!AC35</f>
        <v/>
      </c>
      <c r="AD25" s="87">
        <f>'05_Расходы'!AD35</f>
        <v/>
      </c>
      <c r="AE25" s="87">
        <f>'05_Расходы'!AE35</f>
        <v/>
      </c>
      <c r="AF25" s="87">
        <f>'05_Расходы'!AF35</f>
        <v/>
      </c>
      <c r="AG25" s="87">
        <f>'05_Расходы'!AG35</f>
        <v/>
      </c>
      <c r="AH25" s="87">
        <f>'05_Расходы'!AH35</f>
        <v/>
      </c>
      <c r="AI25" s="87">
        <f>'05_Расходы'!AI35</f>
        <v/>
      </c>
      <c r="AJ25" s="87">
        <f>'05_Расходы'!AJ35</f>
        <v/>
      </c>
      <c r="AK25" s="87">
        <f>'05_Расходы'!AK35</f>
        <v/>
      </c>
      <c r="AL25" s="87">
        <f>'05_Расходы'!AL35</f>
        <v/>
      </c>
      <c r="AM25" s="87">
        <f>'05_Расходы'!AM35</f>
        <v/>
      </c>
      <c r="AN25" s="87">
        <f>'05_Расходы'!AN35</f>
        <v/>
      </c>
      <c r="AO25" s="87">
        <f>'05_Расходы'!AO35</f>
        <v/>
      </c>
      <c r="AP25" s="87">
        <f>'05_Расходы'!AP35</f>
        <v/>
      </c>
      <c r="AQ25" s="87">
        <f>'05_Расходы'!AQ35</f>
        <v/>
      </c>
      <c r="AR25" s="87">
        <f>'05_Расходы'!AR35</f>
        <v/>
      </c>
      <c r="AS25" s="87">
        <f>'05_Расходы'!AS35</f>
        <v/>
      </c>
      <c r="AT25" s="87">
        <f>'05_Расходы'!AT35</f>
        <v/>
      </c>
      <c r="AU25" s="87">
        <f>'05_Расходы'!AU35</f>
        <v/>
      </c>
      <c r="AV25" s="87">
        <f>'05_Расходы'!AV35</f>
        <v/>
      </c>
      <c r="AW25" s="87">
        <f>'05_Расходы'!AW35</f>
        <v/>
      </c>
      <c r="AX25" s="87">
        <f>'05_Расходы'!AX35</f>
        <v/>
      </c>
      <c r="AY25" s="87">
        <f>'05_Расходы'!AY35</f>
        <v/>
      </c>
      <c r="AZ25" s="87">
        <f>'05_Расходы'!AZ35</f>
        <v/>
      </c>
      <c r="BA25" s="87">
        <f>'05_Расходы'!BA35</f>
        <v/>
      </c>
      <c r="BB25" s="87">
        <f>'05_Расходы'!BB35</f>
        <v/>
      </c>
      <c r="BC25" s="87">
        <f>'05_Расходы'!BC35</f>
        <v/>
      </c>
      <c r="BD25" s="87">
        <f>'05_Расходы'!BD35</f>
        <v/>
      </c>
      <c r="BE25" s="87">
        <f>'05_Расходы'!BE35</f>
        <v/>
      </c>
      <c r="BF25" s="87">
        <f>'05_Расходы'!BF35</f>
        <v/>
      </c>
      <c r="BG25" s="87">
        <f>'05_Расходы'!BG35</f>
        <v/>
      </c>
      <c r="BH25" s="87">
        <f>'05_Расходы'!BH35</f>
        <v/>
      </c>
      <c r="BI25" s="87">
        <f>'05_Расходы'!BI35</f>
        <v/>
      </c>
      <c r="BJ25" s="87">
        <f>'05_Расходы'!BJ35</f>
        <v/>
      </c>
      <c r="BK25" s="87">
        <f>'05_Расходы'!BK35</f>
        <v/>
      </c>
      <c r="BL25" s="87">
        <f>'05_Расходы'!BL35</f>
        <v/>
      </c>
      <c r="BM25" s="87">
        <f>'05_Расходы'!BM35</f>
        <v/>
      </c>
      <c r="BN25" s="87">
        <f>'05_Расходы'!BN35</f>
        <v/>
      </c>
      <c r="BO25" s="87">
        <f>'05_Расходы'!BO35</f>
        <v/>
      </c>
      <c r="BP25" s="87">
        <f>'05_Расходы'!BP35</f>
        <v/>
      </c>
      <c r="BQ25" s="87">
        <f>'05_Расходы'!BQ35</f>
        <v/>
      </c>
      <c r="BR25" s="87">
        <f>'05_Расходы'!BR35</f>
        <v/>
      </c>
      <c r="BS25" s="87">
        <f>'05_Расходы'!BS35</f>
        <v/>
      </c>
      <c r="BT25" s="87">
        <f>'05_Расходы'!BT35</f>
        <v/>
      </c>
      <c r="BU25" s="87">
        <f>'05_Расходы'!BU35</f>
        <v/>
      </c>
      <c r="BV25" s="87">
        <f>'05_Расходы'!BV35</f>
        <v/>
      </c>
      <c r="BW25" s="87">
        <f>'05_Расходы'!BW35</f>
        <v/>
      </c>
      <c r="BX25" s="87">
        <f>'05_Расходы'!BX35</f>
        <v/>
      </c>
      <c r="BY25" s="87">
        <f>'05_Расходы'!BY35</f>
        <v/>
      </c>
    </row>
    <row r="26" ht="15.75" customHeight="1" s="194">
      <c r="B26" s="56" t="inlineStr">
        <is>
          <t>Офис, аренда, уборка</t>
        </is>
      </c>
      <c r="C26" s="56" t="inlineStr">
        <is>
          <t>₽</t>
        </is>
      </c>
      <c r="D26" s="57" t="n"/>
      <c r="E26" s="85">
        <f>SUM(L26:W26)</f>
        <v/>
      </c>
      <c r="F26" s="85">
        <f>SUM(X26:AI26)</f>
        <v/>
      </c>
      <c r="G26" s="85">
        <f>SUM(AJ26:AU26)</f>
        <v/>
      </c>
      <c r="H26" s="85">
        <f>SUM(AV26:BG26)</f>
        <v/>
      </c>
      <c r="I26" s="85">
        <f>SUM(BH26:BS26)</f>
        <v/>
      </c>
      <c r="J26" s="86">
        <f>SUM(L26:BS26)</f>
        <v/>
      </c>
      <c r="L26" s="87">
        <f>'05_Расходы'!L36</f>
        <v/>
      </c>
      <c r="M26" s="87">
        <f>'05_Расходы'!M36</f>
        <v/>
      </c>
      <c r="N26" s="87">
        <f>'05_Расходы'!N36</f>
        <v/>
      </c>
      <c r="O26" s="87">
        <f>'05_Расходы'!O36</f>
        <v/>
      </c>
      <c r="P26" s="87">
        <f>'05_Расходы'!P36</f>
        <v/>
      </c>
      <c r="Q26" s="87">
        <f>'05_Расходы'!Q36</f>
        <v/>
      </c>
      <c r="R26" s="87">
        <f>'05_Расходы'!R36</f>
        <v/>
      </c>
      <c r="S26" s="87">
        <f>'05_Расходы'!S36</f>
        <v/>
      </c>
      <c r="T26" s="87">
        <f>'05_Расходы'!T36</f>
        <v/>
      </c>
      <c r="U26" s="87">
        <f>'05_Расходы'!U36</f>
        <v/>
      </c>
      <c r="V26" s="87">
        <f>'05_Расходы'!V36</f>
        <v/>
      </c>
      <c r="W26" s="87">
        <f>'05_Расходы'!W36</f>
        <v/>
      </c>
      <c r="X26" s="87">
        <f>'05_Расходы'!X36</f>
        <v/>
      </c>
      <c r="Y26" s="87">
        <f>'05_Расходы'!Y36</f>
        <v/>
      </c>
      <c r="Z26" s="87">
        <f>'05_Расходы'!Z36</f>
        <v/>
      </c>
      <c r="AA26" s="87">
        <f>'05_Расходы'!AA36</f>
        <v/>
      </c>
      <c r="AB26" s="87">
        <f>'05_Расходы'!AB36</f>
        <v/>
      </c>
      <c r="AC26" s="87">
        <f>'05_Расходы'!AC36</f>
        <v/>
      </c>
      <c r="AD26" s="87">
        <f>'05_Расходы'!AD36</f>
        <v/>
      </c>
      <c r="AE26" s="87">
        <f>'05_Расходы'!AE36</f>
        <v/>
      </c>
      <c r="AF26" s="87">
        <f>'05_Расходы'!AF36</f>
        <v/>
      </c>
      <c r="AG26" s="87">
        <f>'05_Расходы'!AG36</f>
        <v/>
      </c>
      <c r="AH26" s="87">
        <f>'05_Расходы'!AH36</f>
        <v/>
      </c>
      <c r="AI26" s="87">
        <f>'05_Расходы'!AI36</f>
        <v/>
      </c>
      <c r="AJ26" s="87">
        <f>'05_Расходы'!AJ36</f>
        <v/>
      </c>
      <c r="AK26" s="87">
        <f>'05_Расходы'!AK36</f>
        <v/>
      </c>
      <c r="AL26" s="87">
        <f>'05_Расходы'!AL36</f>
        <v/>
      </c>
      <c r="AM26" s="87">
        <f>'05_Расходы'!AM36</f>
        <v/>
      </c>
      <c r="AN26" s="87">
        <f>'05_Расходы'!AN36</f>
        <v/>
      </c>
      <c r="AO26" s="87">
        <f>'05_Расходы'!AO36</f>
        <v/>
      </c>
      <c r="AP26" s="87">
        <f>'05_Расходы'!AP36</f>
        <v/>
      </c>
      <c r="AQ26" s="87">
        <f>'05_Расходы'!AQ36</f>
        <v/>
      </c>
      <c r="AR26" s="87">
        <f>'05_Расходы'!AR36</f>
        <v/>
      </c>
      <c r="AS26" s="87">
        <f>'05_Расходы'!AS36</f>
        <v/>
      </c>
      <c r="AT26" s="87">
        <f>'05_Расходы'!AT36</f>
        <v/>
      </c>
      <c r="AU26" s="87">
        <f>'05_Расходы'!AU36</f>
        <v/>
      </c>
      <c r="AV26" s="87">
        <f>'05_Расходы'!AV36</f>
        <v/>
      </c>
      <c r="AW26" s="87">
        <f>'05_Расходы'!AW36</f>
        <v/>
      </c>
      <c r="AX26" s="87">
        <f>'05_Расходы'!AX36</f>
        <v/>
      </c>
      <c r="AY26" s="87">
        <f>'05_Расходы'!AY36</f>
        <v/>
      </c>
      <c r="AZ26" s="87">
        <f>'05_Расходы'!AZ36</f>
        <v/>
      </c>
      <c r="BA26" s="87">
        <f>'05_Расходы'!BA36</f>
        <v/>
      </c>
      <c r="BB26" s="87">
        <f>'05_Расходы'!BB36</f>
        <v/>
      </c>
      <c r="BC26" s="87">
        <f>'05_Расходы'!BC36</f>
        <v/>
      </c>
      <c r="BD26" s="87">
        <f>'05_Расходы'!BD36</f>
        <v/>
      </c>
      <c r="BE26" s="87">
        <f>'05_Расходы'!BE36</f>
        <v/>
      </c>
      <c r="BF26" s="87">
        <f>'05_Расходы'!BF36</f>
        <v/>
      </c>
      <c r="BG26" s="87">
        <f>'05_Расходы'!BG36</f>
        <v/>
      </c>
      <c r="BH26" s="87">
        <f>'05_Расходы'!BH36</f>
        <v/>
      </c>
      <c r="BI26" s="87">
        <f>'05_Расходы'!BI36</f>
        <v/>
      </c>
      <c r="BJ26" s="87">
        <f>'05_Расходы'!BJ36</f>
        <v/>
      </c>
      <c r="BK26" s="87">
        <f>'05_Расходы'!BK36</f>
        <v/>
      </c>
      <c r="BL26" s="87">
        <f>'05_Расходы'!BL36</f>
        <v/>
      </c>
      <c r="BM26" s="87">
        <f>'05_Расходы'!BM36</f>
        <v/>
      </c>
      <c r="BN26" s="87">
        <f>'05_Расходы'!BN36</f>
        <v/>
      </c>
      <c r="BO26" s="87">
        <f>'05_Расходы'!BO36</f>
        <v/>
      </c>
      <c r="BP26" s="87">
        <f>'05_Расходы'!BP36</f>
        <v/>
      </c>
      <c r="BQ26" s="87">
        <f>'05_Расходы'!BQ36</f>
        <v/>
      </c>
      <c r="BR26" s="87">
        <f>'05_Расходы'!BR36</f>
        <v/>
      </c>
      <c r="BS26" s="87">
        <f>'05_Расходы'!BS36</f>
        <v/>
      </c>
      <c r="BT26" s="87">
        <f>'05_Расходы'!BT36</f>
        <v/>
      </c>
      <c r="BU26" s="87">
        <f>'05_Расходы'!BU36</f>
        <v/>
      </c>
      <c r="BV26" s="87">
        <f>'05_Расходы'!BV36</f>
        <v/>
      </c>
      <c r="BW26" s="87">
        <f>'05_Расходы'!BW36</f>
        <v/>
      </c>
      <c r="BX26" s="87">
        <f>'05_Расходы'!BX36</f>
        <v/>
      </c>
      <c r="BY26" s="87">
        <f>'05_Расходы'!BY36</f>
        <v/>
      </c>
    </row>
    <row r="27" ht="15.75" customHeight="1" s="194">
      <c r="B27" s="56" t="inlineStr">
        <is>
          <t>Юристы, аудит, бухгалтерия</t>
        </is>
      </c>
      <c r="C27" s="56" t="inlineStr">
        <is>
          <t>₽</t>
        </is>
      </c>
      <c r="D27" s="57" t="n"/>
      <c r="E27" s="85">
        <f>SUM(L27:W27)</f>
        <v/>
      </c>
      <c r="F27" s="85">
        <f>SUM(X27:AI27)</f>
        <v/>
      </c>
      <c r="G27" s="85">
        <f>SUM(AJ27:AU27)</f>
        <v/>
      </c>
      <c r="H27" s="85">
        <f>SUM(AV27:BG27)</f>
        <v/>
      </c>
      <c r="I27" s="85">
        <f>SUM(BH27:BS27)</f>
        <v/>
      </c>
      <c r="J27" s="86">
        <f>SUM(L27:BS27)</f>
        <v/>
      </c>
      <c r="L27" s="87">
        <f>'05_Расходы'!L37</f>
        <v/>
      </c>
      <c r="M27" s="87">
        <f>'05_Расходы'!M37</f>
        <v/>
      </c>
      <c r="N27" s="87">
        <f>'05_Расходы'!N37</f>
        <v/>
      </c>
      <c r="O27" s="87">
        <f>'05_Расходы'!O37</f>
        <v/>
      </c>
      <c r="P27" s="87">
        <f>'05_Расходы'!P37</f>
        <v/>
      </c>
      <c r="Q27" s="87">
        <f>'05_Расходы'!Q37</f>
        <v/>
      </c>
      <c r="R27" s="87">
        <f>'05_Расходы'!R37</f>
        <v/>
      </c>
      <c r="S27" s="87">
        <f>'05_Расходы'!S37</f>
        <v/>
      </c>
      <c r="T27" s="87">
        <f>'05_Расходы'!T37</f>
        <v/>
      </c>
      <c r="U27" s="87">
        <f>'05_Расходы'!U37</f>
        <v/>
      </c>
      <c r="V27" s="87">
        <f>'05_Расходы'!V37</f>
        <v/>
      </c>
      <c r="W27" s="87">
        <f>'05_Расходы'!W37</f>
        <v/>
      </c>
      <c r="X27" s="87">
        <f>'05_Расходы'!X37</f>
        <v/>
      </c>
      <c r="Y27" s="87">
        <f>'05_Расходы'!Y37</f>
        <v/>
      </c>
      <c r="Z27" s="87">
        <f>'05_Расходы'!Z37</f>
        <v/>
      </c>
      <c r="AA27" s="87">
        <f>'05_Расходы'!AA37</f>
        <v/>
      </c>
      <c r="AB27" s="87">
        <f>'05_Расходы'!AB37</f>
        <v/>
      </c>
      <c r="AC27" s="87">
        <f>'05_Расходы'!AC37</f>
        <v/>
      </c>
      <c r="AD27" s="87">
        <f>'05_Расходы'!AD37</f>
        <v/>
      </c>
      <c r="AE27" s="87">
        <f>'05_Расходы'!AE37</f>
        <v/>
      </c>
      <c r="AF27" s="87">
        <f>'05_Расходы'!AF37</f>
        <v/>
      </c>
      <c r="AG27" s="87">
        <f>'05_Расходы'!AG37</f>
        <v/>
      </c>
      <c r="AH27" s="87">
        <f>'05_Расходы'!AH37</f>
        <v/>
      </c>
      <c r="AI27" s="87">
        <f>'05_Расходы'!AI37</f>
        <v/>
      </c>
      <c r="AJ27" s="87">
        <f>'05_Расходы'!AJ37</f>
        <v/>
      </c>
      <c r="AK27" s="87">
        <f>'05_Расходы'!AK37</f>
        <v/>
      </c>
      <c r="AL27" s="87">
        <f>'05_Расходы'!AL37</f>
        <v/>
      </c>
      <c r="AM27" s="87">
        <f>'05_Расходы'!AM37</f>
        <v/>
      </c>
      <c r="AN27" s="87">
        <f>'05_Расходы'!AN37</f>
        <v/>
      </c>
      <c r="AO27" s="87">
        <f>'05_Расходы'!AO37</f>
        <v/>
      </c>
      <c r="AP27" s="87">
        <f>'05_Расходы'!AP37</f>
        <v/>
      </c>
      <c r="AQ27" s="87">
        <f>'05_Расходы'!AQ37</f>
        <v/>
      </c>
      <c r="AR27" s="87">
        <f>'05_Расходы'!AR37</f>
        <v/>
      </c>
      <c r="AS27" s="87">
        <f>'05_Расходы'!AS37</f>
        <v/>
      </c>
      <c r="AT27" s="87">
        <f>'05_Расходы'!AT37</f>
        <v/>
      </c>
      <c r="AU27" s="87">
        <f>'05_Расходы'!AU37</f>
        <v/>
      </c>
      <c r="AV27" s="87">
        <f>'05_Расходы'!AV37</f>
        <v/>
      </c>
      <c r="AW27" s="87">
        <f>'05_Расходы'!AW37</f>
        <v/>
      </c>
      <c r="AX27" s="87">
        <f>'05_Расходы'!AX37</f>
        <v/>
      </c>
      <c r="AY27" s="87">
        <f>'05_Расходы'!AY37</f>
        <v/>
      </c>
      <c r="AZ27" s="87">
        <f>'05_Расходы'!AZ37</f>
        <v/>
      </c>
      <c r="BA27" s="87">
        <f>'05_Расходы'!BA37</f>
        <v/>
      </c>
      <c r="BB27" s="87">
        <f>'05_Расходы'!BB37</f>
        <v/>
      </c>
      <c r="BC27" s="87">
        <f>'05_Расходы'!BC37</f>
        <v/>
      </c>
      <c r="BD27" s="87">
        <f>'05_Расходы'!BD37</f>
        <v/>
      </c>
      <c r="BE27" s="87">
        <f>'05_Расходы'!BE37</f>
        <v/>
      </c>
      <c r="BF27" s="87">
        <f>'05_Расходы'!BF37</f>
        <v/>
      </c>
      <c r="BG27" s="87">
        <f>'05_Расходы'!BG37</f>
        <v/>
      </c>
      <c r="BH27" s="87">
        <f>'05_Расходы'!BH37</f>
        <v/>
      </c>
      <c r="BI27" s="87">
        <f>'05_Расходы'!BI37</f>
        <v/>
      </c>
      <c r="BJ27" s="87">
        <f>'05_Расходы'!BJ37</f>
        <v/>
      </c>
      <c r="BK27" s="87">
        <f>'05_Расходы'!BK37</f>
        <v/>
      </c>
      <c r="BL27" s="87">
        <f>'05_Расходы'!BL37</f>
        <v/>
      </c>
      <c r="BM27" s="87">
        <f>'05_Расходы'!BM37</f>
        <v/>
      </c>
      <c r="BN27" s="87">
        <f>'05_Расходы'!BN37</f>
        <v/>
      </c>
      <c r="BO27" s="87">
        <f>'05_Расходы'!BO37</f>
        <v/>
      </c>
      <c r="BP27" s="87">
        <f>'05_Расходы'!BP37</f>
        <v/>
      </c>
      <c r="BQ27" s="87">
        <f>'05_Расходы'!BQ37</f>
        <v/>
      </c>
      <c r="BR27" s="87">
        <f>'05_Расходы'!BR37</f>
        <v/>
      </c>
      <c r="BS27" s="87">
        <f>'05_Расходы'!BS37</f>
        <v/>
      </c>
      <c r="BT27" s="87">
        <f>'05_Расходы'!BT37</f>
        <v/>
      </c>
      <c r="BU27" s="87">
        <f>'05_Расходы'!BU37</f>
        <v/>
      </c>
      <c r="BV27" s="87">
        <f>'05_Расходы'!BV37</f>
        <v/>
      </c>
      <c r="BW27" s="87">
        <f>'05_Расходы'!BW37</f>
        <v/>
      </c>
      <c r="BX27" s="87">
        <f>'05_Расходы'!BX37</f>
        <v/>
      </c>
      <c r="BY27" s="87">
        <f>'05_Расходы'!BY37</f>
        <v/>
      </c>
    </row>
    <row r="28" ht="15.75" customHeight="1" s="194">
      <c r="B28" s="56" t="inlineStr">
        <is>
          <t>Прочие IT</t>
        </is>
      </c>
      <c r="C28" s="56" t="inlineStr">
        <is>
          <t>₽</t>
        </is>
      </c>
      <c r="D28" s="57" t="n"/>
      <c r="E28" s="85">
        <f>SUM(L28:W28)</f>
        <v/>
      </c>
      <c r="F28" s="85">
        <f>SUM(X28:AI28)</f>
        <v/>
      </c>
      <c r="G28" s="85">
        <f>SUM(AJ28:AU28)</f>
        <v/>
      </c>
      <c r="H28" s="85">
        <f>SUM(AV28:BG28)</f>
        <v/>
      </c>
      <c r="I28" s="85">
        <f>SUM(BH28:BS28)</f>
        <v/>
      </c>
      <c r="J28" s="86">
        <f>SUM(L28:BS28)</f>
        <v/>
      </c>
      <c r="L28" s="87">
        <f>'05_Расходы'!L38</f>
        <v/>
      </c>
      <c r="M28" s="87">
        <f>'05_Расходы'!M38</f>
        <v/>
      </c>
      <c r="N28" s="87">
        <f>'05_Расходы'!N38</f>
        <v/>
      </c>
      <c r="O28" s="87">
        <f>'05_Расходы'!O38</f>
        <v/>
      </c>
      <c r="P28" s="87">
        <f>'05_Расходы'!P38</f>
        <v/>
      </c>
      <c r="Q28" s="87">
        <f>'05_Расходы'!Q38</f>
        <v/>
      </c>
      <c r="R28" s="87">
        <f>'05_Расходы'!R38</f>
        <v/>
      </c>
      <c r="S28" s="87">
        <f>'05_Расходы'!S38</f>
        <v/>
      </c>
      <c r="T28" s="87">
        <f>'05_Расходы'!T38</f>
        <v/>
      </c>
      <c r="U28" s="87">
        <f>'05_Расходы'!U38</f>
        <v/>
      </c>
      <c r="V28" s="87">
        <f>'05_Расходы'!V38</f>
        <v/>
      </c>
      <c r="W28" s="87">
        <f>'05_Расходы'!W38</f>
        <v/>
      </c>
      <c r="X28" s="87">
        <f>'05_Расходы'!X38</f>
        <v/>
      </c>
      <c r="Y28" s="87">
        <f>'05_Расходы'!Y38</f>
        <v/>
      </c>
      <c r="Z28" s="87">
        <f>'05_Расходы'!Z38</f>
        <v/>
      </c>
      <c r="AA28" s="87">
        <f>'05_Расходы'!AA38</f>
        <v/>
      </c>
      <c r="AB28" s="87">
        <f>'05_Расходы'!AB38</f>
        <v/>
      </c>
      <c r="AC28" s="87">
        <f>'05_Расходы'!AC38</f>
        <v/>
      </c>
      <c r="AD28" s="87">
        <f>'05_Расходы'!AD38</f>
        <v/>
      </c>
      <c r="AE28" s="87">
        <f>'05_Расходы'!AE38</f>
        <v/>
      </c>
      <c r="AF28" s="87">
        <f>'05_Расходы'!AF38</f>
        <v/>
      </c>
      <c r="AG28" s="87">
        <f>'05_Расходы'!AG38</f>
        <v/>
      </c>
      <c r="AH28" s="87">
        <f>'05_Расходы'!AH38</f>
        <v/>
      </c>
      <c r="AI28" s="87">
        <f>'05_Расходы'!AI38</f>
        <v/>
      </c>
      <c r="AJ28" s="87">
        <f>'05_Расходы'!AJ38</f>
        <v/>
      </c>
      <c r="AK28" s="87">
        <f>'05_Расходы'!AK38</f>
        <v/>
      </c>
      <c r="AL28" s="87">
        <f>'05_Расходы'!AL38</f>
        <v/>
      </c>
      <c r="AM28" s="87">
        <f>'05_Расходы'!AM38</f>
        <v/>
      </c>
      <c r="AN28" s="87">
        <f>'05_Расходы'!AN38</f>
        <v/>
      </c>
      <c r="AO28" s="87">
        <f>'05_Расходы'!AO38</f>
        <v/>
      </c>
      <c r="AP28" s="87">
        <f>'05_Расходы'!AP38</f>
        <v/>
      </c>
      <c r="AQ28" s="87">
        <f>'05_Расходы'!AQ38</f>
        <v/>
      </c>
      <c r="AR28" s="87">
        <f>'05_Расходы'!AR38</f>
        <v/>
      </c>
      <c r="AS28" s="87">
        <f>'05_Расходы'!AS38</f>
        <v/>
      </c>
      <c r="AT28" s="87">
        <f>'05_Расходы'!AT38</f>
        <v/>
      </c>
      <c r="AU28" s="87">
        <f>'05_Расходы'!AU38</f>
        <v/>
      </c>
      <c r="AV28" s="87">
        <f>'05_Расходы'!AV38</f>
        <v/>
      </c>
      <c r="AW28" s="87">
        <f>'05_Расходы'!AW38</f>
        <v/>
      </c>
      <c r="AX28" s="87">
        <f>'05_Расходы'!AX38</f>
        <v/>
      </c>
      <c r="AY28" s="87">
        <f>'05_Расходы'!AY38</f>
        <v/>
      </c>
      <c r="AZ28" s="87">
        <f>'05_Расходы'!AZ38</f>
        <v/>
      </c>
      <c r="BA28" s="87">
        <f>'05_Расходы'!BA38</f>
        <v/>
      </c>
      <c r="BB28" s="87">
        <f>'05_Расходы'!BB38</f>
        <v/>
      </c>
      <c r="BC28" s="87">
        <f>'05_Расходы'!BC38</f>
        <v/>
      </c>
      <c r="BD28" s="87">
        <f>'05_Расходы'!BD38</f>
        <v/>
      </c>
      <c r="BE28" s="87">
        <f>'05_Расходы'!BE38</f>
        <v/>
      </c>
      <c r="BF28" s="87">
        <f>'05_Расходы'!BF38</f>
        <v/>
      </c>
      <c r="BG28" s="87">
        <f>'05_Расходы'!BG38</f>
        <v/>
      </c>
      <c r="BH28" s="87">
        <f>'05_Расходы'!BH38</f>
        <v/>
      </c>
      <c r="BI28" s="87">
        <f>'05_Расходы'!BI38</f>
        <v/>
      </c>
      <c r="BJ28" s="87">
        <f>'05_Расходы'!BJ38</f>
        <v/>
      </c>
      <c r="BK28" s="87">
        <f>'05_Расходы'!BK38</f>
        <v/>
      </c>
      <c r="BL28" s="87">
        <f>'05_Расходы'!BL38</f>
        <v/>
      </c>
      <c r="BM28" s="87">
        <f>'05_Расходы'!BM38</f>
        <v/>
      </c>
      <c r="BN28" s="87">
        <f>'05_Расходы'!BN38</f>
        <v/>
      </c>
      <c r="BO28" s="87">
        <f>'05_Расходы'!BO38</f>
        <v/>
      </c>
      <c r="BP28" s="87">
        <f>'05_Расходы'!BP38</f>
        <v/>
      </c>
      <c r="BQ28" s="87">
        <f>'05_Расходы'!BQ38</f>
        <v/>
      </c>
      <c r="BR28" s="87">
        <f>'05_Расходы'!BR38</f>
        <v/>
      </c>
      <c r="BS28" s="87">
        <f>'05_Расходы'!BS38</f>
        <v/>
      </c>
      <c r="BT28" s="87">
        <f>'05_Расходы'!BT38</f>
        <v/>
      </c>
      <c r="BU28" s="87">
        <f>'05_Расходы'!BU38</f>
        <v/>
      </c>
      <c r="BV28" s="87">
        <f>'05_Расходы'!BV38</f>
        <v/>
      </c>
      <c r="BW28" s="87">
        <f>'05_Расходы'!BW38</f>
        <v/>
      </c>
      <c r="BX28" s="87">
        <f>'05_Расходы'!BX38</f>
        <v/>
      </c>
      <c r="BY28" s="87">
        <f>'05_Расходы'!BY38</f>
        <v/>
      </c>
    </row>
    <row r="29" ht="15.75" customHeight="1" s="194">
      <c r="B29" s="56" t="inlineStr">
        <is>
          <t>SMM и подрядчики</t>
        </is>
      </c>
      <c r="C29" s="56" t="inlineStr">
        <is>
          <t>₽</t>
        </is>
      </c>
      <c r="D29" s="57" t="n"/>
      <c r="E29" s="85">
        <f>SUM(L29:W29)</f>
        <v/>
      </c>
      <c r="F29" s="85">
        <f>SUM(X29:AI29)</f>
        <v/>
      </c>
      <c r="G29" s="85">
        <f>SUM(AJ29:AU29)</f>
        <v/>
      </c>
      <c r="H29" s="85">
        <f>SUM(AV29:BG29)</f>
        <v/>
      </c>
      <c r="I29" s="85">
        <f>SUM(BH29:BS29)</f>
        <v/>
      </c>
      <c r="J29" s="86">
        <f>SUM(L29:BS29)</f>
        <v/>
      </c>
      <c r="L29" s="87">
        <f>'05_Расходы'!L39</f>
        <v/>
      </c>
      <c r="M29" s="87">
        <f>'05_Расходы'!M39</f>
        <v/>
      </c>
      <c r="N29" s="87">
        <f>'05_Расходы'!N39</f>
        <v/>
      </c>
      <c r="O29" s="87">
        <f>'05_Расходы'!O39</f>
        <v/>
      </c>
      <c r="P29" s="87">
        <f>'05_Расходы'!P39</f>
        <v/>
      </c>
      <c r="Q29" s="87">
        <f>'05_Расходы'!Q39</f>
        <v/>
      </c>
      <c r="R29" s="87">
        <f>'05_Расходы'!R39</f>
        <v/>
      </c>
      <c r="S29" s="87">
        <f>'05_Расходы'!S39</f>
        <v/>
      </c>
      <c r="T29" s="87">
        <f>'05_Расходы'!T39</f>
        <v/>
      </c>
      <c r="U29" s="87">
        <f>'05_Расходы'!U39</f>
        <v/>
      </c>
      <c r="V29" s="87">
        <f>'05_Расходы'!V39</f>
        <v/>
      </c>
      <c r="W29" s="87">
        <f>'05_Расходы'!W39</f>
        <v/>
      </c>
      <c r="X29" s="87">
        <f>'05_Расходы'!X39</f>
        <v/>
      </c>
      <c r="Y29" s="87">
        <f>'05_Расходы'!Y39</f>
        <v/>
      </c>
      <c r="Z29" s="87">
        <f>'05_Расходы'!Z39</f>
        <v/>
      </c>
      <c r="AA29" s="87">
        <f>'05_Расходы'!AA39</f>
        <v/>
      </c>
      <c r="AB29" s="87">
        <f>'05_Расходы'!AB39</f>
        <v/>
      </c>
      <c r="AC29" s="87">
        <f>'05_Расходы'!AC39</f>
        <v/>
      </c>
      <c r="AD29" s="87">
        <f>'05_Расходы'!AD39</f>
        <v/>
      </c>
      <c r="AE29" s="87">
        <f>'05_Расходы'!AE39</f>
        <v/>
      </c>
      <c r="AF29" s="87">
        <f>'05_Расходы'!AF39</f>
        <v/>
      </c>
      <c r="AG29" s="87">
        <f>'05_Расходы'!AG39</f>
        <v/>
      </c>
      <c r="AH29" s="87">
        <f>'05_Расходы'!AH39</f>
        <v/>
      </c>
      <c r="AI29" s="87">
        <f>'05_Расходы'!AI39</f>
        <v/>
      </c>
      <c r="AJ29" s="87">
        <f>'05_Расходы'!AJ39</f>
        <v/>
      </c>
      <c r="AK29" s="87">
        <f>'05_Расходы'!AK39</f>
        <v/>
      </c>
      <c r="AL29" s="87">
        <f>'05_Расходы'!AL39</f>
        <v/>
      </c>
      <c r="AM29" s="87">
        <f>'05_Расходы'!AM39</f>
        <v/>
      </c>
      <c r="AN29" s="87">
        <f>'05_Расходы'!AN39</f>
        <v/>
      </c>
      <c r="AO29" s="87">
        <f>'05_Расходы'!AO39</f>
        <v/>
      </c>
      <c r="AP29" s="87">
        <f>'05_Расходы'!AP39</f>
        <v/>
      </c>
      <c r="AQ29" s="87">
        <f>'05_Расходы'!AQ39</f>
        <v/>
      </c>
      <c r="AR29" s="87">
        <f>'05_Расходы'!AR39</f>
        <v/>
      </c>
      <c r="AS29" s="87">
        <f>'05_Расходы'!AS39</f>
        <v/>
      </c>
      <c r="AT29" s="87">
        <f>'05_Расходы'!AT39</f>
        <v/>
      </c>
      <c r="AU29" s="87">
        <f>'05_Расходы'!AU39</f>
        <v/>
      </c>
      <c r="AV29" s="87">
        <f>'05_Расходы'!AV39</f>
        <v/>
      </c>
      <c r="AW29" s="87">
        <f>'05_Расходы'!AW39</f>
        <v/>
      </c>
      <c r="AX29" s="87">
        <f>'05_Расходы'!AX39</f>
        <v/>
      </c>
      <c r="AY29" s="87">
        <f>'05_Расходы'!AY39</f>
        <v/>
      </c>
      <c r="AZ29" s="87">
        <f>'05_Расходы'!AZ39</f>
        <v/>
      </c>
      <c r="BA29" s="87">
        <f>'05_Расходы'!BA39</f>
        <v/>
      </c>
      <c r="BB29" s="87">
        <f>'05_Расходы'!BB39</f>
        <v/>
      </c>
      <c r="BC29" s="87">
        <f>'05_Расходы'!BC39</f>
        <v/>
      </c>
      <c r="BD29" s="87">
        <f>'05_Расходы'!BD39</f>
        <v/>
      </c>
      <c r="BE29" s="87">
        <f>'05_Расходы'!BE39</f>
        <v/>
      </c>
      <c r="BF29" s="87">
        <f>'05_Расходы'!BF39</f>
        <v/>
      </c>
      <c r="BG29" s="87">
        <f>'05_Расходы'!BG39</f>
        <v/>
      </c>
      <c r="BH29" s="87">
        <f>'05_Расходы'!BH39</f>
        <v/>
      </c>
      <c r="BI29" s="87">
        <f>'05_Расходы'!BI39</f>
        <v/>
      </c>
      <c r="BJ29" s="87">
        <f>'05_Расходы'!BJ39</f>
        <v/>
      </c>
      <c r="BK29" s="87">
        <f>'05_Расходы'!BK39</f>
        <v/>
      </c>
      <c r="BL29" s="87">
        <f>'05_Расходы'!BL39</f>
        <v/>
      </c>
      <c r="BM29" s="87">
        <f>'05_Расходы'!BM39</f>
        <v/>
      </c>
      <c r="BN29" s="87">
        <f>'05_Расходы'!BN39</f>
        <v/>
      </c>
      <c r="BO29" s="87">
        <f>'05_Расходы'!BO39</f>
        <v/>
      </c>
      <c r="BP29" s="87">
        <f>'05_Расходы'!BP39</f>
        <v/>
      </c>
      <c r="BQ29" s="87">
        <f>'05_Расходы'!BQ39</f>
        <v/>
      </c>
      <c r="BR29" s="87">
        <f>'05_Расходы'!BR39</f>
        <v/>
      </c>
      <c r="BS29" s="87">
        <f>'05_Расходы'!BS39</f>
        <v/>
      </c>
      <c r="BT29" s="87">
        <f>'05_Расходы'!BT39</f>
        <v/>
      </c>
      <c r="BU29" s="87">
        <f>'05_Расходы'!BU39</f>
        <v/>
      </c>
      <c r="BV29" s="87">
        <f>'05_Расходы'!BV39</f>
        <v/>
      </c>
      <c r="BW29" s="87">
        <f>'05_Расходы'!BW39</f>
        <v/>
      </c>
      <c r="BX29" s="87">
        <f>'05_Расходы'!BX39</f>
        <v/>
      </c>
      <c r="BY29" s="87">
        <f>'05_Расходы'!BY39</f>
        <v/>
      </c>
    </row>
    <row r="30" ht="15.75" customHeight="1" s="194">
      <c r="B30" s="56" t="inlineStr">
        <is>
          <t>Маркетинг привлечения</t>
        </is>
      </c>
      <c r="C30" s="56" t="inlineStr">
        <is>
          <t>₽</t>
        </is>
      </c>
      <c r="D30" s="57" t="n"/>
      <c r="E30" s="85">
        <f>SUM(L30:W30)</f>
        <v/>
      </c>
      <c r="F30" s="85">
        <f>SUM(X30:AI30)</f>
        <v/>
      </c>
      <c r="G30" s="85">
        <f>SUM(AJ30:AU30)</f>
        <v/>
      </c>
      <c r="H30" s="85">
        <f>SUM(AV30:BG30)</f>
        <v/>
      </c>
      <c r="I30" s="85">
        <f>SUM(BH30:BS30)</f>
        <v/>
      </c>
      <c r="J30" s="86">
        <f>SUM(L30:BS30)</f>
        <v/>
      </c>
      <c r="L30" s="87">
        <f>'05_Расходы'!L43</f>
        <v/>
      </c>
      <c r="M30" s="87">
        <f>'05_Расходы'!M43</f>
        <v/>
      </c>
      <c r="N30" s="87">
        <f>'05_Расходы'!N43</f>
        <v/>
      </c>
      <c r="O30" s="87">
        <f>'05_Расходы'!O43</f>
        <v/>
      </c>
      <c r="P30" s="87">
        <f>'05_Расходы'!P43</f>
        <v/>
      </c>
      <c r="Q30" s="87">
        <f>'05_Расходы'!Q43</f>
        <v/>
      </c>
      <c r="R30" s="87">
        <f>'05_Расходы'!R43</f>
        <v/>
      </c>
      <c r="S30" s="87">
        <f>'05_Расходы'!S43</f>
        <v/>
      </c>
      <c r="T30" s="87">
        <f>'05_Расходы'!T43</f>
        <v/>
      </c>
      <c r="U30" s="87">
        <f>'05_Расходы'!U43</f>
        <v/>
      </c>
      <c r="V30" s="87">
        <f>'05_Расходы'!V43</f>
        <v/>
      </c>
      <c r="W30" s="87">
        <f>'05_Расходы'!W43</f>
        <v/>
      </c>
      <c r="X30" s="87">
        <f>'05_Расходы'!X43</f>
        <v/>
      </c>
      <c r="Y30" s="87">
        <f>'05_Расходы'!Y43</f>
        <v/>
      </c>
      <c r="Z30" s="87">
        <f>'05_Расходы'!Z43</f>
        <v/>
      </c>
      <c r="AA30" s="87">
        <f>'05_Расходы'!AA43</f>
        <v/>
      </c>
      <c r="AB30" s="87">
        <f>'05_Расходы'!AB43</f>
        <v/>
      </c>
      <c r="AC30" s="87">
        <f>'05_Расходы'!AC43</f>
        <v/>
      </c>
      <c r="AD30" s="87">
        <f>'05_Расходы'!AD43</f>
        <v/>
      </c>
      <c r="AE30" s="87">
        <f>'05_Расходы'!AE43</f>
        <v/>
      </c>
      <c r="AF30" s="87">
        <f>'05_Расходы'!AF43</f>
        <v/>
      </c>
      <c r="AG30" s="87">
        <f>'05_Расходы'!AG43</f>
        <v/>
      </c>
      <c r="AH30" s="87">
        <f>'05_Расходы'!AH43</f>
        <v/>
      </c>
      <c r="AI30" s="87">
        <f>'05_Расходы'!AI43</f>
        <v/>
      </c>
      <c r="AJ30" s="87">
        <f>'05_Расходы'!AJ43</f>
        <v/>
      </c>
      <c r="AK30" s="87">
        <f>'05_Расходы'!AK43</f>
        <v/>
      </c>
      <c r="AL30" s="87">
        <f>'05_Расходы'!AL43</f>
        <v/>
      </c>
      <c r="AM30" s="87">
        <f>'05_Расходы'!AM43</f>
        <v/>
      </c>
      <c r="AN30" s="87">
        <f>'05_Расходы'!AN43</f>
        <v/>
      </c>
      <c r="AO30" s="87">
        <f>'05_Расходы'!AO43</f>
        <v/>
      </c>
      <c r="AP30" s="87">
        <f>'05_Расходы'!AP43</f>
        <v/>
      </c>
      <c r="AQ30" s="87">
        <f>'05_Расходы'!AQ43</f>
        <v/>
      </c>
      <c r="AR30" s="87">
        <f>'05_Расходы'!AR43</f>
        <v/>
      </c>
      <c r="AS30" s="87">
        <f>'05_Расходы'!AS43</f>
        <v/>
      </c>
      <c r="AT30" s="87">
        <f>'05_Расходы'!AT43</f>
        <v/>
      </c>
      <c r="AU30" s="87">
        <f>'05_Расходы'!AU43</f>
        <v/>
      </c>
      <c r="AV30" s="87">
        <f>'05_Расходы'!AV43</f>
        <v/>
      </c>
      <c r="AW30" s="87">
        <f>'05_Расходы'!AW43</f>
        <v/>
      </c>
      <c r="AX30" s="87">
        <f>'05_Расходы'!AX43</f>
        <v/>
      </c>
      <c r="AY30" s="87">
        <f>'05_Расходы'!AY43</f>
        <v/>
      </c>
      <c r="AZ30" s="87">
        <f>'05_Расходы'!AZ43</f>
        <v/>
      </c>
      <c r="BA30" s="87">
        <f>'05_Расходы'!BA43</f>
        <v/>
      </c>
      <c r="BB30" s="87">
        <f>'05_Расходы'!BB43</f>
        <v/>
      </c>
      <c r="BC30" s="87">
        <f>'05_Расходы'!BC43</f>
        <v/>
      </c>
      <c r="BD30" s="87">
        <f>'05_Расходы'!BD43</f>
        <v/>
      </c>
      <c r="BE30" s="87">
        <f>'05_Расходы'!BE43</f>
        <v/>
      </c>
      <c r="BF30" s="87">
        <f>'05_Расходы'!BF43</f>
        <v/>
      </c>
      <c r="BG30" s="87">
        <f>'05_Расходы'!BG43</f>
        <v/>
      </c>
      <c r="BH30" s="87">
        <f>'05_Расходы'!BH43</f>
        <v/>
      </c>
      <c r="BI30" s="87">
        <f>'05_Расходы'!BI43</f>
        <v/>
      </c>
      <c r="BJ30" s="87">
        <f>'05_Расходы'!BJ43</f>
        <v/>
      </c>
      <c r="BK30" s="87">
        <f>'05_Расходы'!BK43</f>
        <v/>
      </c>
      <c r="BL30" s="87">
        <f>'05_Расходы'!BL43</f>
        <v/>
      </c>
      <c r="BM30" s="87">
        <f>'05_Расходы'!BM43</f>
        <v/>
      </c>
      <c r="BN30" s="87">
        <f>'05_Расходы'!BN43</f>
        <v/>
      </c>
      <c r="BO30" s="87">
        <f>'05_Расходы'!BO43</f>
        <v/>
      </c>
      <c r="BP30" s="87">
        <f>'05_Расходы'!BP43</f>
        <v/>
      </c>
      <c r="BQ30" s="87">
        <f>'05_Расходы'!BQ43</f>
        <v/>
      </c>
      <c r="BR30" s="87">
        <f>'05_Расходы'!BR43</f>
        <v/>
      </c>
      <c r="BS30" s="87">
        <f>'05_Расходы'!BS43</f>
        <v/>
      </c>
      <c r="BT30" s="87">
        <f>'05_Расходы'!BT43</f>
        <v/>
      </c>
      <c r="BU30" s="87">
        <f>'05_Расходы'!BU43</f>
        <v/>
      </c>
      <c r="BV30" s="87">
        <f>'05_Расходы'!BV43</f>
        <v/>
      </c>
      <c r="BW30" s="87">
        <f>'05_Расходы'!BW43</f>
        <v/>
      </c>
      <c r="BX30" s="87">
        <f>'05_Расходы'!BX43</f>
        <v/>
      </c>
      <c r="BY30" s="87">
        <f>'05_Расходы'!BY43</f>
        <v/>
      </c>
    </row>
    <row r="31" ht="15.75" customHeight="1" s="194">
      <c r="B31" s="56" t="inlineStr">
        <is>
          <t>OPEX — прочие (без ФОТ)</t>
        </is>
      </c>
      <c r="C31" s="56" t="inlineStr">
        <is>
          <t>₽</t>
        </is>
      </c>
      <c r="D31" s="57" t="inlineStr">
        <is>
          <t>ERP, офис, юристы, IT, SMM, маркетинг привлечения</t>
        </is>
      </c>
      <c r="E31" s="85">
        <f>SUM(L31:W31)</f>
        <v/>
      </c>
      <c r="F31" s="85">
        <f>SUM(X31:AI31)</f>
        <v/>
      </c>
      <c r="G31" s="85">
        <f>SUM(AJ31:AU31)</f>
        <v/>
      </c>
      <c r="H31" s="85">
        <f>SUM(AV31:BG31)</f>
        <v/>
      </c>
      <c r="I31" s="85">
        <f>SUM(BH31:BS31)</f>
        <v/>
      </c>
      <c r="J31" s="86">
        <f>SUM(L31:BS31)</f>
        <v/>
      </c>
      <c r="L31" s="87">
        <f>SUM(L25:L30)</f>
        <v/>
      </c>
      <c r="M31" s="87">
        <f>SUM(M25:M30)</f>
        <v/>
      </c>
      <c r="N31" s="87">
        <f>SUM(N25:N30)</f>
        <v/>
      </c>
      <c r="O31" s="87">
        <f>SUM(O25:O30)</f>
        <v/>
      </c>
      <c r="P31" s="87">
        <f>SUM(P25:P30)</f>
        <v/>
      </c>
      <c r="Q31" s="87">
        <f>SUM(Q25:Q30)</f>
        <v/>
      </c>
      <c r="R31" s="87">
        <f>SUM(R25:R30)</f>
        <v/>
      </c>
      <c r="S31" s="87">
        <f>SUM(S25:S30)</f>
        <v/>
      </c>
      <c r="T31" s="87">
        <f>SUM(T25:T30)</f>
        <v/>
      </c>
      <c r="U31" s="87">
        <f>SUM(U25:U30)</f>
        <v/>
      </c>
      <c r="V31" s="87">
        <f>SUM(V25:V30)</f>
        <v/>
      </c>
      <c r="W31" s="87">
        <f>SUM(W25:W30)</f>
        <v/>
      </c>
      <c r="X31" s="87">
        <f>SUM(X25:X30)</f>
        <v/>
      </c>
      <c r="Y31" s="87">
        <f>SUM(Y25:Y30)</f>
        <v/>
      </c>
      <c r="Z31" s="87">
        <f>SUM(Z25:Z30)</f>
        <v/>
      </c>
      <c r="AA31" s="87">
        <f>SUM(AA25:AA30)</f>
        <v/>
      </c>
      <c r="AB31" s="87">
        <f>SUM(AB25:AB30)</f>
        <v/>
      </c>
      <c r="AC31" s="87">
        <f>SUM(AC25:AC30)</f>
        <v/>
      </c>
      <c r="AD31" s="87">
        <f>SUM(AD25:AD30)</f>
        <v/>
      </c>
      <c r="AE31" s="87">
        <f>SUM(AE25:AE30)</f>
        <v/>
      </c>
      <c r="AF31" s="87">
        <f>SUM(AF25:AF30)</f>
        <v/>
      </c>
      <c r="AG31" s="87">
        <f>SUM(AG25:AG30)</f>
        <v/>
      </c>
      <c r="AH31" s="87">
        <f>SUM(AH25:AH30)</f>
        <v/>
      </c>
      <c r="AI31" s="87">
        <f>SUM(AI25:AI30)</f>
        <v/>
      </c>
      <c r="AJ31" s="87">
        <f>SUM(AJ25:AJ30)</f>
        <v/>
      </c>
      <c r="AK31" s="87">
        <f>SUM(AK25:AK30)</f>
        <v/>
      </c>
      <c r="AL31" s="87">
        <f>SUM(AL25:AL30)</f>
        <v/>
      </c>
      <c r="AM31" s="87">
        <f>SUM(AM25:AM30)</f>
        <v/>
      </c>
      <c r="AN31" s="87">
        <f>SUM(AN25:AN30)</f>
        <v/>
      </c>
      <c r="AO31" s="87">
        <f>SUM(AO25:AO30)</f>
        <v/>
      </c>
      <c r="AP31" s="87">
        <f>SUM(AP25:AP30)</f>
        <v/>
      </c>
      <c r="AQ31" s="87">
        <f>SUM(AQ25:AQ30)</f>
        <v/>
      </c>
      <c r="AR31" s="87">
        <f>SUM(AR25:AR30)</f>
        <v/>
      </c>
      <c r="AS31" s="87">
        <f>SUM(AS25:AS30)</f>
        <v/>
      </c>
      <c r="AT31" s="87">
        <f>SUM(AT25:AT30)</f>
        <v/>
      </c>
      <c r="AU31" s="87">
        <f>SUM(AU25:AU30)</f>
        <v/>
      </c>
      <c r="AV31" s="87">
        <f>SUM(AV25:AV30)</f>
        <v/>
      </c>
      <c r="AW31" s="87">
        <f>SUM(AW25:AW30)</f>
        <v/>
      </c>
      <c r="AX31" s="87">
        <f>SUM(AX25:AX30)</f>
        <v/>
      </c>
      <c r="AY31" s="87">
        <f>SUM(AY25:AY30)</f>
        <v/>
      </c>
      <c r="AZ31" s="87">
        <f>SUM(AZ25:AZ30)</f>
        <v/>
      </c>
      <c r="BA31" s="87">
        <f>SUM(BA25:BA30)</f>
        <v/>
      </c>
      <c r="BB31" s="87">
        <f>SUM(BB25:BB30)</f>
        <v/>
      </c>
      <c r="BC31" s="87">
        <f>SUM(BC25:BC30)</f>
        <v/>
      </c>
      <c r="BD31" s="87">
        <f>SUM(BD25:BD30)</f>
        <v/>
      </c>
      <c r="BE31" s="87">
        <f>SUM(BE25:BE30)</f>
        <v/>
      </c>
      <c r="BF31" s="87">
        <f>SUM(BF25:BF30)</f>
        <v/>
      </c>
      <c r="BG31" s="87">
        <f>SUM(BG25:BG30)</f>
        <v/>
      </c>
      <c r="BH31" s="87">
        <f>SUM(BH25:BH30)</f>
        <v/>
      </c>
      <c r="BI31" s="87">
        <f>SUM(BI25:BI30)</f>
        <v/>
      </c>
      <c r="BJ31" s="87">
        <f>SUM(BJ25:BJ30)</f>
        <v/>
      </c>
      <c r="BK31" s="87">
        <f>SUM(BK25:BK30)</f>
        <v/>
      </c>
      <c r="BL31" s="87">
        <f>SUM(BL25:BL30)</f>
        <v/>
      </c>
      <c r="BM31" s="87">
        <f>SUM(BM25:BM30)</f>
        <v/>
      </c>
      <c r="BN31" s="87">
        <f>SUM(BN25:BN30)</f>
        <v/>
      </c>
      <c r="BO31" s="87">
        <f>SUM(BO25:BO30)</f>
        <v/>
      </c>
      <c r="BP31" s="87">
        <f>SUM(BP25:BP30)</f>
        <v/>
      </c>
      <c r="BQ31" s="87">
        <f>SUM(BQ25:BQ30)</f>
        <v/>
      </c>
      <c r="BR31" s="87">
        <f>SUM(BR25:BR30)</f>
        <v/>
      </c>
      <c r="BS31" s="87">
        <f>SUM(BS25:BS30)</f>
        <v/>
      </c>
      <c r="BT31" s="87">
        <f>SUM(BT25:BT30)</f>
        <v/>
      </c>
      <c r="BU31" s="87">
        <f>SUM(BU25:BU30)</f>
        <v/>
      </c>
      <c r="BV31" s="87">
        <f>SUM(BV25:BV30)</f>
        <v/>
      </c>
      <c r="BW31" s="87">
        <f>SUM(BW25:BW30)</f>
        <v/>
      </c>
      <c r="BX31" s="87">
        <f>SUM(BX25:BX30)</f>
        <v/>
      </c>
      <c r="BY31" s="87">
        <f>SUM(BY25:BY30)</f>
        <v/>
      </c>
    </row>
    <row r="32" ht="15.75" customHeight="1" s="194">
      <c r="B32" s="130" t="inlineStr">
        <is>
          <t>OPEX — всего</t>
        </is>
      </c>
      <c r="C32" s="130" t="inlineStr">
        <is>
          <t>₽</t>
        </is>
      </c>
      <c r="D32" s="156" t="inlineStr">
        <is>
          <t>ФОТ плюс всё остальное</t>
        </is>
      </c>
      <c r="E32" s="157">
        <f>SUM(L32:W32)</f>
        <v/>
      </c>
      <c r="F32" s="157">
        <f>SUM(X32:AI32)</f>
        <v/>
      </c>
      <c r="G32" s="157">
        <f>SUM(AJ32:AU32)</f>
        <v/>
      </c>
      <c r="H32" s="157">
        <f>SUM(AV32:BG32)</f>
        <v/>
      </c>
      <c r="I32" s="157">
        <f>SUM(BH32:BS32)</f>
        <v/>
      </c>
      <c r="J32" s="134">
        <f>SUM(L32:BS32)</f>
        <v/>
      </c>
      <c r="L32" s="133">
        <f>L24+L31</f>
        <v/>
      </c>
      <c r="M32" s="133">
        <f>M24+M31</f>
        <v/>
      </c>
      <c r="N32" s="133">
        <f>N24+N31</f>
        <v/>
      </c>
      <c r="O32" s="133">
        <f>O24+O31</f>
        <v/>
      </c>
      <c r="P32" s="133">
        <f>P24+P31</f>
        <v/>
      </c>
      <c r="Q32" s="133">
        <f>Q24+Q31</f>
        <v/>
      </c>
      <c r="R32" s="133">
        <f>R24+R31</f>
        <v/>
      </c>
      <c r="S32" s="133">
        <f>S24+S31</f>
        <v/>
      </c>
      <c r="T32" s="133">
        <f>T24+T31</f>
        <v/>
      </c>
      <c r="U32" s="133">
        <f>U24+U31</f>
        <v/>
      </c>
      <c r="V32" s="133">
        <f>V24+V31</f>
        <v/>
      </c>
      <c r="W32" s="133">
        <f>W24+W31</f>
        <v/>
      </c>
      <c r="X32" s="133">
        <f>X24+X31</f>
        <v/>
      </c>
      <c r="Y32" s="133">
        <f>Y24+Y31</f>
        <v/>
      </c>
      <c r="Z32" s="133">
        <f>Z24+Z31</f>
        <v/>
      </c>
      <c r="AA32" s="133">
        <f>AA24+AA31</f>
        <v/>
      </c>
      <c r="AB32" s="133">
        <f>AB24+AB31</f>
        <v/>
      </c>
      <c r="AC32" s="133">
        <f>AC24+AC31</f>
        <v/>
      </c>
      <c r="AD32" s="133">
        <f>AD24+AD31</f>
        <v/>
      </c>
      <c r="AE32" s="133">
        <f>AE24+AE31</f>
        <v/>
      </c>
      <c r="AF32" s="133">
        <f>AF24+AF31</f>
        <v/>
      </c>
      <c r="AG32" s="133">
        <f>AG24+AG31</f>
        <v/>
      </c>
      <c r="AH32" s="133">
        <f>AH24+AH31</f>
        <v/>
      </c>
      <c r="AI32" s="133">
        <f>AI24+AI31</f>
        <v/>
      </c>
      <c r="AJ32" s="133">
        <f>AJ24+AJ31</f>
        <v/>
      </c>
      <c r="AK32" s="133">
        <f>AK24+AK31</f>
        <v/>
      </c>
      <c r="AL32" s="133">
        <f>AL24+AL31</f>
        <v/>
      </c>
      <c r="AM32" s="133">
        <f>AM24+AM31</f>
        <v/>
      </c>
      <c r="AN32" s="133">
        <f>AN24+AN31</f>
        <v/>
      </c>
      <c r="AO32" s="133">
        <f>AO24+AO31</f>
        <v/>
      </c>
      <c r="AP32" s="133">
        <f>AP24+AP31</f>
        <v/>
      </c>
      <c r="AQ32" s="133">
        <f>AQ24+AQ31</f>
        <v/>
      </c>
      <c r="AR32" s="133">
        <f>AR24+AR31</f>
        <v/>
      </c>
      <c r="AS32" s="133">
        <f>AS24+AS31</f>
        <v/>
      </c>
      <c r="AT32" s="133">
        <f>AT24+AT31</f>
        <v/>
      </c>
      <c r="AU32" s="133">
        <f>AU24+AU31</f>
        <v/>
      </c>
      <c r="AV32" s="133">
        <f>AV24+AV31</f>
        <v/>
      </c>
      <c r="AW32" s="133">
        <f>AW24+AW31</f>
        <v/>
      </c>
      <c r="AX32" s="133">
        <f>AX24+AX31</f>
        <v/>
      </c>
      <c r="AY32" s="133">
        <f>AY24+AY31</f>
        <v/>
      </c>
      <c r="AZ32" s="133">
        <f>AZ24+AZ31</f>
        <v/>
      </c>
      <c r="BA32" s="133">
        <f>BA24+BA31</f>
        <v/>
      </c>
      <c r="BB32" s="133">
        <f>BB24+BB31</f>
        <v/>
      </c>
      <c r="BC32" s="133">
        <f>BC24+BC31</f>
        <v/>
      </c>
      <c r="BD32" s="133">
        <f>BD24+BD31</f>
        <v/>
      </c>
      <c r="BE32" s="133">
        <f>BE24+BE31</f>
        <v/>
      </c>
      <c r="BF32" s="133">
        <f>BF24+BF31</f>
        <v/>
      </c>
      <c r="BG32" s="133">
        <f>BG24+BG31</f>
        <v/>
      </c>
      <c r="BH32" s="133">
        <f>BH24+BH31</f>
        <v/>
      </c>
      <c r="BI32" s="133">
        <f>BI24+BI31</f>
        <v/>
      </c>
      <c r="BJ32" s="133">
        <f>BJ24+BJ31</f>
        <v/>
      </c>
      <c r="BK32" s="133">
        <f>BK24+BK31</f>
        <v/>
      </c>
      <c r="BL32" s="133">
        <f>BL24+BL31</f>
        <v/>
      </c>
      <c r="BM32" s="133">
        <f>BM24+BM31</f>
        <v/>
      </c>
      <c r="BN32" s="133">
        <f>BN24+BN31</f>
        <v/>
      </c>
      <c r="BO32" s="133">
        <f>BO24+BO31</f>
        <v/>
      </c>
      <c r="BP32" s="133">
        <f>BP24+BP31</f>
        <v/>
      </c>
      <c r="BQ32" s="133">
        <f>BQ24+BQ31</f>
        <v/>
      </c>
      <c r="BR32" s="133">
        <f>BR24+BR31</f>
        <v/>
      </c>
      <c r="BS32" s="133">
        <f>BS24+BS31</f>
        <v/>
      </c>
      <c r="BT32" s="133">
        <f>BT24+BT31</f>
        <v/>
      </c>
      <c r="BU32" s="133">
        <f>BU24+BU31</f>
        <v/>
      </c>
      <c r="BV32" s="133">
        <f>BV24+BV31</f>
        <v/>
      </c>
      <c r="BW32" s="133">
        <f>BW24+BW31</f>
        <v/>
      </c>
      <c r="BX32" s="133">
        <f>BX24+BX31</f>
        <v/>
      </c>
      <c r="BY32" s="133">
        <f>BY24+BY31</f>
        <v/>
      </c>
    </row>
    <row r="33" ht="15.75" customHeight="1" s="194">
      <c r="B33" s="130" t="inlineStr">
        <is>
          <t>EBITDA</t>
        </is>
      </c>
      <c r="C33" s="130" t="inlineStr">
        <is>
          <t>₽</t>
        </is>
      </c>
      <c r="D33" s="156" t="n"/>
      <c r="E33" s="157">
        <f>SUM(L33:W33)</f>
        <v/>
      </c>
      <c r="F33" s="157">
        <f>SUM(X33:AI33)</f>
        <v/>
      </c>
      <c r="G33" s="157">
        <f>SUM(AJ33:AU33)</f>
        <v/>
      </c>
      <c r="H33" s="157">
        <f>SUM(AV33:BG33)</f>
        <v/>
      </c>
      <c r="I33" s="157">
        <f>SUM(BH33:BS33)</f>
        <v/>
      </c>
      <c r="J33" s="134">
        <f>SUM(L33:BS33)</f>
        <v/>
      </c>
      <c r="L33" s="133">
        <f>L23-L32</f>
        <v/>
      </c>
      <c r="M33" s="133">
        <f>M23-M32</f>
        <v/>
      </c>
      <c r="N33" s="133">
        <f>N23-N32</f>
        <v/>
      </c>
      <c r="O33" s="133">
        <f>O23-O32</f>
        <v/>
      </c>
      <c r="P33" s="133">
        <f>P23-P32</f>
        <v/>
      </c>
      <c r="Q33" s="133">
        <f>Q23-Q32</f>
        <v/>
      </c>
      <c r="R33" s="133">
        <f>R23-R32</f>
        <v/>
      </c>
      <c r="S33" s="133">
        <f>S23-S32</f>
        <v/>
      </c>
      <c r="T33" s="133">
        <f>T23-T32</f>
        <v/>
      </c>
      <c r="U33" s="133">
        <f>U23-U32</f>
        <v/>
      </c>
      <c r="V33" s="133">
        <f>V23-V32</f>
        <v/>
      </c>
      <c r="W33" s="133">
        <f>W23-W32</f>
        <v/>
      </c>
      <c r="X33" s="133">
        <f>X23-X32</f>
        <v/>
      </c>
      <c r="Y33" s="133">
        <f>Y23-Y32</f>
        <v/>
      </c>
      <c r="Z33" s="133">
        <f>Z23-Z32</f>
        <v/>
      </c>
      <c r="AA33" s="133">
        <f>AA23-AA32</f>
        <v/>
      </c>
      <c r="AB33" s="133">
        <f>AB23-AB32</f>
        <v/>
      </c>
      <c r="AC33" s="133">
        <f>AC23-AC32</f>
        <v/>
      </c>
      <c r="AD33" s="133">
        <f>AD23-AD32</f>
        <v/>
      </c>
      <c r="AE33" s="133">
        <f>AE23-AE32</f>
        <v/>
      </c>
      <c r="AF33" s="133">
        <f>AF23-AF32</f>
        <v/>
      </c>
      <c r="AG33" s="133">
        <f>AG23-AG32</f>
        <v/>
      </c>
      <c r="AH33" s="133">
        <f>AH23-AH32</f>
        <v/>
      </c>
      <c r="AI33" s="133">
        <f>AI23-AI32</f>
        <v/>
      </c>
      <c r="AJ33" s="133">
        <f>AJ23-AJ32</f>
        <v/>
      </c>
      <c r="AK33" s="133">
        <f>AK23-AK32</f>
        <v/>
      </c>
      <c r="AL33" s="133">
        <f>AL23-AL32</f>
        <v/>
      </c>
      <c r="AM33" s="133">
        <f>AM23-AM32</f>
        <v/>
      </c>
      <c r="AN33" s="133">
        <f>AN23-AN32</f>
        <v/>
      </c>
      <c r="AO33" s="133">
        <f>AO23-AO32</f>
        <v/>
      </c>
      <c r="AP33" s="133">
        <f>AP23-AP32</f>
        <v/>
      </c>
      <c r="AQ33" s="133">
        <f>AQ23-AQ32</f>
        <v/>
      </c>
      <c r="AR33" s="133">
        <f>AR23-AR32</f>
        <v/>
      </c>
      <c r="AS33" s="133">
        <f>AS23-AS32</f>
        <v/>
      </c>
      <c r="AT33" s="133">
        <f>AT23-AT32</f>
        <v/>
      </c>
      <c r="AU33" s="133">
        <f>AU23-AU32</f>
        <v/>
      </c>
      <c r="AV33" s="133">
        <f>AV23-AV32</f>
        <v/>
      </c>
      <c r="AW33" s="133">
        <f>AW23-AW32</f>
        <v/>
      </c>
      <c r="AX33" s="133">
        <f>AX23-AX32</f>
        <v/>
      </c>
      <c r="AY33" s="133">
        <f>AY23-AY32</f>
        <v/>
      </c>
      <c r="AZ33" s="133">
        <f>AZ23-AZ32</f>
        <v/>
      </c>
      <c r="BA33" s="133">
        <f>BA23-BA32</f>
        <v/>
      </c>
      <c r="BB33" s="133">
        <f>BB23-BB32</f>
        <v/>
      </c>
      <c r="BC33" s="133">
        <f>BC23-BC32</f>
        <v/>
      </c>
      <c r="BD33" s="133">
        <f>BD23-BD32</f>
        <v/>
      </c>
      <c r="BE33" s="133">
        <f>BE23-BE32</f>
        <v/>
      </c>
      <c r="BF33" s="133">
        <f>BF23-BF32</f>
        <v/>
      </c>
      <c r="BG33" s="133">
        <f>BG23-BG32</f>
        <v/>
      </c>
      <c r="BH33" s="133">
        <f>BH23-BH32</f>
        <v/>
      </c>
      <c r="BI33" s="133">
        <f>BI23-BI32</f>
        <v/>
      </c>
      <c r="BJ33" s="133">
        <f>BJ23-BJ32</f>
        <v/>
      </c>
      <c r="BK33" s="133">
        <f>BK23-BK32</f>
        <v/>
      </c>
      <c r="BL33" s="133">
        <f>BL23-BL32</f>
        <v/>
      </c>
      <c r="BM33" s="133">
        <f>BM23-BM32</f>
        <v/>
      </c>
      <c r="BN33" s="133">
        <f>BN23-BN32</f>
        <v/>
      </c>
      <c r="BO33" s="133">
        <f>BO23-BO32</f>
        <v/>
      </c>
      <c r="BP33" s="133">
        <f>BP23-BP32</f>
        <v/>
      </c>
      <c r="BQ33" s="133">
        <f>BQ23-BQ32</f>
        <v/>
      </c>
      <c r="BR33" s="133">
        <f>BR23-BR32</f>
        <v/>
      </c>
      <c r="BS33" s="133">
        <f>BS23-BS32</f>
        <v/>
      </c>
      <c r="BT33" s="133">
        <f>BT23-BT32</f>
        <v/>
      </c>
      <c r="BU33" s="133">
        <f>BU23-BU32</f>
        <v/>
      </c>
      <c r="BV33" s="133">
        <f>BV23-BV32</f>
        <v/>
      </c>
      <c r="BW33" s="133">
        <f>BW23-BW32</f>
        <v/>
      </c>
      <c r="BX33" s="133">
        <f>BX23-BX32</f>
        <v/>
      </c>
      <c r="BY33" s="133">
        <f>BY23-BY32</f>
        <v/>
      </c>
    </row>
    <row r="34" ht="15.75" customHeight="1" s="194">
      <c r="B34" s="56" t="inlineStr">
        <is>
          <t>EBITDA, % выручки</t>
        </is>
      </c>
      <c r="C34" s="56" t="inlineStr">
        <is>
          <t>%</t>
        </is>
      </c>
      <c r="D34" s="57" t="inlineStr">
        <is>
          <t>В колонках лет — EBITDA года, делённая на выручку года, а не среднее из помесячных долей</t>
        </is>
      </c>
      <c r="E34" s="135">
        <f>IF(SUM(L16:W16)=0,0,SUM(L33:W33)/SUM(L16:W16))</f>
        <v/>
      </c>
      <c r="F34" s="135">
        <f>IF(SUM(X16:AI16)=0,0,SUM(X33:AI33)/SUM(X16:AI16))</f>
        <v/>
      </c>
      <c r="G34" s="135">
        <f>IF(SUM(AJ16:AU16)=0,0,SUM(AJ33:AU33)/SUM(AJ16:AU16))</f>
        <v/>
      </c>
      <c r="H34" s="135">
        <f>IF(SUM(AV16:BG16)=0,0,SUM(AV33:BG33)/SUM(AV16:BG16))</f>
        <v/>
      </c>
      <c r="I34" s="135">
        <f>IF(SUM(BH16:BS16)=0,0,SUM(BH33:BS33)/SUM(BH16:BS16))</f>
        <v/>
      </c>
      <c r="J34" s="138">
        <f>IF(SUM(L16:BS16)=0,0,SUM(L33:BS33)/SUM(L16:BS16))</f>
        <v/>
      </c>
      <c r="L34" s="141">
        <f>IF(L16=0,0,L33/L16)</f>
        <v/>
      </c>
      <c r="M34" s="141">
        <f>IF(M16=0,0,M33/M16)</f>
        <v/>
      </c>
      <c r="N34" s="141">
        <f>IF(N16=0,0,N33/N16)</f>
        <v/>
      </c>
      <c r="O34" s="141">
        <f>IF(O16=0,0,O33/O16)</f>
        <v/>
      </c>
      <c r="P34" s="141">
        <f>IF(P16=0,0,P33/P16)</f>
        <v/>
      </c>
      <c r="Q34" s="141">
        <f>IF(Q16=0,0,Q33/Q16)</f>
        <v/>
      </c>
      <c r="R34" s="141">
        <f>IF(R16=0,0,R33/R16)</f>
        <v/>
      </c>
      <c r="S34" s="141">
        <f>IF(S16=0,0,S33/S16)</f>
        <v/>
      </c>
      <c r="T34" s="141">
        <f>IF(T16=0,0,T33/T16)</f>
        <v/>
      </c>
      <c r="U34" s="141">
        <f>IF(U16=0,0,U33/U16)</f>
        <v/>
      </c>
      <c r="V34" s="141">
        <f>IF(V16=0,0,V33/V16)</f>
        <v/>
      </c>
      <c r="W34" s="141">
        <f>IF(W16=0,0,W33/W16)</f>
        <v/>
      </c>
      <c r="X34" s="141">
        <f>IF(X16=0,0,X33/X16)</f>
        <v/>
      </c>
      <c r="Y34" s="141">
        <f>IF(Y16=0,0,Y33/Y16)</f>
        <v/>
      </c>
      <c r="Z34" s="141">
        <f>IF(Z16=0,0,Z33/Z16)</f>
        <v/>
      </c>
      <c r="AA34" s="141">
        <f>IF(AA16=0,0,AA33/AA16)</f>
        <v/>
      </c>
      <c r="AB34" s="141">
        <f>IF(AB16=0,0,AB33/AB16)</f>
        <v/>
      </c>
      <c r="AC34" s="141">
        <f>IF(AC16=0,0,AC33/AC16)</f>
        <v/>
      </c>
      <c r="AD34" s="141">
        <f>IF(AD16=0,0,AD33/AD16)</f>
        <v/>
      </c>
      <c r="AE34" s="141">
        <f>IF(AE16=0,0,AE33/AE16)</f>
        <v/>
      </c>
      <c r="AF34" s="141">
        <f>IF(AF16=0,0,AF33/AF16)</f>
        <v/>
      </c>
      <c r="AG34" s="141">
        <f>IF(AG16=0,0,AG33/AG16)</f>
        <v/>
      </c>
      <c r="AH34" s="141">
        <f>IF(AH16=0,0,AH33/AH16)</f>
        <v/>
      </c>
      <c r="AI34" s="141">
        <f>IF(AI16=0,0,AI33/AI16)</f>
        <v/>
      </c>
      <c r="AJ34" s="141">
        <f>IF(AJ16=0,0,AJ33/AJ16)</f>
        <v/>
      </c>
      <c r="AK34" s="141">
        <f>IF(AK16=0,0,AK33/AK16)</f>
        <v/>
      </c>
      <c r="AL34" s="141">
        <f>IF(AL16=0,0,AL33/AL16)</f>
        <v/>
      </c>
      <c r="AM34" s="141">
        <f>IF(AM16=0,0,AM33/AM16)</f>
        <v/>
      </c>
      <c r="AN34" s="141">
        <f>IF(AN16=0,0,AN33/AN16)</f>
        <v/>
      </c>
      <c r="AO34" s="141">
        <f>IF(AO16=0,0,AO33/AO16)</f>
        <v/>
      </c>
      <c r="AP34" s="141">
        <f>IF(AP16=0,0,AP33/AP16)</f>
        <v/>
      </c>
      <c r="AQ34" s="141">
        <f>IF(AQ16=0,0,AQ33/AQ16)</f>
        <v/>
      </c>
      <c r="AR34" s="141">
        <f>IF(AR16=0,0,AR33/AR16)</f>
        <v/>
      </c>
      <c r="AS34" s="141">
        <f>IF(AS16=0,0,AS33/AS16)</f>
        <v/>
      </c>
      <c r="AT34" s="141">
        <f>IF(AT16=0,0,AT33/AT16)</f>
        <v/>
      </c>
      <c r="AU34" s="141">
        <f>IF(AU16=0,0,AU33/AU16)</f>
        <v/>
      </c>
      <c r="AV34" s="141">
        <f>IF(AV16=0,0,AV33/AV16)</f>
        <v/>
      </c>
      <c r="AW34" s="141">
        <f>IF(AW16=0,0,AW33/AW16)</f>
        <v/>
      </c>
      <c r="AX34" s="141">
        <f>IF(AX16=0,0,AX33/AX16)</f>
        <v/>
      </c>
      <c r="AY34" s="141">
        <f>IF(AY16=0,0,AY33/AY16)</f>
        <v/>
      </c>
      <c r="AZ34" s="141">
        <f>IF(AZ16=0,0,AZ33/AZ16)</f>
        <v/>
      </c>
      <c r="BA34" s="141">
        <f>IF(BA16=0,0,BA33/BA16)</f>
        <v/>
      </c>
      <c r="BB34" s="141">
        <f>IF(BB16=0,0,BB33/BB16)</f>
        <v/>
      </c>
      <c r="BC34" s="141">
        <f>IF(BC16=0,0,BC33/BC16)</f>
        <v/>
      </c>
      <c r="BD34" s="141">
        <f>IF(BD16=0,0,BD33/BD16)</f>
        <v/>
      </c>
      <c r="BE34" s="141">
        <f>IF(BE16=0,0,BE33/BE16)</f>
        <v/>
      </c>
      <c r="BF34" s="141">
        <f>IF(BF16=0,0,BF33/BF16)</f>
        <v/>
      </c>
      <c r="BG34" s="141">
        <f>IF(BG16=0,0,BG33/BG16)</f>
        <v/>
      </c>
      <c r="BH34" s="141">
        <f>IF(BH16=0,0,BH33/BH16)</f>
        <v/>
      </c>
      <c r="BI34" s="141">
        <f>IF(BI16=0,0,BI33/BI16)</f>
        <v/>
      </c>
      <c r="BJ34" s="141">
        <f>IF(BJ16=0,0,BJ33/BJ16)</f>
        <v/>
      </c>
      <c r="BK34" s="141">
        <f>IF(BK16=0,0,BK33/BK16)</f>
        <v/>
      </c>
      <c r="BL34" s="141">
        <f>IF(BL16=0,0,BL33/BL16)</f>
        <v/>
      </c>
      <c r="BM34" s="141">
        <f>IF(BM16=0,0,BM33/BM16)</f>
        <v/>
      </c>
      <c r="BN34" s="141">
        <f>IF(BN16=0,0,BN33/BN16)</f>
        <v/>
      </c>
      <c r="BO34" s="141">
        <f>IF(BO16=0,0,BO33/BO16)</f>
        <v/>
      </c>
      <c r="BP34" s="141">
        <f>IF(BP16=0,0,BP33/BP16)</f>
        <v/>
      </c>
      <c r="BQ34" s="141">
        <f>IF(BQ16=0,0,BQ33/BQ16)</f>
        <v/>
      </c>
      <c r="BR34" s="141">
        <f>IF(BR16=0,0,BR33/BR16)</f>
        <v/>
      </c>
      <c r="BS34" s="141">
        <f>IF(BS16=0,0,BS33/BS16)</f>
        <v/>
      </c>
      <c r="BT34" s="141">
        <f>IF(BT16=0,0,BT33/BT16)</f>
        <v/>
      </c>
      <c r="BU34" s="141">
        <f>IF(BU16=0,0,BU33/BU16)</f>
        <v/>
      </c>
      <c r="BV34" s="141">
        <f>IF(BV16=0,0,BV33/BV16)</f>
        <v/>
      </c>
      <c r="BW34" s="141">
        <f>IF(BW16=0,0,BW33/BW16)</f>
        <v/>
      </c>
      <c r="BX34" s="141">
        <f>IF(BX16=0,0,BX33/BX16)</f>
        <v/>
      </c>
      <c r="BY34" s="141">
        <f>IF(BY16=0,0,BY33/BY16)</f>
        <v/>
      </c>
    </row>
    <row r="35" ht="15.75" customHeight="1" s="194">
      <c r="B35" s="56" t="inlineStr">
        <is>
          <t>УСН / минимальный налог</t>
        </is>
      </c>
      <c r="C35" s="56" t="inlineStr">
        <is>
          <t>₽</t>
        </is>
      </c>
      <c r="D35" s="57" t="n"/>
      <c r="E35" s="85">
        <f>SUM(L35:W35)</f>
        <v/>
      </c>
      <c r="F35" s="85">
        <f>SUM(X35:AI35)</f>
        <v/>
      </c>
      <c r="G35" s="85">
        <f>SUM(AJ35:AU35)</f>
        <v/>
      </c>
      <c r="H35" s="85">
        <f>SUM(AV35:BG35)</f>
        <v/>
      </c>
      <c r="I35" s="85">
        <f>SUM(BH35:BS35)</f>
        <v/>
      </c>
      <c r="J35" s="86">
        <f>SUM(L35:BS35)</f>
        <v/>
      </c>
      <c r="L35" s="87">
        <f>'06_Деньги'!L24</f>
        <v/>
      </c>
      <c r="M35" s="87">
        <f>'06_Деньги'!M24</f>
        <v/>
      </c>
      <c r="N35" s="87">
        <f>'06_Деньги'!N24</f>
        <v/>
      </c>
      <c r="O35" s="87">
        <f>'06_Деньги'!O24</f>
        <v/>
      </c>
      <c r="P35" s="87">
        <f>'06_Деньги'!P24</f>
        <v/>
      </c>
      <c r="Q35" s="87">
        <f>'06_Деньги'!Q24</f>
        <v/>
      </c>
      <c r="R35" s="87">
        <f>'06_Деньги'!R24</f>
        <v/>
      </c>
      <c r="S35" s="87">
        <f>'06_Деньги'!S24</f>
        <v/>
      </c>
      <c r="T35" s="87">
        <f>'06_Деньги'!T24</f>
        <v/>
      </c>
      <c r="U35" s="87">
        <f>'06_Деньги'!U24</f>
        <v/>
      </c>
      <c r="V35" s="87">
        <f>'06_Деньги'!V24</f>
        <v/>
      </c>
      <c r="W35" s="87">
        <f>'06_Деньги'!W24</f>
        <v/>
      </c>
      <c r="X35" s="87">
        <f>'06_Деньги'!X24</f>
        <v/>
      </c>
      <c r="Y35" s="87">
        <f>'06_Деньги'!Y24</f>
        <v/>
      </c>
      <c r="Z35" s="87">
        <f>'06_Деньги'!Z24</f>
        <v/>
      </c>
      <c r="AA35" s="87">
        <f>'06_Деньги'!AA24</f>
        <v/>
      </c>
      <c r="AB35" s="87">
        <f>'06_Деньги'!AB24</f>
        <v/>
      </c>
      <c r="AC35" s="87">
        <f>'06_Деньги'!AC24</f>
        <v/>
      </c>
      <c r="AD35" s="87">
        <f>'06_Деньги'!AD24</f>
        <v/>
      </c>
      <c r="AE35" s="87">
        <f>'06_Деньги'!AE24</f>
        <v/>
      </c>
      <c r="AF35" s="87">
        <f>'06_Деньги'!AF24</f>
        <v/>
      </c>
      <c r="AG35" s="87">
        <f>'06_Деньги'!AG24</f>
        <v/>
      </c>
      <c r="AH35" s="87">
        <f>'06_Деньги'!AH24</f>
        <v/>
      </c>
      <c r="AI35" s="87">
        <f>'06_Деньги'!AI24</f>
        <v/>
      </c>
      <c r="AJ35" s="87">
        <f>'06_Деньги'!AJ24</f>
        <v/>
      </c>
      <c r="AK35" s="87">
        <f>'06_Деньги'!AK24</f>
        <v/>
      </c>
      <c r="AL35" s="87">
        <f>'06_Деньги'!AL24</f>
        <v/>
      </c>
      <c r="AM35" s="87">
        <f>'06_Деньги'!AM24</f>
        <v/>
      </c>
      <c r="AN35" s="87">
        <f>'06_Деньги'!AN24</f>
        <v/>
      </c>
      <c r="AO35" s="87">
        <f>'06_Деньги'!AO24</f>
        <v/>
      </c>
      <c r="AP35" s="87">
        <f>'06_Деньги'!AP24</f>
        <v/>
      </c>
      <c r="AQ35" s="87">
        <f>'06_Деньги'!AQ24</f>
        <v/>
      </c>
      <c r="AR35" s="87">
        <f>'06_Деньги'!AR24</f>
        <v/>
      </c>
      <c r="AS35" s="87">
        <f>'06_Деньги'!AS24</f>
        <v/>
      </c>
      <c r="AT35" s="87">
        <f>'06_Деньги'!AT24</f>
        <v/>
      </c>
      <c r="AU35" s="87">
        <f>'06_Деньги'!AU24</f>
        <v/>
      </c>
      <c r="AV35" s="87">
        <f>'06_Деньги'!AV24</f>
        <v/>
      </c>
      <c r="AW35" s="87">
        <f>'06_Деньги'!AW24</f>
        <v/>
      </c>
      <c r="AX35" s="87">
        <f>'06_Деньги'!AX24</f>
        <v/>
      </c>
      <c r="AY35" s="87">
        <f>'06_Деньги'!AY24</f>
        <v/>
      </c>
      <c r="AZ35" s="87">
        <f>'06_Деньги'!AZ24</f>
        <v/>
      </c>
      <c r="BA35" s="87">
        <f>'06_Деньги'!BA24</f>
        <v/>
      </c>
      <c r="BB35" s="87">
        <f>'06_Деньги'!BB24</f>
        <v/>
      </c>
      <c r="BC35" s="87">
        <f>'06_Деньги'!BC24</f>
        <v/>
      </c>
      <c r="BD35" s="87">
        <f>'06_Деньги'!BD24</f>
        <v/>
      </c>
      <c r="BE35" s="87">
        <f>'06_Деньги'!BE24</f>
        <v/>
      </c>
      <c r="BF35" s="87">
        <f>'06_Деньги'!BF24</f>
        <v/>
      </c>
      <c r="BG35" s="87">
        <f>'06_Деньги'!BG24</f>
        <v/>
      </c>
      <c r="BH35" s="87">
        <f>'06_Деньги'!BH24</f>
        <v/>
      </c>
      <c r="BI35" s="87">
        <f>'06_Деньги'!BI24</f>
        <v/>
      </c>
      <c r="BJ35" s="87">
        <f>'06_Деньги'!BJ24</f>
        <v/>
      </c>
      <c r="BK35" s="87">
        <f>'06_Деньги'!BK24</f>
        <v/>
      </c>
      <c r="BL35" s="87">
        <f>'06_Деньги'!BL24</f>
        <v/>
      </c>
      <c r="BM35" s="87">
        <f>'06_Деньги'!BM24</f>
        <v/>
      </c>
      <c r="BN35" s="87">
        <f>'06_Деньги'!BN24</f>
        <v/>
      </c>
      <c r="BO35" s="87">
        <f>'06_Деньги'!BO24</f>
        <v/>
      </c>
      <c r="BP35" s="87">
        <f>'06_Деньги'!BP24</f>
        <v/>
      </c>
      <c r="BQ35" s="87">
        <f>'06_Деньги'!BQ24</f>
        <v/>
      </c>
      <c r="BR35" s="87">
        <f>'06_Деньги'!BR24</f>
        <v/>
      </c>
      <c r="BS35" s="87">
        <f>'06_Деньги'!BS24</f>
        <v/>
      </c>
      <c r="BT35" s="87">
        <f>'06_Деньги'!BT24</f>
        <v/>
      </c>
      <c r="BU35" s="87">
        <f>'06_Деньги'!BU24</f>
        <v/>
      </c>
      <c r="BV35" s="87">
        <f>'06_Деньги'!BV24</f>
        <v/>
      </c>
      <c r="BW35" s="87">
        <f>'06_Деньги'!BW24</f>
        <v/>
      </c>
      <c r="BX35" s="87">
        <f>'06_Деньги'!BX24</f>
        <v/>
      </c>
      <c r="BY35" s="87">
        <f>'06_Деньги'!BY24</f>
        <v/>
      </c>
    </row>
    <row r="36" ht="15.75" customHeight="1" s="194">
      <c r="B36" s="130" t="inlineStr">
        <is>
          <t>Прибыль после налога</t>
        </is>
      </c>
      <c r="C36" s="130" t="inlineStr">
        <is>
          <t>₽</t>
        </is>
      </c>
      <c r="D36" s="156" t="n"/>
      <c r="E36" s="157">
        <f>SUM(L36:W36)</f>
        <v/>
      </c>
      <c r="F36" s="157">
        <f>SUM(X36:AI36)</f>
        <v/>
      </c>
      <c r="G36" s="157">
        <f>SUM(AJ36:AU36)</f>
        <v/>
      </c>
      <c r="H36" s="157">
        <f>SUM(AV36:BG36)</f>
        <v/>
      </c>
      <c r="I36" s="157">
        <f>SUM(BH36:BS36)</f>
        <v/>
      </c>
      <c r="J36" s="134">
        <f>SUM(L36:BS36)</f>
        <v/>
      </c>
      <c r="L36" s="133">
        <f>L33-L35</f>
        <v/>
      </c>
      <c r="M36" s="133">
        <f>M33-M35</f>
        <v/>
      </c>
      <c r="N36" s="133">
        <f>N33-N35</f>
        <v/>
      </c>
      <c r="O36" s="133">
        <f>O33-O35</f>
        <v/>
      </c>
      <c r="P36" s="133">
        <f>P33-P35</f>
        <v/>
      </c>
      <c r="Q36" s="133">
        <f>Q33-Q35</f>
        <v/>
      </c>
      <c r="R36" s="133">
        <f>R33-R35</f>
        <v/>
      </c>
      <c r="S36" s="133">
        <f>S33-S35</f>
        <v/>
      </c>
      <c r="T36" s="133">
        <f>T33-T35</f>
        <v/>
      </c>
      <c r="U36" s="133">
        <f>U33-U35</f>
        <v/>
      </c>
      <c r="V36" s="133">
        <f>V33-V35</f>
        <v/>
      </c>
      <c r="W36" s="133">
        <f>W33-W35</f>
        <v/>
      </c>
      <c r="X36" s="133">
        <f>X33-X35</f>
        <v/>
      </c>
      <c r="Y36" s="133">
        <f>Y33-Y35</f>
        <v/>
      </c>
      <c r="Z36" s="133">
        <f>Z33-Z35</f>
        <v/>
      </c>
      <c r="AA36" s="133">
        <f>AA33-AA35</f>
        <v/>
      </c>
      <c r="AB36" s="133">
        <f>AB33-AB35</f>
        <v/>
      </c>
      <c r="AC36" s="133">
        <f>AC33-AC35</f>
        <v/>
      </c>
      <c r="AD36" s="133">
        <f>AD33-AD35</f>
        <v/>
      </c>
      <c r="AE36" s="133">
        <f>AE33-AE35</f>
        <v/>
      </c>
      <c r="AF36" s="133">
        <f>AF33-AF35</f>
        <v/>
      </c>
      <c r="AG36" s="133">
        <f>AG33-AG35</f>
        <v/>
      </c>
      <c r="AH36" s="133">
        <f>AH33-AH35</f>
        <v/>
      </c>
      <c r="AI36" s="133">
        <f>AI33-AI35</f>
        <v/>
      </c>
      <c r="AJ36" s="133">
        <f>AJ33-AJ35</f>
        <v/>
      </c>
      <c r="AK36" s="133">
        <f>AK33-AK35</f>
        <v/>
      </c>
      <c r="AL36" s="133">
        <f>AL33-AL35</f>
        <v/>
      </c>
      <c r="AM36" s="133">
        <f>AM33-AM35</f>
        <v/>
      </c>
      <c r="AN36" s="133">
        <f>AN33-AN35</f>
        <v/>
      </c>
      <c r="AO36" s="133">
        <f>AO33-AO35</f>
        <v/>
      </c>
      <c r="AP36" s="133">
        <f>AP33-AP35</f>
        <v/>
      </c>
      <c r="AQ36" s="133">
        <f>AQ33-AQ35</f>
        <v/>
      </c>
      <c r="AR36" s="133">
        <f>AR33-AR35</f>
        <v/>
      </c>
      <c r="AS36" s="133">
        <f>AS33-AS35</f>
        <v/>
      </c>
      <c r="AT36" s="133">
        <f>AT33-AT35</f>
        <v/>
      </c>
      <c r="AU36" s="133">
        <f>AU33-AU35</f>
        <v/>
      </c>
      <c r="AV36" s="133">
        <f>AV33-AV35</f>
        <v/>
      </c>
      <c r="AW36" s="133">
        <f>AW33-AW35</f>
        <v/>
      </c>
      <c r="AX36" s="133">
        <f>AX33-AX35</f>
        <v/>
      </c>
      <c r="AY36" s="133">
        <f>AY33-AY35</f>
        <v/>
      </c>
      <c r="AZ36" s="133">
        <f>AZ33-AZ35</f>
        <v/>
      </c>
      <c r="BA36" s="133">
        <f>BA33-BA35</f>
        <v/>
      </c>
      <c r="BB36" s="133">
        <f>BB33-BB35</f>
        <v/>
      </c>
      <c r="BC36" s="133">
        <f>BC33-BC35</f>
        <v/>
      </c>
      <c r="BD36" s="133">
        <f>BD33-BD35</f>
        <v/>
      </c>
      <c r="BE36" s="133">
        <f>BE33-BE35</f>
        <v/>
      </c>
      <c r="BF36" s="133">
        <f>BF33-BF35</f>
        <v/>
      </c>
      <c r="BG36" s="133">
        <f>BG33-BG35</f>
        <v/>
      </c>
      <c r="BH36" s="133">
        <f>BH33-BH35</f>
        <v/>
      </c>
      <c r="BI36" s="133">
        <f>BI33-BI35</f>
        <v/>
      </c>
      <c r="BJ36" s="133">
        <f>BJ33-BJ35</f>
        <v/>
      </c>
      <c r="BK36" s="133">
        <f>BK33-BK35</f>
        <v/>
      </c>
      <c r="BL36" s="133">
        <f>BL33-BL35</f>
        <v/>
      </c>
      <c r="BM36" s="133">
        <f>BM33-BM35</f>
        <v/>
      </c>
      <c r="BN36" s="133">
        <f>BN33-BN35</f>
        <v/>
      </c>
      <c r="BO36" s="133">
        <f>BO33-BO35</f>
        <v/>
      </c>
      <c r="BP36" s="133">
        <f>BP33-BP35</f>
        <v/>
      </c>
      <c r="BQ36" s="133">
        <f>BQ33-BQ35</f>
        <v/>
      </c>
      <c r="BR36" s="133">
        <f>BR33-BR35</f>
        <v/>
      </c>
      <c r="BS36" s="133">
        <f>BS33-BS35</f>
        <v/>
      </c>
      <c r="BT36" s="133">
        <f>BT33-BT35</f>
        <v/>
      </c>
      <c r="BU36" s="133">
        <f>BU33-BU35</f>
        <v/>
      </c>
      <c r="BV36" s="133">
        <f>BV33-BV35</f>
        <v/>
      </c>
      <c r="BW36" s="133">
        <f>BW33-BW35</f>
        <v/>
      </c>
      <c r="BX36" s="133">
        <f>BX33-BX35</f>
        <v/>
      </c>
      <c r="BY36" s="133">
        <f>BY33-BY35</f>
        <v/>
      </c>
    </row>
    <row r="37" ht="15.75" customHeight="1" s="194"/>
    <row r="38" ht="15.75" customHeight="1" s="194">
      <c r="B38" s="54" t="inlineStr">
        <is>
          <t>БДДС — движение денег</t>
        </is>
      </c>
      <c r="C38" s="55" t="n"/>
      <c r="D38" s="55" t="n"/>
      <c r="E38" s="55" t="n"/>
      <c r="F38" s="55" t="n"/>
      <c r="G38" s="55" t="n"/>
      <c r="H38" s="55" t="n"/>
      <c r="I38" s="55" t="n"/>
      <c r="J38" s="55" t="n"/>
      <c r="K38" s="55" t="n"/>
      <c r="L38" s="55" t="n"/>
      <c r="M38" s="55" t="n"/>
      <c r="N38" s="55" t="n"/>
      <c r="O38" s="55" t="n"/>
      <c r="P38" s="55" t="n"/>
      <c r="Q38" s="55" t="n"/>
      <c r="R38" s="55" t="n"/>
      <c r="S38" s="55" t="n"/>
      <c r="T38" s="55" t="n"/>
      <c r="U38" s="55" t="n"/>
      <c r="V38" s="55" t="n"/>
      <c r="W38" s="55" t="n"/>
      <c r="X38" s="55" t="n"/>
      <c r="Y38" s="55" t="n"/>
      <c r="Z38" s="55" t="n"/>
      <c r="AA38" s="55" t="n"/>
      <c r="AB38" s="55" t="n"/>
      <c r="AC38" s="55" t="n"/>
      <c r="AD38" s="55" t="n"/>
      <c r="AE38" s="55" t="n"/>
      <c r="AF38" s="55" t="n"/>
      <c r="AG38" s="55" t="n"/>
      <c r="AH38" s="55" t="n"/>
      <c r="AI38" s="55" t="n"/>
      <c r="AJ38" s="55" t="n"/>
      <c r="AK38" s="55" t="n"/>
      <c r="AL38" s="55" t="n"/>
      <c r="AM38" s="55" t="n"/>
      <c r="AN38" s="55" t="n"/>
      <c r="AO38" s="55" t="n"/>
      <c r="AP38" s="55" t="n"/>
      <c r="AQ38" s="55" t="n"/>
      <c r="AR38" s="55" t="n"/>
      <c r="AS38" s="55" t="n"/>
      <c r="AT38" s="55" t="n"/>
      <c r="AU38" s="55" t="n"/>
      <c r="AV38" s="55" t="n"/>
      <c r="AW38" s="55" t="n"/>
      <c r="AX38" s="55" t="n"/>
      <c r="AY38" s="55" t="n"/>
      <c r="AZ38" s="55" t="n"/>
      <c r="BA38" s="55" t="n"/>
      <c r="BB38" s="55" t="n"/>
      <c r="BC38" s="55" t="n"/>
      <c r="BD38" s="55" t="n"/>
      <c r="BE38" s="55" t="n"/>
      <c r="BF38" s="55" t="n"/>
      <c r="BG38" s="55" t="n"/>
      <c r="BH38" s="55" t="n"/>
      <c r="BI38" s="55" t="n"/>
      <c r="BJ38" s="55" t="n"/>
      <c r="BK38" s="55" t="n"/>
      <c r="BL38" s="55" t="n"/>
      <c r="BM38" s="55" t="n"/>
      <c r="BN38" s="55" t="n"/>
      <c r="BO38" s="55" t="n"/>
      <c r="BP38" s="55" t="n"/>
      <c r="BQ38" s="55" t="n"/>
      <c r="BR38" s="55" t="n"/>
      <c r="BS38" s="55" t="n"/>
      <c r="BT38" s="55" t="n"/>
      <c r="BU38" s="55" t="n"/>
      <c r="BV38" s="55" t="n"/>
      <c r="BW38" s="55" t="n"/>
      <c r="BX38" s="55" t="n"/>
      <c r="BY38" s="55" t="n"/>
    </row>
    <row r="39" ht="15.75" customHeight="1" s="194">
      <c r="B39" s="56" t="inlineStr">
        <is>
          <t>Остаток на начало</t>
        </is>
      </c>
      <c r="C39" s="56" t="inlineStr">
        <is>
          <t>₽</t>
        </is>
      </c>
      <c r="D39" s="57" t="inlineStr">
        <is>
          <t>В колонках лет — значение на конец года, в «Итого» — на конец пятого года. Это остаток, а не сумма.</t>
        </is>
      </c>
      <c r="E39" s="85">
        <f>W39</f>
        <v/>
      </c>
      <c r="F39" s="85">
        <f>AI39</f>
        <v/>
      </c>
      <c r="G39" s="85">
        <f>AU39</f>
        <v/>
      </c>
      <c r="H39" s="85">
        <f>BG39</f>
        <v/>
      </c>
      <c r="I39" s="85">
        <f>BS39</f>
        <v/>
      </c>
      <c r="J39" s="86">
        <f>BS39</f>
        <v/>
      </c>
      <c r="L39" s="87">
        <f>ДеньгиСтарт</f>
        <v/>
      </c>
      <c r="M39" s="87">
        <f>L59</f>
        <v/>
      </c>
      <c r="N39" s="87">
        <f>M59</f>
        <v/>
      </c>
      <c r="O39" s="87">
        <f>N59</f>
        <v/>
      </c>
      <c r="P39" s="87">
        <f>O59</f>
        <v/>
      </c>
      <c r="Q39" s="87">
        <f>P59</f>
        <v/>
      </c>
      <c r="R39" s="87">
        <f>Q59</f>
        <v/>
      </c>
      <c r="S39" s="87">
        <f>R59</f>
        <v/>
      </c>
      <c r="T39" s="87">
        <f>S59</f>
        <v/>
      </c>
      <c r="U39" s="87">
        <f>T59</f>
        <v/>
      </c>
      <c r="V39" s="87">
        <f>U59</f>
        <v/>
      </c>
      <c r="W39" s="87">
        <f>V59</f>
        <v/>
      </c>
      <c r="X39" s="87">
        <f>W59</f>
        <v/>
      </c>
      <c r="Y39" s="87">
        <f>X59</f>
        <v/>
      </c>
      <c r="Z39" s="87">
        <f>Y59</f>
        <v/>
      </c>
      <c r="AA39" s="87">
        <f>Z59</f>
        <v/>
      </c>
      <c r="AB39" s="87">
        <f>AA59</f>
        <v/>
      </c>
      <c r="AC39" s="87">
        <f>AB59</f>
        <v/>
      </c>
      <c r="AD39" s="87">
        <f>AC59</f>
        <v/>
      </c>
      <c r="AE39" s="87">
        <f>AD59</f>
        <v/>
      </c>
      <c r="AF39" s="87">
        <f>AE59</f>
        <v/>
      </c>
      <c r="AG39" s="87">
        <f>AF59</f>
        <v/>
      </c>
      <c r="AH39" s="87">
        <f>AG59</f>
        <v/>
      </c>
      <c r="AI39" s="87">
        <f>AH59</f>
        <v/>
      </c>
      <c r="AJ39" s="87">
        <f>AI59</f>
        <v/>
      </c>
      <c r="AK39" s="87">
        <f>AJ59</f>
        <v/>
      </c>
      <c r="AL39" s="87">
        <f>AK59</f>
        <v/>
      </c>
      <c r="AM39" s="87">
        <f>AL59</f>
        <v/>
      </c>
      <c r="AN39" s="87">
        <f>AM59</f>
        <v/>
      </c>
      <c r="AO39" s="87">
        <f>AN59</f>
        <v/>
      </c>
      <c r="AP39" s="87">
        <f>AO59</f>
        <v/>
      </c>
      <c r="AQ39" s="87">
        <f>AP59</f>
        <v/>
      </c>
      <c r="AR39" s="87">
        <f>AQ59</f>
        <v/>
      </c>
      <c r="AS39" s="87">
        <f>AR59</f>
        <v/>
      </c>
      <c r="AT39" s="87">
        <f>AS59</f>
        <v/>
      </c>
      <c r="AU39" s="87">
        <f>AT59</f>
        <v/>
      </c>
      <c r="AV39" s="87">
        <f>AU59</f>
        <v/>
      </c>
      <c r="AW39" s="87">
        <f>AV59</f>
        <v/>
      </c>
      <c r="AX39" s="87">
        <f>AW59</f>
        <v/>
      </c>
      <c r="AY39" s="87">
        <f>AX59</f>
        <v/>
      </c>
      <c r="AZ39" s="87">
        <f>AY59</f>
        <v/>
      </c>
      <c r="BA39" s="87">
        <f>AZ59</f>
        <v/>
      </c>
      <c r="BB39" s="87">
        <f>BA59</f>
        <v/>
      </c>
      <c r="BC39" s="87">
        <f>BB59</f>
        <v/>
      </c>
      <c r="BD39" s="87">
        <f>BC59</f>
        <v/>
      </c>
      <c r="BE39" s="87">
        <f>BD59</f>
        <v/>
      </c>
      <c r="BF39" s="87">
        <f>BE59</f>
        <v/>
      </c>
      <c r="BG39" s="87">
        <f>BF59</f>
        <v/>
      </c>
      <c r="BH39" s="87">
        <f>BG59</f>
        <v/>
      </c>
      <c r="BI39" s="87">
        <f>BH59</f>
        <v/>
      </c>
      <c r="BJ39" s="87">
        <f>BI59</f>
        <v/>
      </c>
      <c r="BK39" s="87">
        <f>BJ59</f>
        <v/>
      </c>
      <c r="BL39" s="87">
        <f>BK59</f>
        <v/>
      </c>
      <c r="BM39" s="87">
        <f>BL59</f>
        <v/>
      </c>
      <c r="BN39" s="87">
        <f>BM59</f>
        <v/>
      </c>
      <c r="BO39" s="87">
        <f>BN59</f>
        <v/>
      </c>
      <c r="BP39" s="87">
        <f>BO59</f>
        <v/>
      </c>
      <c r="BQ39" s="87">
        <f>BP59</f>
        <v/>
      </c>
      <c r="BR39" s="87">
        <f>BQ59</f>
        <v/>
      </c>
      <c r="BS39" s="87">
        <f>BR59</f>
        <v/>
      </c>
      <c r="BT39" s="87">
        <f>BS59</f>
        <v/>
      </c>
      <c r="BU39" s="87">
        <f>BT59</f>
        <v/>
      </c>
      <c r="BV39" s="87">
        <f>BU59</f>
        <v/>
      </c>
      <c r="BW39" s="87">
        <f>BV59</f>
        <v/>
      </c>
      <c r="BX39" s="87">
        <f>BW59</f>
        <v/>
      </c>
      <c r="BY39" s="87">
        <f>BX59</f>
        <v/>
      </c>
    </row>
    <row r="40" ht="15.75" customHeight="1" s="194">
      <c r="B40" s="56" t="inlineStr">
        <is>
          <t>Поступления: паушальные</t>
        </is>
      </c>
      <c r="C40" s="56" t="inlineStr">
        <is>
          <t>₽</t>
        </is>
      </c>
      <c r="D40" s="57" t="inlineStr">
        <is>
          <t>С НДС, в месяц продажи — она считается после оплаты</t>
        </is>
      </c>
      <c r="E40" s="85">
        <f>SUM(L40:W40)</f>
        <v/>
      </c>
      <c r="F40" s="85">
        <f>SUM(X40:AI40)</f>
        <v/>
      </c>
      <c r="G40" s="85">
        <f>SUM(AJ40:AU40)</f>
        <v/>
      </c>
      <c r="H40" s="85">
        <f>SUM(AV40:BG40)</f>
        <v/>
      </c>
      <c r="I40" s="85">
        <f>SUM(BH40:BS40)</f>
        <v/>
      </c>
      <c r="J40" s="86">
        <f>SUM(L40:BS40)</f>
        <v/>
      </c>
      <c r="L40" s="87">
        <f>'04_Доходы'!L13</f>
        <v/>
      </c>
      <c r="M40" s="87">
        <f>'04_Доходы'!M13</f>
        <v/>
      </c>
      <c r="N40" s="87">
        <f>'04_Доходы'!N13</f>
        <v/>
      </c>
      <c r="O40" s="87">
        <f>'04_Доходы'!O13</f>
        <v/>
      </c>
      <c r="P40" s="87">
        <f>'04_Доходы'!P13</f>
        <v/>
      </c>
      <c r="Q40" s="87">
        <f>'04_Доходы'!Q13</f>
        <v/>
      </c>
      <c r="R40" s="87">
        <f>'04_Доходы'!R13</f>
        <v/>
      </c>
      <c r="S40" s="87">
        <f>'04_Доходы'!S13</f>
        <v/>
      </c>
      <c r="T40" s="87">
        <f>'04_Доходы'!T13</f>
        <v/>
      </c>
      <c r="U40" s="87">
        <f>'04_Доходы'!U13</f>
        <v/>
      </c>
      <c r="V40" s="87">
        <f>'04_Доходы'!V13</f>
        <v/>
      </c>
      <c r="W40" s="87">
        <f>'04_Доходы'!W13</f>
        <v/>
      </c>
      <c r="X40" s="87">
        <f>'04_Доходы'!X13</f>
        <v/>
      </c>
      <c r="Y40" s="87">
        <f>'04_Доходы'!Y13</f>
        <v/>
      </c>
      <c r="Z40" s="87">
        <f>'04_Доходы'!Z13</f>
        <v/>
      </c>
      <c r="AA40" s="87">
        <f>'04_Доходы'!AA13</f>
        <v/>
      </c>
      <c r="AB40" s="87">
        <f>'04_Доходы'!AB13</f>
        <v/>
      </c>
      <c r="AC40" s="87">
        <f>'04_Доходы'!AC13</f>
        <v/>
      </c>
      <c r="AD40" s="87">
        <f>'04_Доходы'!AD13</f>
        <v/>
      </c>
      <c r="AE40" s="87">
        <f>'04_Доходы'!AE13</f>
        <v/>
      </c>
      <c r="AF40" s="87">
        <f>'04_Доходы'!AF13</f>
        <v/>
      </c>
      <c r="AG40" s="87">
        <f>'04_Доходы'!AG13</f>
        <v/>
      </c>
      <c r="AH40" s="87">
        <f>'04_Доходы'!AH13</f>
        <v/>
      </c>
      <c r="AI40" s="87">
        <f>'04_Доходы'!AI13</f>
        <v/>
      </c>
      <c r="AJ40" s="87">
        <f>'04_Доходы'!AJ13</f>
        <v/>
      </c>
      <c r="AK40" s="87">
        <f>'04_Доходы'!AK13</f>
        <v/>
      </c>
      <c r="AL40" s="87">
        <f>'04_Доходы'!AL13</f>
        <v/>
      </c>
      <c r="AM40" s="87">
        <f>'04_Доходы'!AM13</f>
        <v/>
      </c>
      <c r="AN40" s="87">
        <f>'04_Доходы'!AN13</f>
        <v/>
      </c>
      <c r="AO40" s="87">
        <f>'04_Доходы'!AO13</f>
        <v/>
      </c>
      <c r="AP40" s="87">
        <f>'04_Доходы'!AP13</f>
        <v/>
      </c>
      <c r="AQ40" s="87">
        <f>'04_Доходы'!AQ13</f>
        <v/>
      </c>
      <c r="AR40" s="87">
        <f>'04_Доходы'!AR13</f>
        <v/>
      </c>
      <c r="AS40" s="87">
        <f>'04_Доходы'!AS13</f>
        <v/>
      </c>
      <c r="AT40" s="87">
        <f>'04_Доходы'!AT13</f>
        <v/>
      </c>
      <c r="AU40" s="87">
        <f>'04_Доходы'!AU13</f>
        <v/>
      </c>
      <c r="AV40" s="87">
        <f>'04_Доходы'!AV13</f>
        <v/>
      </c>
      <c r="AW40" s="87">
        <f>'04_Доходы'!AW13</f>
        <v/>
      </c>
      <c r="AX40" s="87">
        <f>'04_Доходы'!AX13</f>
        <v/>
      </c>
      <c r="AY40" s="87">
        <f>'04_Доходы'!AY13</f>
        <v/>
      </c>
      <c r="AZ40" s="87">
        <f>'04_Доходы'!AZ13</f>
        <v/>
      </c>
      <c r="BA40" s="87">
        <f>'04_Доходы'!BA13</f>
        <v/>
      </c>
      <c r="BB40" s="87">
        <f>'04_Доходы'!BB13</f>
        <v/>
      </c>
      <c r="BC40" s="87">
        <f>'04_Доходы'!BC13</f>
        <v/>
      </c>
      <c r="BD40" s="87">
        <f>'04_Доходы'!BD13</f>
        <v/>
      </c>
      <c r="BE40" s="87">
        <f>'04_Доходы'!BE13</f>
        <v/>
      </c>
      <c r="BF40" s="87">
        <f>'04_Доходы'!BF13</f>
        <v/>
      </c>
      <c r="BG40" s="87">
        <f>'04_Доходы'!BG13</f>
        <v/>
      </c>
      <c r="BH40" s="87">
        <f>'04_Доходы'!BH13</f>
        <v/>
      </c>
      <c r="BI40" s="87">
        <f>'04_Доходы'!BI13</f>
        <v/>
      </c>
      <c r="BJ40" s="87">
        <f>'04_Доходы'!BJ13</f>
        <v/>
      </c>
      <c r="BK40" s="87">
        <f>'04_Доходы'!BK13</f>
        <v/>
      </c>
      <c r="BL40" s="87">
        <f>'04_Доходы'!BL13</f>
        <v/>
      </c>
      <c r="BM40" s="87">
        <f>'04_Доходы'!BM13</f>
        <v/>
      </c>
      <c r="BN40" s="87">
        <f>'04_Доходы'!BN13</f>
        <v/>
      </c>
      <c r="BO40" s="87">
        <f>'04_Доходы'!BO13</f>
        <v/>
      </c>
      <c r="BP40" s="87">
        <f>'04_Доходы'!BP13</f>
        <v/>
      </c>
      <c r="BQ40" s="87">
        <f>'04_Доходы'!BQ13</f>
        <v/>
      </c>
      <c r="BR40" s="87">
        <f>'04_Доходы'!BR13</f>
        <v/>
      </c>
      <c r="BS40" s="87">
        <f>'04_Доходы'!BS13</f>
        <v/>
      </c>
      <c r="BT40" s="87">
        <f>'04_Доходы'!BT13</f>
        <v/>
      </c>
      <c r="BU40" s="87">
        <f>'04_Доходы'!BU13</f>
        <v/>
      </c>
      <c r="BV40" s="87">
        <f>'04_Доходы'!BV13</f>
        <v/>
      </c>
      <c r="BW40" s="87">
        <f>'04_Доходы'!BW13</f>
        <v/>
      </c>
      <c r="BX40" s="87">
        <f>'04_Доходы'!BX13</f>
        <v/>
      </c>
      <c r="BY40" s="87">
        <f>'04_Доходы'!BY13</f>
        <v/>
      </c>
    </row>
    <row r="41" ht="15.75" customHeight="1" s="194">
      <c r="B41" s="56" t="inlineStr">
        <is>
          <t>Поступления: роялти</t>
        </is>
      </c>
      <c r="C41" s="56" t="inlineStr">
        <is>
          <t>₽</t>
        </is>
      </c>
      <c r="D41" s="57" t="inlineStr">
        <is>
          <t>Половина в текущем месяце, половина в следующем</t>
        </is>
      </c>
      <c r="E41" s="85">
        <f>SUM(L41:W41)</f>
        <v/>
      </c>
      <c r="F41" s="85">
        <f>SUM(X41:AI41)</f>
        <v/>
      </c>
      <c r="G41" s="85">
        <f>SUM(AJ41:AU41)</f>
        <v/>
      </c>
      <c r="H41" s="85">
        <f>SUM(AV41:BG41)</f>
        <v/>
      </c>
      <c r="I41" s="85">
        <f>SUM(BH41:BS41)</f>
        <v/>
      </c>
      <c r="J41" s="86">
        <f>SUM(L41:BS41)</f>
        <v/>
      </c>
      <c r="L41" s="87">
        <f>ДоляПоступлТек*'04_Доходы'!$L103</f>
        <v/>
      </c>
      <c r="M41" s="87">
        <f>ДоляПоступлТек*'04_Доходы'!M103+(1-ДоляПоступлТек)*'04_Доходы'!L103</f>
        <v/>
      </c>
      <c r="N41" s="87">
        <f>ДоляПоступлТек*'04_Доходы'!N103+(1-ДоляПоступлТек)*'04_Доходы'!M103</f>
        <v/>
      </c>
      <c r="O41" s="87">
        <f>ДоляПоступлТек*'04_Доходы'!O103+(1-ДоляПоступлТек)*'04_Доходы'!N103</f>
        <v/>
      </c>
      <c r="P41" s="87">
        <f>ДоляПоступлТек*'04_Доходы'!P103+(1-ДоляПоступлТек)*'04_Доходы'!O103</f>
        <v/>
      </c>
      <c r="Q41" s="87">
        <f>ДоляПоступлТек*'04_Доходы'!Q103+(1-ДоляПоступлТек)*'04_Доходы'!P103</f>
        <v/>
      </c>
      <c r="R41" s="87">
        <f>ДоляПоступлТек*'04_Доходы'!R103+(1-ДоляПоступлТек)*'04_Доходы'!Q103</f>
        <v/>
      </c>
      <c r="S41" s="87">
        <f>ДоляПоступлТек*'04_Доходы'!S103+(1-ДоляПоступлТек)*'04_Доходы'!R103</f>
        <v/>
      </c>
      <c r="T41" s="87">
        <f>ДоляПоступлТек*'04_Доходы'!T103+(1-ДоляПоступлТек)*'04_Доходы'!S103</f>
        <v/>
      </c>
      <c r="U41" s="87">
        <f>ДоляПоступлТек*'04_Доходы'!U103+(1-ДоляПоступлТек)*'04_Доходы'!T103</f>
        <v/>
      </c>
      <c r="V41" s="87">
        <f>ДоляПоступлТек*'04_Доходы'!V103+(1-ДоляПоступлТек)*'04_Доходы'!U103</f>
        <v/>
      </c>
      <c r="W41" s="87">
        <f>ДоляПоступлТек*'04_Доходы'!W103+(1-ДоляПоступлТек)*'04_Доходы'!V103</f>
        <v/>
      </c>
      <c r="X41" s="87">
        <f>ДоляПоступлТек*'04_Доходы'!X103+(1-ДоляПоступлТек)*'04_Доходы'!W103</f>
        <v/>
      </c>
      <c r="Y41" s="87">
        <f>ДоляПоступлТек*'04_Доходы'!Y103+(1-ДоляПоступлТек)*'04_Доходы'!X103</f>
        <v/>
      </c>
      <c r="Z41" s="87">
        <f>ДоляПоступлТек*'04_Доходы'!Z103+(1-ДоляПоступлТек)*'04_Доходы'!Y103</f>
        <v/>
      </c>
      <c r="AA41" s="87">
        <f>ДоляПоступлТек*'04_Доходы'!AA103+(1-ДоляПоступлТек)*'04_Доходы'!Z103</f>
        <v/>
      </c>
      <c r="AB41" s="87">
        <f>ДоляПоступлТек*'04_Доходы'!AB103+(1-ДоляПоступлТек)*'04_Доходы'!AA103</f>
        <v/>
      </c>
      <c r="AC41" s="87">
        <f>ДоляПоступлТек*'04_Доходы'!AC103+(1-ДоляПоступлТек)*'04_Доходы'!AB103</f>
        <v/>
      </c>
      <c r="AD41" s="87">
        <f>ДоляПоступлТек*'04_Доходы'!AD103+(1-ДоляПоступлТек)*'04_Доходы'!AC103</f>
        <v/>
      </c>
      <c r="AE41" s="87">
        <f>ДоляПоступлТек*'04_Доходы'!AE103+(1-ДоляПоступлТек)*'04_Доходы'!AD103</f>
        <v/>
      </c>
      <c r="AF41" s="87">
        <f>ДоляПоступлТек*'04_Доходы'!AF103+(1-ДоляПоступлТек)*'04_Доходы'!AE103</f>
        <v/>
      </c>
      <c r="AG41" s="87">
        <f>ДоляПоступлТек*'04_Доходы'!AG103+(1-ДоляПоступлТек)*'04_Доходы'!AF103</f>
        <v/>
      </c>
      <c r="AH41" s="87">
        <f>ДоляПоступлТек*'04_Доходы'!AH103+(1-ДоляПоступлТек)*'04_Доходы'!AG103</f>
        <v/>
      </c>
      <c r="AI41" s="87">
        <f>ДоляПоступлТек*'04_Доходы'!AI103+(1-ДоляПоступлТек)*'04_Доходы'!AH103</f>
        <v/>
      </c>
      <c r="AJ41" s="87">
        <f>ДоляПоступлТек*'04_Доходы'!AJ103+(1-ДоляПоступлТек)*'04_Доходы'!AI103</f>
        <v/>
      </c>
      <c r="AK41" s="87">
        <f>ДоляПоступлТек*'04_Доходы'!AK103+(1-ДоляПоступлТек)*'04_Доходы'!AJ103</f>
        <v/>
      </c>
      <c r="AL41" s="87">
        <f>ДоляПоступлТек*'04_Доходы'!AL103+(1-ДоляПоступлТек)*'04_Доходы'!AK103</f>
        <v/>
      </c>
      <c r="AM41" s="87">
        <f>ДоляПоступлТек*'04_Доходы'!AM103+(1-ДоляПоступлТек)*'04_Доходы'!AL103</f>
        <v/>
      </c>
      <c r="AN41" s="87">
        <f>ДоляПоступлТек*'04_Доходы'!AN103+(1-ДоляПоступлТек)*'04_Доходы'!AM103</f>
        <v/>
      </c>
      <c r="AO41" s="87">
        <f>ДоляПоступлТек*'04_Доходы'!AO103+(1-ДоляПоступлТек)*'04_Доходы'!AN103</f>
        <v/>
      </c>
      <c r="AP41" s="87">
        <f>ДоляПоступлТек*'04_Доходы'!AP103+(1-ДоляПоступлТек)*'04_Доходы'!AO103</f>
        <v/>
      </c>
      <c r="AQ41" s="87">
        <f>ДоляПоступлТек*'04_Доходы'!AQ103+(1-ДоляПоступлТек)*'04_Доходы'!AP103</f>
        <v/>
      </c>
      <c r="AR41" s="87">
        <f>ДоляПоступлТек*'04_Доходы'!AR103+(1-ДоляПоступлТек)*'04_Доходы'!AQ103</f>
        <v/>
      </c>
      <c r="AS41" s="87">
        <f>ДоляПоступлТек*'04_Доходы'!AS103+(1-ДоляПоступлТек)*'04_Доходы'!AR103</f>
        <v/>
      </c>
      <c r="AT41" s="87">
        <f>ДоляПоступлТек*'04_Доходы'!AT103+(1-ДоляПоступлТек)*'04_Доходы'!AS103</f>
        <v/>
      </c>
      <c r="AU41" s="87">
        <f>ДоляПоступлТек*'04_Доходы'!AU103+(1-ДоляПоступлТек)*'04_Доходы'!AT103</f>
        <v/>
      </c>
      <c r="AV41" s="87">
        <f>ДоляПоступлТек*'04_Доходы'!AV103+(1-ДоляПоступлТек)*'04_Доходы'!AU103</f>
        <v/>
      </c>
      <c r="AW41" s="87">
        <f>ДоляПоступлТек*'04_Доходы'!AW103+(1-ДоляПоступлТек)*'04_Доходы'!AV103</f>
        <v/>
      </c>
      <c r="AX41" s="87">
        <f>ДоляПоступлТек*'04_Доходы'!AX103+(1-ДоляПоступлТек)*'04_Доходы'!AW103</f>
        <v/>
      </c>
      <c r="AY41" s="87">
        <f>ДоляПоступлТек*'04_Доходы'!AY103+(1-ДоляПоступлТек)*'04_Доходы'!AX103</f>
        <v/>
      </c>
      <c r="AZ41" s="87">
        <f>ДоляПоступлТек*'04_Доходы'!AZ103+(1-ДоляПоступлТек)*'04_Доходы'!AY103</f>
        <v/>
      </c>
      <c r="BA41" s="87">
        <f>ДоляПоступлТек*'04_Доходы'!BA103+(1-ДоляПоступлТек)*'04_Доходы'!AZ103</f>
        <v/>
      </c>
      <c r="BB41" s="87">
        <f>ДоляПоступлТек*'04_Доходы'!BB103+(1-ДоляПоступлТек)*'04_Доходы'!BA103</f>
        <v/>
      </c>
      <c r="BC41" s="87">
        <f>ДоляПоступлТек*'04_Доходы'!BC103+(1-ДоляПоступлТек)*'04_Доходы'!BB103</f>
        <v/>
      </c>
      <c r="BD41" s="87">
        <f>ДоляПоступлТек*'04_Доходы'!BD103+(1-ДоляПоступлТек)*'04_Доходы'!BC103</f>
        <v/>
      </c>
      <c r="BE41" s="87">
        <f>ДоляПоступлТек*'04_Доходы'!BE103+(1-ДоляПоступлТек)*'04_Доходы'!BD103</f>
        <v/>
      </c>
      <c r="BF41" s="87">
        <f>ДоляПоступлТек*'04_Доходы'!BF103+(1-ДоляПоступлТек)*'04_Доходы'!BE103</f>
        <v/>
      </c>
      <c r="BG41" s="87">
        <f>ДоляПоступлТек*'04_Доходы'!BG103+(1-ДоляПоступлТек)*'04_Доходы'!BF103</f>
        <v/>
      </c>
      <c r="BH41" s="87">
        <f>ДоляПоступлТек*'04_Доходы'!BH103+(1-ДоляПоступлТек)*'04_Доходы'!BG103</f>
        <v/>
      </c>
      <c r="BI41" s="87">
        <f>ДоляПоступлТек*'04_Доходы'!BI103+(1-ДоляПоступлТек)*'04_Доходы'!BH103</f>
        <v/>
      </c>
      <c r="BJ41" s="87">
        <f>ДоляПоступлТек*'04_Доходы'!BJ103+(1-ДоляПоступлТек)*'04_Доходы'!BI103</f>
        <v/>
      </c>
      <c r="BK41" s="87">
        <f>ДоляПоступлТек*'04_Доходы'!BK103+(1-ДоляПоступлТек)*'04_Доходы'!BJ103</f>
        <v/>
      </c>
      <c r="BL41" s="87">
        <f>ДоляПоступлТек*'04_Доходы'!BL103+(1-ДоляПоступлТек)*'04_Доходы'!BK103</f>
        <v/>
      </c>
      <c r="BM41" s="87">
        <f>ДоляПоступлТек*'04_Доходы'!BM103+(1-ДоляПоступлТек)*'04_Доходы'!BL103</f>
        <v/>
      </c>
      <c r="BN41" s="87">
        <f>ДоляПоступлТек*'04_Доходы'!BN103+(1-ДоляПоступлТек)*'04_Доходы'!BM103</f>
        <v/>
      </c>
      <c r="BO41" s="87">
        <f>ДоляПоступлТек*'04_Доходы'!BO103+(1-ДоляПоступлТек)*'04_Доходы'!BN103</f>
        <v/>
      </c>
      <c r="BP41" s="87">
        <f>ДоляПоступлТек*'04_Доходы'!BP103+(1-ДоляПоступлТек)*'04_Доходы'!BO103</f>
        <v/>
      </c>
      <c r="BQ41" s="87">
        <f>ДоляПоступлТек*'04_Доходы'!BQ103+(1-ДоляПоступлТек)*'04_Доходы'!BP103</f>
        <v/>
      </c>
      <c r="BR41" s="87">
        <f>ДоляПоступлТек*'04_Доходы'!BR103+(1-ДоляПоступлТек)*'04_Доходы'!BQ103</f>
        <v/>
      </c>
      <c r="BS41" s="87">
        <f>ДоляПоступлТек*'04_Доходы'!BS103+(1-ДоляПоступлТек)*'04_Доходы'!BR103</f>
        <v/>
      </c>
      <c r="BT41" s="87">
        <f>ДоляПоступлТек*'04_Доходы'!BT103+(1-ДоляПоступлТек)*'04_Доходы'!BS103</f>
        <v/>
      </c>
      <c r="BU41" s="87">
        <f>ДоляПоступлТек*'04_Доходы'!BU103+(1-ДоляПоступлТек)*'04_Доходы'!BT103</f>
        <v/>
      </c>
      <c r="BV41" s="87">
        <f>ДоляПоступлТек*'04_Доходы'!BV103+(1-ДоляПоступлТек)*'04_Доходы'!BU103</f>
        <v/>
      </c>
      <c r="BW41" s="87">
        <f>ДоляПоступлТек*'04_Доходы'!BW103+(1-ДоляПоступлТек)*'04_Доходы'!BV103</f>
        <v/>
      </c>
      <c r="BX41" s="87">
        <f>ДоляПоступлТек*'04_Доходы'!BX103+(1-ДоляПоступлТек)*'04_Доходы'!BW103</f>
        <v/>
      </c>
      <c r="BY41" s="87">
        <f>ДоляПоступлТек*'04_Доходы'!BY103+(1-ДоляПоступлТек)*'04_Доходы'!BX103</f>
        <v/>
      </c>
    </row>
    <row r="42" ht="15.75" customHeight="1" s="194">
      <c r="B42" s="56" t="inlineStr">
        <is>
          <t>Поступления: мерч</t>
        </is>
      </c>
      <c r="C42" s="56" t="inlineStr">
        <is>
          <t>₽</t>
        </is>
      </c>
      <c r="D42" s="57" t="inlineStr">
        <is>
          <t>С НДС</t>
        </is>
      </c>
      <c r="E42" s="85">
        <f>SUM(L42:W42)</f>
        <v/>
      </c>
      <c r="F42" s="85">
        <f>SUM(X42:AI42)</f>
        <v/>
      </c>
      <c r="G42" s="85">
        <f>SUM(AJ42:AU42)</f>
        <v/>
      </c>
      <c r="H42" s="85">
        <f>SUM(AV42:BG42)</f>
        <v/>
      </c>
      <c r="I42" s="85">
        <f>SUM(BH42:BS42)</f>
        <v/>
      </c>
      <c r="J42" s="86">
        <f>SUM(L42:BS42)</f>
        <v/>
      </c>
      <c r="L42" s="87">
        <f>'04_Доходы'!L131</f>
        <v/>
      </c>
      <c r="M42" s="87">
        <f>'04_Доходы'!M131</f>
        <v/>
      </c>
      <c r="N42" s="87">
        <f>'04_Доходы'!N131</f>
        <v/>
      </c>
      <c r="O42" s="87">
        <f>'04_Доходы'!O131</f>
        <v/>
      </c>
      <c r="P42" s="87">
        <f>'04_Доходы'!P131</f>
        <v/>
      </c>
      <c r="Q42" s="87">
        <f>'04_Доходы'!Q131</f>
        <v/>
      </c>
      <c r="R42" s="87">
        <f>'04_Доходы'!R131</f>
        <v/>
      </c>
      <c r="S42" s="87">
        <f>'04_Доходы'!S131</f>
        <v/>
      </c>
      <c r="T42" s="87">
        <f>'04_Доходы'!T131</f>
        <v/>
      </c>
      <c r="U42" s="87">
        <f>'04_Доходы'!U131</f>
        <v/>
      </c>
      <c r="V42" s="87">
        <f>'04_Доходы'!V131</f>
        <v/>
      </c>
      <c r="W42" s="87">
        <f>'04_Доходы'!W131</f>
        <v/>
      </c>
      <c r="X42" s="87">
        <f>'04_Доходы'!X131</f>
        <v/>
      </c>
      <c r="Y42" s="87">
        <f>'04_Доходы'!Y131</f>
        <v/>
      </c>
      <c r="Z42" s="87">
        <f>'04_Доходы'!Z131</f>
        <v/>
      </c>
      <c r="AA42" s="87">
        <f>'04_Доходы'!AA131</f>
        <v/>
      </c>
      <c r="AB42" s="87">
        <f>'04_Доходы'!AB131</f>
        <v/>
      </c>
      <c r="AC42" s="87">
        <f>'04_Доходы'!AC131</f>
        <v/>
      </c>
      <c r="AD42" s="87">
        <f>'04_Доходы'!AD131</f>
        <v/>
      </c>
      <c r="AE42" s="87">
        <f>'04_Доходы'!AE131</f>
        <v/>
      </c>
      <c r="AF42" s="87">
        <f>'04_Доходы'!AF131</f>
        <v/>
      </c>
      <c r="AG42" s="87">
        <f>'04_Доходы'!AG131</f>
        <v/>
      </c>
      <c r="AH42" s="87">
        <f>'04_Доходы'!AH131</f>
        <v/>
      </c>
      <c r="AI42" s="87">
        <f>'04_Доходы'!AI131</f>
        <v/>
      </c>
      <c r="AJ42" s="87">
        <f>'04_Доходы'!AJ131</f>
        <v/>
      </c>
      <c r="AK42" s="87">
        <f>'04_Доходы'!AK131</f>
        <v/>
      </c>
      <c r="AL42" s="87">
        <f>'04_Доходы'!AL131</f>
        <v/>
      </c>
      <c r="AM42" s="87">
        <f>'04_Доходы'!AM131</f>
        <v/>
      </c>
      <c r="AN42" s="87">
        <f>'04_Доходы'!AN131</f>
        <v/>
      </c>
      <c r="AO42" s="87">
        <f>'04_Доходы'!AO131</f>
        <v/>
      </c>
      <c r="AP42" s="87">
        <f>'04_Доходы'!AP131</f>
        <v/>
      </c>
      <c r="AQ42" s="87">
        <f>'04_Доходы'!AQ131</f>
        <v/>
      </c>
      <c r="AR42" s="87">
        <f>'04_Доходы'!AR131</f>
        <v/>
      </c>
      <c r="AS42" s="87">
        <f>'04_Доходы'!AS131</f>
        <v/>
      </c>
      <c r="AT42" s="87">
        <f>'04_Доходы'!AT131</f>
        <v/>
      </c>
      <c r="AU42" s="87">
        <f>'04_Доходы'!AU131</f>
        <v/>
      </c>
      <c r="AV42" s="87">
        <f>'04_Доходы'!AV131</f>
        <v/>
      </c>
      <c r="AW42" s="87">
        <f>'04_Доходы'!AW131</f>
        <v/>
      </c>
      <c r="AX42" s="87">
        <f>'04_Доходы'!AX131</f>
        <v/>
      </c>
      <c r="AY42" s="87">
        <f>'04_Доходы'!AY131</f>
        <v/>
      </c>
      <c r="AZ42" s="87">
        <f>'04_Доходы'!AZ131</f>
        <v/>
      </c>
      <c r="BA42" s="87">
        <f>'04_Доходы'!BA131</f>
        <v/>
      </c>
      <c r="BB42" s="87">
        <f>'04_Доходы'!BB131</f>
        <v/>
      </c>
      <c r="BC42" s="87">
        <f>'04_Доходы'!BC131</f>
        <v/>
      </c>
      <c r="BD42" s="87">
        <f>'04_Доходы'!BD131</f>
        <v/>
      </c>
      <c r="BE42" s="87">
        <f>'04_Доходы'!BE131</f>
        <v/>
      </c>
      <c r="BF42" s="87">
        <f>'04_Доходы'!BF131</f>
        <v/>
      </c>
      <c r="BG42" s="87">
        <f>'04_Доходы'!BG131</f>
        <v/>
      </c>
      <c r="BH42" s="87">
        <f>'04_Доходы'!BH131</f>
        <v/>
      </c>
      <c r="BI42" s="87">
        <f>'04_Доходы'!BI131</f>
        <v/>
      </c>
      <c r="BJ42" s="87">
        <f>'04_Доходы'!BJ131</f>
        <v/>
      </c>
      <c r="BK42" s="87">
        <f>'04_Доходы'!BK131</f>
        <v/>
      </c>
      <c r="BL42" s="87">
        <f>'04_Доходы'!BL131</f>
        <v/>
      </c>
      <c r="BM42" s="87">
        <f>'04_Доходы'!BM131</f>
        <v/>
      </c>
      <c r="BN42" s="87">
        <f>'04_Доходы'!BN131</f>
        <v/>
      </c>
      <c r="BO42" s="87">
        <f>'04_Доходы'!BO131</f>
        <v/>
      </c>
      <c r="BP42" s="87">
        <f>'04_Доходы'!BP131</f>
        <v/>
      </c>
      <c r="BQ42" s="87">
        <f>'04_Доходы'!BQ131</f>
        <v/>
      </c>
      <c r="BR42" s="87">
        <f>'04_Доходы'!BR131</f>
        <v/>
      </c>
      <c r="BS42" s="87">
        <f>'04_Доходы'!BS131</f>
        <v/>
      </c>
      <c r="BT42" s="87">
        <f>'04_Доходы'!BT131</f>
        <v/>
      </c>
      <c r="BU42" s="87">
        <f>'04_Доходы'!BU131</f>
        <v/>
      </c>
      <c r="BV42" s="87">
        <f>'04_Доходы'!BV131</f>
        <v/>
      </c>
      <c r="BW42" s="87">
        <f>'04_Доходы'!BW131</f>
        <v/>
      </c>
      <c r="BX42" s="87">
        <f>'04_Доходы'!BX131</f>
        <v/>
      </c>
      <c r="BY42" s="87">
        <f>'04_Доходы'!BY131</f>
        <v/>
      </c>
    </row>
    <row r="43" ht="15.75" customHeight="1" s="194">
      <c r="B43" s="56" t="inlineStr">
        <is>
          <t>Поступления: лагеря</t>
        </is>
      </c>
      <c r="C43" s="56" t="inlineStr">
        <is>
          <t>₽</t>
        </is>
      </c>
      <c r="D43" s="57" t="inlineStr">
        <is>
          <t>Блок отключён</t>
        </is>
      </c>
      <c r="E43" s="85">
        <f>SUM(L43:W43)</f>
        <v/>
      </c>
      <c r="F43" s="85">
        <f>SUM(X43:AI43)</f>
        <v/>
      </c>
      <c r="G43" s="85">
        <f>SUM(AJ43:AU43)</f>
        <v/>
      </c>
      <c r="H43" s="85">
        <f>SUM(AV43:BG43)</f>
        <v/>
      </c>
      <c r="I43" s="85">
        <f>SUM(BH43:BS43)</f>
        <v/>
      </c>
      <c r="J43" s="86">
        <f>SUM(L43:BS43)</f>
        <v/>
      </c>
      <c r="L43" s="87">
        <f>0</f>
        <v/>
      </c>
      <c r="M43" s="87">
        <f>0</f>
        <v/>
      </c>
      <c r="N43" s="87">
        <f>0</f>
        <v/>
      </c>
      <c r="O43" s="87">
        <f>0</f>
        <v/>
      </c>
      <c r="P43" s="87">
        <f>0</f>
        <v/>
      </c>
      <c r="Q43" s="87">
        <f>0</f>
        <v/>
      </c>
      <c r="R43" s="87">
        <f>0</f>
        <v/>
      </c>
      <c r="S43" s="87">
        <f>0</f>
        <v/>
      </c>
      <c r="T43" s="87">
        <f>0</f>
        <v/>
      </c>
      <c r="U43" s="87">
        <f>0</f>
        <v/>
      </c>
      <c r="V43" s="87">
        <f>0</f>
        <v/>
      </c>
      <c r="W43" s="87">
        <f>0</f>
        <v/>
      </c>
      <c r="X43" s="87">
        <f>0</f>
        <v/>
      </c>
      <c r="Y43" s="87">
        <f>0</f>
        <v/>
      </c>
      <c r="Z43" s="87">
        <f>0</f>
        <v/>
      </c>
      <c r="AA43" s="87">
        <f>0</f>
        <v/>
      </c>
      <c r="AB43" s="87">
        <f>0</f>
        <v/>
      </c>
      <c r="AC43" s="87">
        <f>0</f>
        <v/>
      </c>
      <c r="AD43" s="87">
        <f>0</f>
        <v/>
      </c>
      <c r="AE43" s="87">
        <f>0</f>
        <v/>
      </c>
      <c r="AF43" s="87">
        <f>0</f>
        <v/>
      </c>
      <c r="AG43" s="87">
        <f>0</f>
        <v/>
      </c>
      <c r="AH43" s="87">
        <f>0</f>
        <v/>
      </c>
      <c r="AI43" s="87">
        <f>0</f>
        <v/>
      </c>
      <c r="AJ43" s="87">
        <f>0</f>
        <v/>
      </c>
      <c r="AK43" s="87">
        <f>0</f>
        <v/>
      </c>
      <c r="AL43" s="87">
        <f>0</f>
        <v/>
      </c>
      <c r="AM43" s="87">
        <f>0</f>
        <v/>
      </c>
      <c r="AN43" s="87">
        <f>0</f>
        <v/>
      </c>
      <c r="AO43" s="87">
        <f>0</f>
        <v/>
      </c>
      <c r="AP43" s="87">
        <f>0</f>
        <v/>
      </c>
      <c r="AQ43" s="87">
        <f>0</f>
        <v/>
      </c>
      <c r="AR43" s="87">
        <f>0</f>
        <v/>
      </c>
      <c r="AS43" s="87">
        <f>0</f>
        <v/>
      </c>
      <c r="AT43" s="87">
        <f>0</f>
        <v/>
      </c>
      <c r="AU43" s="87">
        <f>0</f>
        <v/>
      </c>
      <c r="AV43" s="87">
        <f>0</f>
        <v/>
      </c>
      <c r="AW43" s="87">
        <f>0</f>
        <v/>
      </c>
      <c r="AX43" s="87">
        <f>0</f>
        <v/>
      </c>
      <c r="AY43" s="87">
        <f>0</f>
        <v/>
      </c>
      <c r="AZ43" s="87">
        <f>0</f>
        <v/>
      </c>
      <c r="BA43" s="87">
        <f>0</f>
        <v/>
      </c>
      <c r="BB43" s="87">
        <f>0</f>
        <v/>
      </c>
      <c r="BC43" s="87">
        <f>0</f>
        <v/>
      </c>
      <c r="BD43" s="87">
        <f>0</f>
        <v/>
      </c>
      <c r="BE43" s="87">
        <f>0</f>
        <v/>
      </c>
      <c r="BF43" s="87">
        <f>0</f>
        <v/>
      </c>
      <c r="BG43" s="87">
        <f>0</f>
        <v/>
      </c>
      <c r="BH43" s="87">
        <f>0</f>
        <v/>
      </c>
      <c r="BI43" s="87">
        <f>0</f>
        <v/>
      </c>
      <c r="BJ43" s="87">
        <f>0</f>
        <v/>
      </c>
      <c r="BK43" s="87">
        <f>0</f>
        <v/>
      </c>
      <c r="BL43" s="87">
        <f>0</f>
        <v/>
      </c>
      <c r="BM43" s="87">
        <f>0</f>
        <v/>
      </c>
      <c r="BN43" s="87">
        <f>0</f>
        <v/>
      </c>
      <c r="BO43" s="87">
        <f>0</f>
        <v/>
      </c>
      <c r="BP43" s="87">
        <f>0</f>
        <v/>
      </c>
      <c r="BQ43" s="87">
        <f>0</f>
        <v/>
      </c>
      <c r="BR43" s="87">
        <f>0</f>
        <v/>
      </c>
      <c r="BS43" s="87">
        <f>0</f>
        <v/>
      </c>
      <c r="BT43" s="87">
        <f>0</f>
        <v/>
      </c>
      <c r="BU43" s="87">
        <f>0</f>
        <v/>
      </c>
      <c r="BV43" s="87">
        <f>0</f>
        <v/>
      </c>
      <c r="BW43" s="87">
        <f>0</f>
        <v/>
      </c>
      <c r="BX43" s="87">
        <f>0</f>
        <v/>
      </c>
      <c r="BY43" s="87">
        <f>0</f>
        <v/>
      </c>
    </row>
    <row r="44" ht="15.75" customHeight="1" s="194">
      <c r="B44" s="130" t="inlineStr">
        <is>
          <t>Поступления — всего</t>
        </is>
      </c>
      <c r="C44" s="130" t="inlineStr">
        <is>
          <t>₽</t>
        </is>
      </c>
      <c r="D44" s="156" t="n"/>
      <c r="E44" s="157">
        <f>SUM(L44:W44)</f>
        <v/>
      </c>
      <c r="F44" s="157">
        <f>SUM(X44:AI44)</f>
        <v/>
      </c>
      <c r="G44" s="157">
        <f>SUM(AJ44:AU44)</f>
        <v/>
      </c>
      <c r="H44" s="157">
        <f>SUM(AV44:BG44)</f>
        <v/>
      </c>
      <c r="I44" s="157">
        <f>SUM(BH44:BS44)</f>
        <v/>
      </c>
      <c r="J44" s="134">
        <f>SUM(L44:BS44)</f>
        <v/>
      </c>
      <c r="L44" s="133">
        <f>SUM(L40:L43)</f>
        <v/>
      </c>
      <c r="M44" s="133">
        <f>SUM(M40:M43)</f>
        <v/>
      </c>
      <c r="N44" s="133">
        <f>SUM(N40:N43)</f>
        <v/>
      </c>
      <c r="O44" s="133">
        <f>SUM(O40:O43)</f>
        <v/>
      </c>
      <c r="P44" s="133">
        <f>SUM(P40:P43)</f>
        <v/>
      </c>
      <c r="Q44" s="133">
        <f>SUM(Q40:Q43)</f>
        <v/>
      </c>
      <c r="R44" s="133">
        <f>SUM(R40:R43)</f>
        <v/>
      </c>
      <c r="S44" s="133">
        <f>SUM(S40:S43)</f>
        <v/>
      </c>
      <c r="T44" s="133">
        <f>SUM(T40:T43)</f>
        <v/>
      </c>
      <c r="U44" s="133">
        <f>SUM(U40:U43)</f>
        <v/>
      </c>
      <c r="V44" s="133">
        <f>SUM(V40:V43)</f>
        <v/>
      </c>
      <c r="W44" s="133">
        <f>SUM(W40:W43)</f>
        <v/>
      </c>
      <c r="X44" s="133">
        <f>SUM(X40:X43)</f>
        <v/>
      </c>
      <c r="Y44" s="133">
        <f>SUM(Y40:Y43)</f>
        <v/>
      </c>
      <c r="Z44" s="133">
        <f>SUM(Z40:Z43)</f>
        <v/>
      </c>
      <c r="AA44" s="133">
        <f>SUM(AA40:AA43)</f>
        <v/>
      </c>
      <c r="AB44" s="133">
        <f>SUM(AB40:AB43)</f>
        <v/>
      </c>
      <c r="AC44" s="133">
        <f>SUM(AC40:AC43)</f>
        <v/>
      </c>
      <c r="AD44" s="133">
        <f>SUM(AD40:AD43)</f>
        <v/>
      </c>
      <c r="AE44" s="133">
        <f>SUM(AE40:AE43)</f>
        <v/>
      </c>
      <c r="AF44" s="133">
        <f>SUM(AF40:AF43)</f>
        <v/>
      </c>
      <c r="AG44" s="133">
        <f>SUM(AG40:AG43)</f>
        <v/>
      </c>
      <c r="AH44" s="133">
        <f>SUM(AH40:AH43)</f>
        <v/>
      </c>
      <c r="AI44" s="133">
        <f>SUM(AI40:AI43)</f>
        <v/>
      </c>
      <c r="AJ44" s="133">
        <f>SUM(AJ40:AJ43)</f>
        <v/>
      </c>
      <c r="AK44" s="133">
        <f>SUM(AK40:AK43)</f>
        <v/>
      </c>
      <c r="AL44" s="133">
        <f>SUM(AL40:AL43)</f>
        <v/>
      </c>
      <c r="AM44" s="133">
        <f>SUM(AM40:AM43)</f>
        <v/>
      </c>
      <c r="AN44" s="133">
        <f>SUM(AN40:AN43)</f>
        <v/>
      </c>
      <c r="AO44" s="133">
        <f>SUM(AO40:AO43)</f>
        <v/>
      </c>
      <c r="AP44" s="133">
        <f>SUM(AP40:AP43)</f>
        <v/>
      </c>
      <c r="AQ44" s="133">
        <f>SUM(AQ40:AQ43)</f>
        <v/>
      </c>
      <c r="AR44" s="133">
        <f>SUM(AR40:AR43)</f>
        <v/>
      </c>
      <c r="AS44" s="133">
        <f>SUM(AS40:AS43)</f>
        <v/>
      </c>
      <c r="AT44" s="133">
        <f>SUM(AT40:AT43)</f>
        <v/>
      </c>
      <c r="AU44" s="133">
        <f>SUM(AU40:AU43)</f>
        <v/>
      </c>
      <c r="AV44" s="133">
        <f>SUM(AV40:AV43)</f>
        <v/>
      </c>
      <c r="AW44" s="133">
        <f>SUM(AW40:AW43)</f>
        <v/>
      </c>
      <c r="AX44" s="133">
        <f>SUM(AX40:AX43)</f>
        <v/>
      </c>
      <c r="AY44" s="133">
        <f>SUM(AY40:AY43)</f>
        <v/>
      </c>
      <c r="AZ44" s="133">
        <f>SUM(AZ40:AZ43)</f>
        <v/>
      </c>
      <c r="BA44" s="133">
        <f>SUM(BA40:BA43)</f>
        <v/>
      </c>
      <c r="BB44" s="133">
        <f>SUM(BB40:BB43)</f>
        <v/>
      </c>
      <c r="BC44" s="133">
        <f>SUM(BC40:BC43)</f>
        <v/>
      </c>
      <c r="BD44" s="133">
        <f>SUM(BD40:BD43)</f>
        <v/>
      </c>
      <c r="BE44" s="133">
        <f>SUM(BE40:BE43)</f>
        <v/>
      </c>
      <c r="BF44" s="133">
        <f>SUM(BF40:BF43)</f>
        <v/>
      </c>
      <c r="BG44" s="133">
        <f>SUM(BG40:BG43)</f>
        <v/>
      </c>
      <c r="BH44" s="133">
        <f>SUM(BH40:BH43)</f>
        <v/>
      </c>
      <c r="BI44" s="133">
        <f>SUM(BI40:BI43)</f>
        <v/>
      </c>
      <c r="BJ44" s="133">
        <f>SUM(BJ40:BJ43)</f>
        <v/>
      </c>
      <c r="BK44" s="133">
        <f>SUM(BK40:BK43)</f>
        <v/>
      </c>
      <c r="BL44" s="133">
        <f>SUM(BL40:BL43)</f>
        <v/>
      </c>
      <c r="BM44" s="133">
        <f>SUM(BM40:BM43)</f>
        <v/>
      </c>
      <c r="BN44" s="133">
        <f>SUM(BN40:BN43)</f>
        <v/>
      </c>
      <c r="BO44" s="133">
        <f>SUM(BO40:BO43)</f>
        <v/>
      </c>
      <c r="BP44" s="133">
        <f>SUM(BP40:BP43)</f>
        <v/>
      </c>
      <c r="BQ44" s="133">
        <f>SUM(BQ40:BQ43)</f>
        <v/>
      </c>
      <c r="BR44" s="133">
        <f>SUM(BR40:BR43)</f>
        <v/>
      </c>
      <c r="BS44" s="133">
        <f>SUM(BS40:BS43)</f>
        <v/>
      </c>
      <c r="BT44" s="133">
        <f>SUM(BT40:BT43)</f>
        <v/>
      </c>
      <c r="BU44" s="133">
        <f>SUM(BU40:BU43)</f>
        <v/>
      </c>
      <c r="BV44" s="133">
        <f>SUM(BV40:BV43)</f>
        <v/>
      </c>
      <c r="BW44" s="133">
        <f>SUM(BW40:BW43)</f>
        <v/>
      </c>
      <c r="BX44" s="133">
        <f>SUM(BX40:BX43)</f>
        <v/>
      </c>
      <c r="BY44" s="133">
        <f>SUM(BY40:BY43)</f>
        <v/>
      </c>
    </row>
    <row r="45" ht="15.75" customHeight="1" s="194">
      <c r="B45" s="56" t="inlineStr">
        <is>
          <t>Оплата: CAPEX</t>
        </is>
      </c>
      <c r="C45" s="56" t="inlineStr">
        <is>
          <t>₽</t>
        </is>
      </c>
      <c r="D45" s="57" t="n"/>
      <c r="E45" s="85">
        <f>SUM(L45:W45)</f>
        <v/>
      </c>
      <c r="F45" s="85">
        <f>SUM(X45:AI45)</f>
        <v/>
      </c>
      <c r="G45" s="85">
        <f>SUM(AJ45:AU45)</f>
        <v/>
      </c>
      <c r="H45" s="85">
        <f>SUM(AV45:BG45)</f>
        <v/>
      </c>
      <c r="I45" s="85">
        <f>SUM(BH45:BS45)</f>
        <v/>
      </c>
      <c r="J45" s="86">
        <f>SUM(L45:BS45)</f>
        <v/>
      </c>
      <c r="L45" s="87">
        <f>'06_Деньги'!L23</f>
        <v/>
      </c>
      <c r="M45" s="87">
        <f>'06_Деньги'!M23</f>
        <v/>
      </c>
      <c r="N45" s="87">
        <f>'06_Деньги'!N23</f>
        <v/>
      </c>
      <c r="O45" s="87">
        <f>'06_Деньги'!O23</f>
        <v/>
      </c>
      <c r="P45" s="87">
        <f>'06_Деньги'!P23</f>
        <v/>
      </c>
      <c r="Q45" s="87">
        <f>'06_Деньги'!Q23</f>
        <v/>
      </c>
      <c r="R45" s="87">
        <f>'06_Деньги'!R23</f>
        <v/>
      </c>
      <c r="S45" s="87">
        <f>'06_Деньги'!S23</f>
        <v/>
      </c>
      <c r="T45" s="87">
        <f>'06_Деньги'!T23</f>
        <v/>
      </c>
      <c r="U45" s="87">
        <f>'06_Деньги'!U23</f>
        <v/>
      </c>
      <c r="V45" s="87">
        <f>'06_Деньги'!V23</f>
        <v/>
      </c>
      <c r="W45" s="87">
        <f>'06_Деньги'!W23</f>
        <v/>
      </c>
      <c r="X45" s="87">
        <f>'06_Деньги'!X23</f>
        <v/>
      </c>
      <c r="Y45" s="87">
        <f>'06_Деньги'!Y23</f>
        <v/>
      </c>
      <c r="Z45" s="87">
        <f>'06_Деньги'!Z23</f>
        <v/>
      </c>
      <c r="AA45" s="87">
        <f>'06_Деньги'!AA23</f>
        <v/>
      </c>
      <c r="AB45" s="87">
        <f>'06_Деньги'!AB23</f>
        <v/>
      </c>
      <c r="AC45" s="87">
        <f>'06_Деньги'!AC23</f>
        <v/>
      </c>
      <c r="AD45" s="87">
        <f>'06_Деньги'!AD23</f>
        <v/>
      </c>
      <c r="AE45" s="87">
        <f>'06_Деньги'!AE23</f>
        <v/>
      </c>
      <c r="AF45" s="87">
        <f>'06_Деньги'!AF23</f>
        <v/>
      </c>
      <c r="AG45" s="87">
        <f>'06_Деньги'!AG23</f>
        <v/>
      </c>
      <c r="AH45" s="87">
        <f>'06_Деньги'!AH23</f>
        <v/>
      </c>
      <c r="AI45" s="87">
        <f>'06_Деньги'!AI23</f>
        <v/>
      </c>
      <c r="AJ45" s="87">
        <f>'06_Деньги'!AJ23</f>
        <v/>
      </c>
      <c r="AK45" s="87">
        <f>'06_Деньги'!AK23</f>
        <v/>
      </c>
      <c r="AL45" s="87">
        <f>'06_Деньги'!AL23</f>
        <v/>
      </c>
      <c r="AM45" s="87">
        <f>'06_Деньги'!AM23</f>
        <v/>
      </c>
      <c r="AN45" s="87">
        <f>'06_Деньги'!AN23</f>
        <v/>
      </c>
      <c r="AO45" s="87">
        <f>'06_Деньги'!AO23</f>
        <v/>
      </c>
      <c r="AP45" s="87">
        <f>'06_Деньги'!AP23</f>
        <v/>
      </c>
      <c r="AQ45" s="87">
        <f>'06_Деньги'!AQ23</f>
        <v/>
      </c>
      <c r="AR45" s="87">
        <f>'06_Деньги'!AR23</f>
        <v/>
      </c>
      <c r="AS45" s="87">
        <f>'06_Деньги'!AS23</f>
        <v/>
      </c>
      <c r="AT45" s="87">
        <f>'06_Деньги'!AT23</f>
        <v/>
      </c>
      <c r="AU45" s="87">
        <f>'06_Деньги'!AU23</f>
        <v/>
      </c>
      <c r="AV45" s="87">
        <f>'06_Деньги'!AV23</f>
        <v/>
      </c>
      <c r="AW45" s="87">
        <f>'06_Деньги'!AW23</f>
        <v/>
      </c>
      <c r="AX45" s="87">
        <f>'06_Деньги'!AX23</f>
        <v/>
      </c>
      <c r="AY45" s="87">
        <f>'06_Деньги'!AY23</f>
        <v/>
      </c>
      <c r="AZ45" s="87">
        <f>'06_Деньги'!AZ23</f>
        <v/>
      </c>
      <c r="BA45" s="87">
        <f>'06_Деньги'!BA23</f>
        <v/>
      </c>
      <c r="BB45" s="87">
        <f>'06_Деньги'!BB23</f>
        <v/>
      </c>
      <c r="BC45" s="87">
        <f>'06_Деньги'!BC23</f>
        <v/>
      </c>
      <c r="BD45" s="87">
        <f>'06_Деньги'!BD23</f>
        <v/>
      </c>
      <c r="BE45" s="87">
        <f>'06_Деньги'!BE23</f>
        <v/>
      </c>
      <c r="BF45" s="87">
        <f>'06_Деньги'!BF23</f>
        <v/>
      </c>
      <c r="BG45" s="87">
        <f>'06_Деньги'!BG23</f>
        <v/>
      </c>
      <c r="BH45" s="87">
        <f>'06_Деньги'!BH23</f>
        <v/>
      </c>
      <c r="BI45" s="87">
        <f>'06_Деньги'!BI23</f>
        <v/>
      </c>
      <c r="BJ45" s="87">
        <f>'06_Деньги'!BJ23</f>
        <v/>
      </c>
      <c r="BK45" s="87">
        <f>'06_Деньги'!BK23</f>
        <v/>
      </c>
      <c r="BL45" s="87">
        <f>'06_Деньги'!BL23</f>
        <v/>
      </c>
      <c r="BM45" s="87">
        <f>'06_Деньги'!BM23</f>
        <v/>
      </c>
      <c r="BN45" s="87">
        <f>'06_Деньги'!BN23</f>
        <v/>
      </c>
      <c r="BO45" s="87">
        <f>'06_Деньги'!BO23</f>
        <v/>
      </c>
      <c r="BP45" s="87">
        <f>'06_Деньги'!BP23</f>
        <v/>
      </c>
      <c r="BQ45" s="87">
        <f>'06_Деньги'!BQ23</f>
        <v/>
      </c>
      <c r="BR45" s="87">
        <f>'06_Деньги'!BR23</f>
        <v/>
      </c>
      <c r="BS45" s="87">
        <f>'06_Деньги'!BS23</f>
        <v/>
      </c>
      <c r="BT45" s="87">
        <f>'06_Деньги'!BT23</f>
        <v/>
      </c>
      <c r="BU45" s="87">
        <f>'06_Деньги'!BU23</f>
        <v/>
      </c>
      <c r="BV45" s="87">
        <f>'06_Деньги'!BV23</f>
        <v/>
      </c>
      <c r="BW45" s="87">
        <f>'06_Деньги'!BW23</f>
        <v/>
      </c>
      <c r="BX45" s="87">
        <f>'06_Деньги'!BX23</f>
        <v/>
      </c>
      <c r="BY45" s="87">
        <f>'06_Деньги'!BY23</f>
        <v/>
      </c>
    </row>
    <row r="46" ht="15.75" customHeight="1" s="194">
      <c r="B46" s="56" t="inlineStr">
        <is>
          <t>Оплата: логистика мерча</t>
        </is>
      </c>
      <c r="C46" s="56" t="inlineStr">
        <is>
          <t>₽</t>
        </is>
      </c>
      <c r="D46" s="57" t="n"/>
      <c r="E46" s="85">
        <f>SUM(L46:W46)</f>
        <v/>
      </c>
      <c r="F46" s="85">
        <f>SUM(X46:AI46)</f>
        <v/>
      </c>
      <c r="G46" s="85">
        <f>SUM(AJ46:AU46)</f>
        <v/>
      </c>
      <c r="H46" s="85">
        <f>SUM(AV46:BG46)</f>
        <v/>
      </c>
      <c r="I46" s="85">
        <f>SUM(BH46:BS46)</f>
        <v/>
      </c>
      <c r="J46" s="86">
        <f>SUM(L46:BS46)</f>
        <v/>
      </c>
      <c r="L46" s="87">
        <f>'04_Доходы'!L134</f>
        <v/>
      </c>
      <c r="M46" s="87">
        <f>'04_Доходы'!M134</f>
        <v/>
      </c>
      <c r="N46" s="87">
        <f>'04_Доходы'!N134</f>
        <v/>
      </c>
      <c r="O46" s="87">
        <f>'04_Доходы'!O134</f>
        <v/>
      </c>
      <c r="P46" s="87">
        <f>'04_Доходы'!P134</f>
        <v/>
      </c>
      <c r="Q46" s="87">
        <f>'04_Доходы'!Q134</f>
        <v/>
      </c>
      <c r="R46" s="87">
        <f>'04_Доходы'!R134</f>
        <v/>
      </c>
      <c r="S46" s="87">
        <f>'04_Доходы'!S134</f>
        <v/>
      </c>
      <c r="T46" s="87">
        <f>'04_Доходы'!T134</f>
        <v/>
      </c>
      <c r="U46" s="87">
        <f>'04_Доходы'!U134</f>
        <v/>
      </c>
      <c r="V46" s="87">
        <f>'04_Доходы'!V134</f>
        <v/>
      </c>
      <c r="W46" s="87">
        <f>'04_Доходы'!W134</f>
        <v/>
      </c>
      <c r="X46" s="87">
        <f>'04_Доходы'!X134</f>
        <v/>
      </c>
      <c r="Y46" s="87">
        <f>'04_Доходы'!Y134</f>
        <v/>
      </c>
      <c r="Z46" s="87">
        <f>'04_Доходы'!Z134</f>
        <v/>
      </c>
      <c r="AA46" s="87">
        <f>'04_Доходы'!AA134</f>
        <v/>
      </c>
      <c r="AB46" s="87">
        <f>'04_Доходы'!AB134</f>
        <v/>
      </c>
      <c r="AC46" s="87">
        <f>'04_Доходы'!AC134</f>
        <v/>
      </c>
      <c r="AD46" s="87">
        <f>'04_Доходы'!AD134</f>
        <v/>
      </c>
      <c r="AE46" s="87">
        <f>'04_Доходы'!AE134</f>
        <v/>
      </c>
      <c r="AF46" s="87">
        <f>'04_Доходы'!AF134</f>
        <v/>
      </c>
      <c r="AG46" s="87">
        <f>'04_Доходы'!AG134</f>
        <v/>
      </c>
      <c r="AH46" s="87">
        <f>'04_Доходы'!AH134</f>
        <v/>
      </c>
      <c r="AI46" s="87">
        <f>'04_Доходы'!AI134</f>
        <v/>
      </c>
      <c r="AJ46" s="87">
        <f>'04_Доходы'!AJ134</f>
        <v/>
      </c>
      <c r="AK46" s="87">
        <f>'04_Доходы'!AK134</f>
        <v/>
      </c>
      <c r="AL46" s="87">
        <f>'04_Доходы'!AL134</f>
        <v/>
      </c>
      <c r="AM46" s="87">
        <f>'04_Доходы'!AM134</f>
        <v/>
      </c>
      <c r="AN46" s="87">
        <f>'04_Доходы'!AN134</f>
        <v/>
      </c>
      <c r="AO46" s="87">
        <f>'04_Доходы'!AO134</f>
        <v/>
      </c>
      <c r="AP46" s="87">
        <f>'04_Доходы'!AP134</f>
        <v/>
      </c>
      <c r="AQ46" s="87">
        <f>'04_Доходы'!AQ134</f>
        <v/>
      </c>
      <c r="AR46" s="87">
        <f>'04_Доходы'!AR134</f>
        <v/>
      </c>
      <c r="AS46" s="87">
        <f>'04_Доходы'!AS134</f>
        <v/>
      </c>
      <c r="AT46" s="87">
        <f>'04_Доходы'!AT134</f>
        <v/>
      </c>
      <c r="AU46" s="87">
        <f>'04_Доходы'!AU134</f>
        <v/>
      </c>
      <c r="AV46" s="87">
        <f>'04_Доходы'!AV134</f>
        <v/>
      </c>
      <c r="AW46" s="87">
        <f>'04_Доходы'!AW134</f>
        <v/>
      </c>
      <c r="AX46" s="87">
        <f>'04_Доходы'!AX134</f>
        <v/>
      </c>
      <c r="AY46" s="87">
        <f>'04_Доходы'!AY134</f>
        <v/>
      </c>
      <c r="AZ46" s="87">
        <f>'04_Доходы'!AZ134</f>
        <v/>
      </c>
      <c r="BA46" s="87">
        <f>'04_Доходы'!BA134</f>
        <v/>
      </c>
      <c r="BB46" s="87">
        <f>'04_Доходы'!BB134</f>
        <v/>
      </c>
      <c r="BC46" s="87">
        <f>'04_Доходы'!BC134</f>
        <v/>
      </c>
      <c r="BD46" s="87">
        <f>'04_Доходы'!BD134</f>
        <v/>
      </c>
      <c r="BE46" s="87">
        <f>'04_Доходы'!BE134</f>
        <v/>
      </c>
      <c r="BF46" s="87">
        <f>'04_Доходы'!BF134</f>
        <v/>
      </c>
      <c r="BG46" s="87">
        <f>'04_Доходы'!BG134</f>
        <v/>
      </c>
      <c r="BH46" s="87">
        <f>'04_Доходы'!BH134</f>
        <v/>
      </c>
      <c r="BI46" s="87">
        <f>'04_Доходы'!BI134</f>
        <v/>
      </c>
      <c r="BJ46" s="87">
        <f>'04_Доходы'!BJ134</f>
        <v/>
      </c>
      <c r="BK46" s="87">
        <f>'04_Доходы'!BK134</f>
        <v/>
      </c>
      <c r="BL46" s="87">
        <f>'04_Доходы'!BL134</f>
        <v/>
      </c>
      <c r="BM46" s="87">
        <f>'04_Доходы'!BM134</f>
        <v/>
      </c>
      <c r="BN46" s="87">
        <f>'04_Доходы'!BN134</f>
        <v/>
      </c>
      <c r="BO46" s="87">
        <f>'04_Доходы'!BO134</f>
        <v/>
      </c>
      <c r="BP46" s="87">
        <f>'04_Доходы'!BP134</f>
        <v/>
      </c>
      <c r="BQ46" s="87">
        <f>'04_Доходы'!BQ134</f>
        <v/>
      </c>
      <c r="BR46" s="87">
        <f>'04_Доходы'!BR134</f>
        <v/>
      </c>
      <c r="BS46" s="87">
        <f>'04_Доходы'!BS134</f>
        <v/>
      </c>
      <c r="BT46" s="87">
        <f>'04_Доходы'!BT134</f>
        <v/>
      </c>
      <c r="BU46" s="87">
        <f>'04_Доходы'!BU134</f>
        <v/>
      </c>
      <c r="BV46" s="87">
        <f>'04_Доходы'!BV134</f>
        <v/>
      </c>
      <c r="BW46" s="87">
        <f>'04_Доходы'!BW134</f>
        <v/>
      </c>
      <c r="BX46" s="87">
        <f>'04_Доходы'!BX134</f>
        <v/>
      </c>
      <c r="BY46" s="87">
        <f>'04_Доходы'!BY134</f>
        <v/>
      </c>
    </row>
    <row r="47" ht="15.75" customHeight="1" s="194">
      <c r="B47" s="56" t="inlineStr">
        <is>
          <t>Оплата: поставщики и OPEX</t>
        </is>
      </c>
      <c r="C47" s="56" t="inlineStr">
        <is>
          <t>₽</t>
        </is>
      </c>
      <c r="D47" s="57" t="inlineStr">
        <is>
          <t>Кроме ФОТ: он платится сразу. Половина в текущем месяце, половина в следующем</t>
        </is>
      </c>
      <c r="E47" s="85">
        <f>SUM(L47:W47)</f>
        <v/>
      </c>
      <c r="F47" s="85">
        <f>SUM(X47:AI47)</f>
        <v/>
      </c>
      <c r="G47" s="85">
        <f>SUM(AJ47:AU47)</f>
        <v/>
      </c>
      <c r="H47" s="85">
        <f>SUM(AV47:BG47)</f>
        <v/>
      </c>
      <c r="I47" s="85">
        <f>SUM(BH47:BS47)</f>
        <v/>
      </c>
      <c r="J47" s="86">
        <f>SUM(L47:BS47)</f>
        <v/>
      </c>
      <c r="L47" s="87">
        <f>ДоляОплатыТек*('05_Расходы'!$L44-'05_Расходы'!$L30+'06_Деньги'!$L10)</f>
        <v/>
      </c>
      <c r="M47" s="87">
        <f>ДоляОплатыТек*('05_Расходы'!M44-'05_Расходы'!M30+'06_Деньги'!M10)+(1-ДоляОплатыТек)*('05_Расходы'!L44-'05_Расходы'!L30+'06_Деньги'!L10)</f>
        <v/>
      </c>
      <c r="N47" s="87">
        <f>ДоляОплатыТек*('05_Расходы'!N44-'05_Расходы'!N30+'06_Деньги'!N10)+(1-ДоляОплатыТек)*('05_Расходы'!M44-'05_Расходы'!M30+'06_Деньги'!M10)</f>
        <v/>
      </c>
      <c r="O47" s="87">
        <f>ДоляОплатыТек*('05_Расходы'!O44-'05_Расходы'!O30+'06_Деньги'!O10)+(1-ДоляОплатыТек)*('05_Расходы'!N44-'05_Расходы'!N30+'06_Деньги'!N10)</f>
        <v/>
      </c>
      <c r="P47" s="87">
        <f>ДоляОплатыТек*('05_Расходы'!P44-'05_Расходы'!P30+'06_Деньги'!P10)+(1-ДоляОплатыТек)*('05_Расходы'!O44-'05_Расходы'!O30+'06_Деньги'!O10)</f>
        <v/>
      </c>
      <c r="Q47" s="87">
        <f>ДоляОплатыТек*('05_Расходы'!Q44-'05_Расходы'!Q30+'06_Деньги'!Q10)+(1-ДоляОплатыТек)*('05_Расходы'!P44-'05_Расходы'!P30+'06_Деньги'!P10)</f>
        <v/>
      </c>
      <c r="R47" s="87">
        <f>ДоляОплатыТек*('05_Расходы'!R44-'05_Расходы'!R30+'06_Деньги'!R10)+(1-ДоляОплатыТек)*('05_Расходы'!Q44-'05_Расходы'!Q30+'06_Деньги'!Q10)</f>
        <v/>
      </c>
      <c r="S47" s="87">
        <f>ДоляОплатыТек*('05_Расходы'!S44-'05_Расходы'!S30+'06_Деньги'!S10)+(1-ДоляОплатыТек)*('05_Расходы'!R44-'05_Расходы'!R30+'06_Деньги'!R10)</f>
        <v/>
      </c>
      <c r="T47" s="87">
        <f>ДоляОплатыТек*('05_Расходы'!T44-'05_Расходы'!T30+'06_Деньги'!T10)+(1-ДоляОплатыТек)*('05_Расходы'!S44-'05_Расходы'!S30+'06_Деньги'!S10)</f>
        <v/>
      </c>
      <c r="U47" s="87">
        <f>ДоляОплатыТек*('05_Расходы'!U44-'05_Расходы'!U30+'06_Деньги'!U10)+(1-ДоляОплатыТек)*('05_Расходы'!T44-'05_Расходы'!T30+'06_Деньги'!T10)</f>
        <v/>
      </c>
      <c r="V47" s="87">
        <f>ДоляОплатыТек*('05_Расходы'!V44-'05_Расходы'!V30+'06_Деньги'!V10)+(1-ДоляОплатыТек)*('05_Расходы'!U44-'05_Расходы'!U30+'06_Деньги'!U10)</f>
        <v/>
      </c>
      <c r="W47" s="87">
        <f>ДоляОплатыТек*('05_Расходы'!W44-'05_Расходы'!W30+'06_Деньги'!W10)+(1-ДоляОплатыТек)*('05_Расходы'!V44-'05_Расходы'!V30+'06_Деньги'!V10)</f>
        <v/>
      </c>
      <c r="X47" s="87">
        <f>ДоляОплатыТек*('05_Расходы'!X44-'05_Расходы'!X30+'06_Деньги'!X10)+(1-ДоляОплатыТек)*('05_Расходы'!W44-'05_Расходы'!W30+'06_Деньги'!W10)</f>
        <v/>
      </c>
      <c r="Y47" s="87">
        <f>ДоляОплатыТек*('05_Расходы'!Y44-'05_Расходы'!Y30+'06_Деньги'!Y10)+(1-ДоляОплатыТек)*('05_Расходы'!X44-'05_Расходы'!X30+'06_Деньги'!X10)</f>
        <v/>
      </c>
      <c r="Z47" s="87">
        <f>ДоляОплатыТек*('05_Расходы'!Z44-'05_Расходы'!Z30+'06_Деньги'!Z10)+(1-ДоляОплатыТек)*('05_Расходы'!Y44-'05_Расходы'!Y30+'06_Деньги'!Y10)</f>
        <v/>
      </c>
      <c r="AA47" s="87">
        <f>ДоляОплатыТек*('05_Расходы'!AA44-'05_Расходы'!AA30+'06_Деньги'!AA10)+(1-ДоляОплатыТек)*('05_Расходы'!Z44-'05_Расходы'!Z30+'06_Деньги'!Z10)</f>
        <v/>
      </c>
      <c r="AB47" s="87">
        <f>ДоляОплатыТек*('05_Расходы'!AB44-'05_Расходы'!AB30+'06_Деньги'!AB10)+(1-ДоляОплатыТек)*('05_Расходы'!AA44-'05_Расходы'!AA30+'06_Деньги'!AA10)</f>
        <v/>
      </c>
      <c r="AC47" s="87">
        <f>ДоляОплатыТек*('05_Расходы'!AC44-'05_Расходы'!AC30+'06_Деньги'!AC10)+(1-ДоляОплатыТек)*('05_Расходы'!AB44-'05_Расходы'!AB30+'06_Деньги'!AB10)</f>
        <v/>
      </c>
      <c r="AD47" s="87">
        <f>ДоляОплатыТек*('05_Расходы'!AD44-'05_Расходы'!AD30+'06_Деньги'!AD10)+(1-ДоляОплатыТек)*('05_Расходы'!AC44-'05_Расходы'!AC30+'06_Деньги'!AC10)</f>
        <v/>
      </c>
      <c r="AE47" s="87">
        <f>ДоляОплатыТек*('05_Расходы'!AE44-'05_Расходы'!AE30+'06_Деньги'!AE10)+(1-ДоляОплатыТек)*('05_Расходы'!AD44-'05_Расходы'!AD30+'06_Деньги'!AD10)</f>
        <v/>
      </c>
      <c r="AF47" s="87">
        <f>ДоляОплатыТек*('05_Расходы'!AF44-'05_Расходы'!AF30+'06_Деньги'!AF10)+(1-ДоляОплатыТек)*('05_Расходы'!AE44-'05_Расходы'!AE30+'06_Деньги'!AE10)</f>
        <v/>
      </c>
      <c r="AG47" s="87">
        <f>ДоляОплатыТек*('05_Расходы'!AG44-'05_Расходы'!AG30+'06_Деньги'!AG10)+(1-ДоляОплатыТек)*('05_Расходы'!AF44-'05_Расходы'!AF30+'06_Деньги'!AF10)</f>
        <v/>
      </c>
      <c r="AH47" s="87">
        <f>ДоляОплатыТек*('05_Расходы'!AH44-'05_Расходы'!AH30+'06_Деньги'!AH10)+(1-ДоляОплатыТек)*('05_Расходы'!AG44-'05_Расходы'!AG30+'06_Деньги'!AG10)</f>
        <v/>
      </c>
      <c r="AI47" s="87">
        <f>ДоляОплатыТек*('05_Расходы'!AI44-'05_Расходы'!AI30+'06_Деньги'!AI10)+(1-ДоляОплатыТек)*('05_Расходы'!AH44-'05_Расходы'!AH30+'06_Деньги'!AH10)</f>
        <v/>
      </c>
      <c r="AJ47" s="87">
        <f>ДоляОплатыТек*('05_Расходы'!AJ44-'05_Расходы'!AJ30+'06_Деньги'!AJ10)+(1-ДоляОплатыТек)*('05_Расходы'!AI44-'05_Расходы'!AI30+'06_Деньги'!AI10)</f>
        <v/>
      </c>
      <c r="AK47" s="87">
        <f>ДоляОплатыТек*('05_Расходы'!AK44-'05_Расходы'!AK30+'06_Деньги'!AK10)+(1-ДоляОплатыТек)*('05_Расходы'!AJ44-'05_Расходы'!AJ30+'06_Деньги'!AJ10)</f>
        <v/>
      </c>
      <c r="AL47" s="87">
        <f>ДоляОплатыТек*('05_Расходы'!AL44-'05_Расходы'!AL30+'06_Деньги'!AL10)+(1-ДоляОплатыТек)*('05_Расходы'!AK44-'05_Расходы'!AK30+'06_Деньги'!AK10)</f>
        <v/>
      </c>
      <c r="AM47" s="87">
        <f>ДоляОплатыТек*('05_Расходы'!AM44-'05_Расходы'!AM30+'06_Деньги'!AM10)+(1-ДоляОплатыТек)*('05_Расходы'!AL44-'05_Расходы'!AL30+'06_Деньги'!AL10)</f>
        <v/>
      </c>
      <c r="AN47" s="87">
        <f>ДоляОплатыТек*('05_Расходы'!AN44-'05_Расходы'!AN30+'06_Деньги'!AN10)+(1-ДоляОплатыТек)*('05_Расходы'!AM44-'05_Расходы'!AM30+'06_Деньги'!AM10)</f>
        <v/>
      </c>
      <c r="AO47" s="87">
        <f>ДоляОплатыТек*('05_Расходы'!AO44-'05_Расходы'!AO30+'06_Деньги'!AO10)+(1-ДоляОплатыТек)*('05_Расходы'!AN44-'05_Расходы'!AN30+'06_Деньги'!AN10)</f>
        <v/>
      </c>
      <c r="AP47" s="87">
        <f>ДоляОплатыТек*('05_Расходы'!AP44-'05_Расходы'!AP30+'06_Деньги'!AP10)+(1-ДоляОплатыТек)*('05_Расходы'!AO44-'05_Расходы'!AO30+'06_Деньги'!AO10)</f>
        <v/>
      </c>
      <c r="AQ47" s="87">
        <f>ДоляОплатыТек*('05_Расходы'!AQ44-'05_Расходы'!AQ30+'06_Деньги'!AQ10)+(1-ДоляОплатыТек)*('05_Расходы'!AP44-'05_Расходы'!AP30+'06_Деньги'!AP10)</f>
        <v/>
      </c>
      <c r="AR47" s="87">
        <f>ДоляОплатыТек*('05_Расходы'!AR44-'05_Расходы'!AR30+'06_Деньги'!AR10)+(1-ДоляОплатыТек)*('05_Расходы'!AQ44-'05_Расходы'!AQ30+'06_Деньги'!AQ10)</f>
        <v/>
      </c>
      <c r="AS47" s="87">
        <f>ДоляОплатыТек*('05_Расходы'!AS44-'05_Расходы'!AS30+'06_Деньги'!AS10)+(1-ДоляОплатыТек)*('05_Расходы'!AR44-'05_Расходы'!AR30+'06_Деньги'!AR10)</f>
        <v/>
      </c>
      <c r="AT47" s="87">
        <f>ДоляОплатыТек*('05_Расходы'!AT44-'05_Расходы'!AT30+'06_Деньги'!AT10)+(1-ДоляОплатыТек)*('05_Расходы'!AS44-'05_Расходы'!AS30+'06_Деньги'!AS10)</f>
        <v/>
      </c>
      <c r="AU47" s="87">
        <f>ДоляОплатыТек*('05_Расходы'!AU44-'05_Расходы'!AU30+'06_Деньги'!AU10)+(1-ДоляОплатыТек)*('05_Расходы'!AT44-'05_Расходы'!AT30+'06_Деньги'!AT10)</f>
        <v/>
      </c>
      <c r="AV47" s="87">
        <f>ДоляОплатыТек*('05_Расходы'!AV44-'05_Расходы'!AV30+'06_Деньги'!AV10)+(1-ДоляОплатыТек)*('05_Расходы'!AU44-'05_Расходы'!AU30+'06_Деньги'!AU10)</f>
        <v/>
      </c>
      <c r="AW47" s="87">
        <f>ДоляОплатыТек*('05_Расходы'!AW44-'05_Расходы'!AW30+'06_Деньги'!AW10)+(1-ДоляОплатыТек)*('05_Расходы'!AV44-'05_Расходы'!AV30+'06_Деньги'!AV10)</f>
        <v/>
      </c>
      <c r="AX47" s="87">
        <f>ДоляОплатыТек*('05_Расходы'!AX44-'05_Расходы'!AX30+'06_Деньги'!AX10)+(1-ДоляОплатыТек)*('05_Расходы'!AW44-'05_Расходы'!AW30+'06_Деньги'!AW10)</f>
        <v/>
      </c>
      <c r="AY47" s="87">
        <f>ДоляОплатыТек*('05_Расходы'!AY44-'05_Расходы'!AY30+'06_Деньги'!AY10)+(1-ДоляОплатыТек)*('05_Расходы'!AX44-'05_Расходы'!AX30+'06_Деньги'!AX10)</f>
        <v/>
      </c>
      <c r="AZ47" s="87">
        <f>ДоляОплатыТек*('05_Расходы'!AZ44-'05_Расходы'!AZ30+'06_Деньги'!AZ10)+(1-ДоляОплатыТек)*('05_Расходы'!AY44-'05_Расходы'!AY30+'06_Деньги'!AY10)</f>
        <v/>
      </c>
      <c r="BA47" s="87">
        <f>ДоляОплатыТек*('05_Расходы'!BA44-'05_Расходы'!BA30+'06_Деньги'!BA10)+(1-ДоляОплатыТек)*('05_Расходы'!AZ44-'05_Расходы'!AZ30+'06_Деньги'!AZ10)</f>
        <v/>
      </c>
      <c r="BB47" s="87">
        <f>ДоляОплатыТек*('05_Расходы'!BB44-'05_Расходы'!BB30+'06_Деньги'!BB10)+(1-ДоляОплатыТек)*('05_Расходы'!BA44-'05_Расходы'!BA30+'06_Деньги'!BA10)</f>
        <v/>
      </c>
      <c r="BC47" s="87">
        <f>ДоляОплатыТек*('05_Расходы'!BC44-'05_Расходы'!BC30+'06_Деньги'!BC10)+(1-ДоляОплатыТек)*('05_Расходы'!BB44-'05_Расходы'!BB30+'06_Деньги'!BB10)</f>
        <v/>
      </c>
      <c r="BD47" s="87">
        <f>ДоляОплатыТек*('05_Расходы'!BD44-'05_Расходы'!BD30+'06_Деньги'!BD10)+(1-ДоляОплатыТек)*('05_Расходы'!BC44-'05_Расходы'!BC30+'06_Деньги'!BC10)</f>
        <v/>
      </c>
      <c r="BE47" s="87">
        <f>ДоляОплатыТек*('05_Расходы'!BE44-'05_Расходы'!BE30+'06_Деньги'!BE10)+(1-ДоляОплатыТек)*('05_Расходы'!BD44-'05_Расходы'!BD30+'06_Деньги'!BD10)</f>
        <v/>
      </c>
      <c r="BF47" s="87">
        <f>ДоляОплатыТек*('05_Расходы'!BF44-'05_Расходы'!BF30+'06_Деньги'!BF10)+(1-ДоляОплатыТек)*('05_Расходы'!BE44-'05_Расходы'!BE30+'06_Деньги'!BE10)</f>
        <v/>
      </c>
      <c r="BG47" s="87">
        <f>ДоляОплатыТек*('05_Расходы'!BG44-'05_Расходы'!BG30+'06_Деньги'!BG10)+(1-ДоляОплатыТек)*('05_Расходы'!BF44-'05_Расходы'!BF30+'06_Деньги'!BF10)</f>
        <v/>
      </c>
      <c r="BH47" s="87">
        <f>ДоляОплатыТек*('05_Расходы'!BH44-'05_Расходы'!BH30+'06_Деньги'!BH10)+(1-ДоляОплатыТек)*('05_Расходы'!BG44-'05_Расходы'!BG30+'06_Деньги'!BG10)</f>
        <v/>
      </c>
      <c r="BI47" s="87">
        <f>ДоляОплатыТек*('05_Расходы'!BI44-'05_Расходы'!BI30+'06_Деньги'!BI10)+(1-ДоляОплатыТек)*('05_Расходы'!BH44-'05_Расходы'!BH30+'06_Деньги'!BH10)</f>
        <v/>
      </c>
      <c r="BJ47" s="87">
        <f>ДоляОплатыТек*('05_Расходы'!BJ44-'05_Расходы'!BJ30+'06_Деньги'!BJ10)+(1-ДоляОплатыТек)*('05_Расходы'!BI44-'05_Расходы'!BI30+'06_Деньги'!BI10)</f>
        <v/>
      </c>
      <c r="BK47" s="87">
        <f>ДоляОплатыТек*('05_Расходы'!BK44-'05_Расходы'!BK30+'06_Деньги'!BK10)+(1-ДоляОплатыТек)*('05_Расходы'!BJ44-'05_Расходы'!BJ30+'06_Деньги'!BJ10)</f>
        <v/>
      </c>
      <c r="BL47" s="87">
        <f>ДоляОплатыТек*('05_Расходы'!BL44-'05_Расходы'!BL30+'06_Деньги'!BL10)+(1-ДоляОплатыТек)*('05_Расходы'!BK44-'05_Расходы'!BK30+'06_Деньги'!BK10)</f>
        <v/>
      </c>
      <c r="BM47" s="87">
        <f>ДоляОплатыТек*('05_Расходы'!BM44-'05_Расходы'!BM30+'06_Деньги'!BM10)+(1-ДоляОплатыТек)*('05_Расходы'!BL44-'05_Расходы'!BL30+'06_Деньги'!BL10)</f>
        <v/>
      </c>
      <c r="BN47" s="87">
        <f>ДоляОплатыТек*('05_Расходы'!BN44-'05_Расходы'!BN30+'06_Деньги'!BN10)+(1-ДоляОплатыТек)*('05_Расходы'!BM44-'05_Расходы'!BM30+'06_Деньги'!BM10)</f>
        <v/>
      </c>
      <c r="BO47" s="87">
        <f>ДоляОплатыТек*('05_Расходы'!BO44-'05_Расходы'!BO30+'06_Деньги'!BO10)+(1-ДоляОплатыТек)*('05_Расходы'!BN44-'05_Расходы'!BN30+'06_Деньги'!BN10)</f>
        <v/>
      </c>
      <c r="BP47" s="87">
        <f>ДоляОплатыТек*('05_Расходы'!BP44-'05_Расходы'!BP30+'06_Деньги'!BP10)+(1-ДоляОплатыТек)*('05_Расходы'!BO44-'05_Расходы'!BO30+'06_Деньги'!BO10)</f>
        <v/>
      </c>
      <c r="BQ47" s="87">
        <f>ДоляОплатыТек*('05_Расходы'!BQ44-'05_Расходы'!BQ30+'06_Деньги'!BQ10)+(1-ДоляОплатыТек)*('05_Расходы'!BP44-'05_Расходы'!BP30+'06_Деньги'!BP10)</f>
        <v/>
      </c>
      <c r="BR47" s="87">
        <f>ДоляОплатыТек*('05_Расходы'!BR44-'05_Расходы'!BR30+'06_Деньги'!BR10)+(1-ДоляОплатыТек)*('05_Расходы'!BQ44-'05_Расходы'!BQ30+'06_Деньги'!BQ10)</f>
        <v/>
      </c>
      <c r="BS47" s="87">
        <f>ДоляОплатыТек*('05_Расходы'!BS44-'05_Расходы'!BS30+'06_Деньги'!BS10)+(1-ДоляОплатыТек)*('05_Расходы'!BR44-'05_Расходы'!BR30+'06_Деньги'!BR10)</f>
        <v/>
      </c>
      <c r="BT47" s="87">
        <f>ДоляОплатыТек*('05_Расходы'!BT44-'05_Расходы'!BT30+'06_Деньги'!BT10)+(1-ДоляОплатыТек)*('05_Расходы'!BS44-'05_Расходы'!BS30+'06_Деньги'!BS10)</f>
        <v/>
      </c>
      <c r="BU47" s="87">
        <f>ДоляОплатыТек*('05_Расходы'!BU44-'05_Расходы'!BU30+'06_Деньги'!BU10)+(1-ДоляОплатыТек)*('05_Расходы'!BT44-'05_Расходы'!BT30+'06_Деньги'!BT10)</f>
        <v/>
      </c>
      <c r="BV47" s="87">
        <f>ДоляОплатыТек*('05_Расходы'!BV44-'05_Расходы'!BV30+'06_Деньги'!BV10)+(1-ДоляОплатыТек)*('05_Расходы'!BU44-'05_Расходы'!BU30+'06_Деньги'!BU10)</f>
        <v/>
      </c>
      <c r="BW47" s="87">
        <f>ДоляОплатыТек*('05_Расходы'!BW44-'05_Расходы'!BW30+'06_Деньги'!BW10)+(1-ДоляОплатыТек)*('05_Расходы'!BV44-'05_Расходы'!BV30+'06_Деньги'!BV10)</f>
        <v/>
      </c>
      <c r="BX47" s="87">
        <f>ДоляОплатыТек*('05_Расходы'!BX44-'05_Расходы'!BX30+'06_Деньги'!BX10)+(1-ДоляОплатыТек)*('05_Расходы'!BW44-'05_Расходы'!BW30+'06_Деньги'!BW10)</f>
        <v/>
      </c>
      <c r="BY47" s="87">
        <f>ДоляОплатыТек*('05_Расходы'!BY44-'05_Расходы'!BY30+'06_Деньги'!BY10)+(1-ДоляОплатыТек)*('05_Расходы'!BX44-'05_Расходы'!BX30+'06_Деньги'!BX10)</f>
        <v/>
      </c>
    </row>
    <row r="48" ht="15.75" customHeight="1" s="194">
      <c r="B48" s="56" t="inlineStr">
        <is>
          <t>Оплата: ФОТ</t>
        </is>
      </c>
      <c r="C48" s="56" t="inlineStr">
        <is>
          <t>₽</t>
        </is>
      </c>
      <c r="D48" s="57" t="inlineStr">
        <is>
          <t>Зарплата платится в месяц начисления</t>
        </is>
      </c>
      <c r="E48" s="85">
        <f>SUM(L48:W48)</f>
        <v/>
      </c>
      <c r="F48" s="85">
        <f>SUM(X48:AI48)</f>
        <v/>
      </c>
      <c r="G48" s="85">
        <f>SUM(AJ48:AU48)</f>
        <v/>
      </c>
      <c r="H48" s="85">
        <f>SUM(AV48:BG48)</f>
        <v/>
      </c>
      <c r="I48" s="85">
        <f>SUM(BH48:BS48)</f>
        <v/>
      </c>
      <c r="J48" s="86">
        <f>SUM(L48:BS48)</f>
        <v/>
      </c>
      <c r="L48" s="87">
        <f>'05_Расходы'!L30</f>
        <v/>
      </c>
      <c r="M48" s="87">
        <f>'05_Расходы'!M30</f>
        <v/>
      </c>
      <c r="N48" s="87">
        <f>'05_Расходы'!N30</f>
        <v/>
      </c>
      <c r="O48" s="87">
        <f>'05_Расходы'!O30</f>
        <v/>
      </c>
      <c r="P48" s="87">
        <f>'05_Расходы'!P30</f>
        <v/>
      </c>
      <c r="Q48" s="87">
        <f>'05_Расходы'!Q30</f>
        <v/>
      </c>
      <c r="R48" s="87">
        <f>'05_Расходы'!R30</f>
        <v/>
      </c>
      <c r="S48" s="87">
        <f>'05_Расходы'!S30</f>
        <v/>
      </c>
      <c r="T48" s="87">
        <f>'05_Расходы'!T30</f>
        <v/>
      </c>
      <c r="U48" s="87">
        <f>'05_Расходы'!U30</f>
        <v/>
      </c>
      <c r="V48" s="87">
        <f>'05_Расходы'!V30</f>
        <v/>
      </c>
      <c r="W48" s="87">
        <f>'05_Расходы'!W30</f>
        <v/>
      </c>
      <c r="X48" s="87">
        <f>'05_Расходы'!X30</f>
        <v/>
      </c>
      <c r="Y48" s="87">
        <f>'05_Расходы'!Y30</f>
        <v/>
      </c>
      <c r="Z48" s="87">
        <f>'05_Расходы'!Z30</f>
        <v/>
      </c>
      <c r="AA48" s="87">
        <f>'05_Расходы'!AA30</f>
        <v/>
      </c>
      <c r="AB48" s="87">
        <f>'05_Расходы'!AB30</f>
        <v/>
      </c>
      <c r="AC48" s="87">
        <f>'05_Расходы'!AC30</f>
        <v/>
      </c>
      <c r="AD48" s="87">
        <f>'05_Расходы'!AD30</f>
        <v/>
      </c>
      <c r="AE48" s="87">
        <f>'05_Расходы'!AE30</f>
        <v/>
      </c>
      <c r="AF48" s="87">
        <f>'05_Расходы'!AF30</f>
        <v/>
      </c>
      <c r="AG48" s="87">
        <f>'05_Расходы'!AG30</f>
        <v/>
      </c>
      <c r="AH48" s="87">
        <f>'05_Расходы'!AH30</f>
        <v/>
      </c>
      <c r="AI48" s="87">
        <f>'05_Расходы'!AI30</f>
        <v/>
      </c>
      <c r="AJ48" s="87">
        <f>'05_Расходы'!AJ30</f>
        <v/>
      </c>
      <c r="AK48" s="87">
        <f>'05_Расходы'!AK30</f>
        <v/>
      </c>
      <c r="AL48" s="87">
        <f>'05_Расходы'!AL30</f>
        <v/>
      </c>
      <c r="AM48" s="87">
        <f>'05_Расходы'!AM30</f>
        <v/>
      </c>
      <c r="AN48" s="87">
        <f>'05_Расходы'!AN30</f>
        <v/>
      </c>
      <c r="AO48" s="87">
        <f>'05_Расходы'!AO30</f>
        <v/>
      </c>
      <c r="AP48" s="87">
        <f>'05_Расходы'!AP30</f>
        <v/>
      </c>
      <c r="AQ48" s="87">
        <f>'05_Расходы'!AQ30</f>
        <v/>
      </c>
      <c r="AR48" s="87">
        <f>'05_Расходы'!AR30</f>
        <v/>
      </c>
      <c r="AS48" s="87">
        <f>'05_Расходы'!AS30</f>
        <v/>
      </c>
      <c r="AT48" s="87">
        <f>'05_Расходы'!AT30</f>
        <v/>
      </c>
      <c r="AU48" s="87">
        <f>'05_Расходы'!AU30</f>
        <v/>
      </c>
      <c r="AV48" s="87">
        <f>'05_Расходы'!AV30</f>
        <v/>
      </c>
      <c r="AW48" s="87">
        <f>'05_Расходы'!AW30</f>
        <v/>
      </c>
      <c r="AX48" s="87">
        <f>'05_Расходы'!AX30</f>
        <v/>
      </c>
      <c r="AY48" s="87">
        <f>'05_Расходы'!AY30</f>
        <v/>
      </c>
      <c r="AZ48" s="87">
        <f>'05_Расходы'!AZ30</f>
        <v/>
      </c>
      <c r="BA48" s="87">
        <f>'05_Расходы'!BA30</f>
        <v/>
      </c>
      <c r="BB48" s="87">
        <f>'05_Расходы'!BB30</f>
        <v/>
      </c>
      <c r="BC48" s="87">
        <f>'05_Расходы'!BC30</f>
        <v/>
      </c>
      <c r="BD48" s="87">
        <f>'05_Расходы'!BD30</f>
        <v/>
      </c>
      <c r="BE48" s="87">
        <f>'05_Расходы'!BE30</f>
        <v/>
      </c>
      <c r="BF48" s="87">
        <f>'05_Расходы'!BF30</f>
        <v/>
      </c>
      <c r="BG48" s="87">
        <f>'05_Расходы'!BG30</f>
        <v/>
      </c>
      <c r="BH48" s="87">
        <f>'05_Расходы'!BH30</f>
        <v/>
      </c>
      <c r="BI48" s="87">
        <f>'05_Расходы'!BI30</f>
        <v/>
      </c>
      <c r="BJ48" s="87">
        <f>'05_Расходы'!BJ30</f>
        <v/>
      </c>
      <c r="BK48" s="87">
        <f>'05_Расходы'!BK30</f>
        <v/>
      </c>
      <c r="BL48" s="87">
        <f>'05_Расходы'!BL30</f>
        <v/>
      </c>
      <c r="BM48" s="87">
        <f>'05_Расходы'!BM30</f>
        <v/>
      </c>
      <c r="BN48" s="87">
        <f>'05_Расходы'!BN30</f>
        <v/>
      </c>
      <c r="BO48" s="87">
        <f>'05_Расходы'!BO30</f>
        <v/>
      </c>
      <c r="BP48" s="87">
        <f>'05_Расходы'!BP30</f>
        <v/>
      </c>
      <c r="BQ48" s="87">
        <f>'05_Расходы'!BQ30</f>
        <v/>
      </c>
      <c r="BR48" s="87">
        <f>'05_Расходы'!BR30</f>
        <v/>
      </c>
      <c r="BS48" s="87">
        <f>'05_Расходы'!BS30</f>
        <v/>
      </c>
      <c r="BT48" s="87">
        <f>'05_Расходы'!BT30</f>
        <v/>
      </c>
      <c r="BU48" s="87">
        <f>'05_Расходы'!BU30</f>
        <v/>
      </c>
      <c r="BV48" s="87">
        <f>'05_Расходы'!BV30</f>
        <v/>
      </c>
      <c r="BW48" s="87">
        <f>'05_Расходы'!BW30</f>
        <v/>
      </c>
      <c r="BX48" s="87">
        <f>'05_Расходы'!BX30</f>
        <v/>
      </c>
      <c r="BY48" s="87">
        <f>'05_Расходы'!BY30</f>
        <v/>
      </c>
    </row>
    <row r="49" ht="15.75" customHeight="1" s="194">
      <c r="B49" s="207" t="inlineStr">
        <is>
          <t>Оплата: клубу</t>
        </is>
      </c>
      <c r="C49" s="56" t="inlineStr">
        <is>
          <t>₽</t>
        </is>
      </c>
      <c r="D49" s="57" t="inlineStr">
        <is>
          <t>Роялти клубу — с поступивших денег, остальное сразу</t>
        </is>
      </c>
      <c r="E49" s="85">
        <f>SUM(L49:W49)</f>
        <v/>
      </c>
      <c r="F49" s="85">
        <f>SUM(X49:AI49)</f>
        <v/>
      </c>
      <c r="G49" s="85">
        <f>SUM(AJ49:AU49)</f>
        <v/>
      </c>
      <c r="H49" s="85">
        <f>SUM(AV49:BG49)</f>
        <v/>
      </c>
      <c r="I49" s="85">
        <f>SUM(BH49:BS49)</f>
        <v/>
      </c>
      <c r="J49" s="86">
        <f>SUM(L49:BS49)</f>
        <v/>
      </c>
      <c r="L49" s="87">
        <f>IF(ЛагОплатыФК=0,'05_Расходы'!L47+'05_Расходы'!L49+L41/(1+НДС)*IF(L$5&gt;=ДатаФКСтупень3,ДоляФКРоялти3,IF(L$5&gt;=ДатаФКСтупень2,ДоляФКРоялти2,ДоляФКРоялти)),0)</f>
        <v/>
      </c>
      <c r="M49" s="87">
        <f>IF(ЛагОплатыФК=0,'05_Расходы'!M47+'05_Расходы'!M49+M41/(1+НДС)*IF(M$5&gt;=ДатаФКСтупень3,ДоляФКРоялти3,IF(M$5&gt;=ДатаФКСтупень2,ДоляФКРоялти2,ДоляФКРоялти)),'05_Расходы'!L47+'05_Расходы'!L49+L41/(1+НДС)*IF(L$5&gt;=ДатаФКСтупень3,ДоляФКРоялти3,IF(L$5&gt;=ДатаФКСтупень2,ДоляФКРоялти2,ДоляФКРоялти)))</f>
        <v/>
      </c>
      <c r="N49" s="87">
        <f>IF(ЛагОплатыФК=0,'05_Расходы'!N47+'05_Расходы'!N49+N41/(1+НДС)*IF(N$5&gt;=ДатаФКСтупень3,ДоляФКРоялти3,IF(N$5&gt;=ДатаФКСтупень2,ДоляФКРоялти2,ДоляФКРоялти)),'05_Расходы'!M47+'05_Расходы'!M49+M41/(1+НДС)*IF(M$5&gt;=ДатаФКСтупень3,ДоляФКРоялти3,IF(M$5&gt;=ДатаФКСтупень2,ДоляФКРоялти2,ДоляФКРоялти)))</f>
        <v/>
      </c>
      <c r="O49" s="87">
        <f>IF(ЛагОплатыФК=0,'05_Расходы'!O47+'05_Расходы'!O49+O41/(1+НДС)*IF(O$5&gt;=ДатаФКСтупень3,ДоляФКРоялти3,IF(O$5&gt;=ДатаФКСтупень2,ДоляФКРоялти2,ДоляФКРоялти)),'05_Расходы'!N47+'05_Расходы'!N49+N41/(1+НДС)*IF(N$5&gt;=ДатаФКСтупень3,ДоляФКРоялти3,IF(N$5&gt;=ДатаФКСтупень2,ДоляФКРоялти2,ДоляФКРоялти)))</f>
        <v/>
      </c>
      <c r="P49" s="87">
        <f>IF(ЛагОплатыФК=0,'05_Расходы'!P47+'05_Расходы'!P49+P41/(1+НДС)*IF(P$5&gt;=ДатаФКСтупень3,ДоляФКРоялти3,IF(P$5&gt;=ДатаФКСтупень2,ДоляФКРоялти2,ДоляФКРоялти)),'05_Расходы'!O47+'05_Расходы'!O49+O41/(1+НДС)*IF(O$5&gt;=ДатаФКСтупень3,ДоляФКРоялти3,IF(O$5&gt;=ДатаФКСтупень2,ДоляФКРоялти2,ДоляФКРоялти)))</f>
        <v/>
      </c>
      <c r="Q49" s="87">
        <f>IF(ЛагОплатыФК=0,'05_Расходы'!Q47+'05_Расходы'!Q49+Q41/(1+НДС)*IF(Q$5&gt;=ДатаФКСтупень3,ДоляФКРоялти3,IF(Q$5&gt;=ДатаФКСтупень2,ДоляФКРоялти2,ДоляФКРоялти)),'05_Расходы'!P47+'05_Расходы'!P49+P41/(1+НДС)*IF(P$5&gt;=ДатаФКСтупень3,ДоляФКРоялти3,IF(P$5&gt;=ДатаФКСтупень2,ДоляФКРоялти2,ДоляФКРоялти)))</f>
        <v/>
      </c>
      <c r="R49" s="87">
        <f>IF(ЛагОплатыФК=0,'05_Расходы'!R47+'05_Расходы'!R49+R41/(1+НДС)*IF(R$5&gt;=ДатаФКСтупень3,ДоляФКРоялти3,IF(R$5&gt;=ДатаФКСтупень2,ДоляФКРоялти2,ДоляФКРоялти)),'05_Расходы'!Q47+'05_Расходы'!Q49+Q41/(1+НДС)*IF(Q$5&gt;=ДатаФКСтупень3,ДоляФКРоялти3,IF(Q$5&gt;=ДатаФКСтупень2,ДоляФКРоялти2,ДоляФКРоялти)))</f>
        <v/>
      </c>
      <c r="S49" s="87">
        <f>IF(ЛагОплатыФК=0,'05_Расходы'!S47+'05_Расходы'!S49+S41/(1+НДС)*IF(S$5&gt;=ДатаФКСтупень3,ДоляФКРоялти3,IF(S$5&gt;=ДатаФКСтупень2,ДоляФКРоялти2,ДоляФКРоялти)),'05_Расходы'!R47+'05_Расходы'!R49+R41/(1+НДС)*IF(R$5&gt;=ДатаФКСтупень3,ДоляФКРоялти3,IF(R$5&gt;=ДатаФКСтупень2,ДоляФКРоялти2,ДоляФКРоялти)))</f>
        <v/>
      </c>
      <c r="T49" s="87">
        <f>IF(ЛагОплатыФК=0,'05_Расходы'!T47+'05_Расходы'!T49+T41/(1+НДС)*IF(T$5&gt;=ДатаФКСтупень3,ДоляФКРоялти3,IF(T$5&gt;=ДатаФКСтупень2,ДоляФКРоялти2,ДоляФКРоялти)),'05_Расходы'!S47+'05_Расходы'!S49+S41/(1+НДС)*IF(S$5&gt;=ДатаФКСтупень3,ДоляФКРоялти3,IF(S$5&gt;=ДатаФКСтупень2,ДоляФКРоялти2,ДоляФКРоялти)))</f>
        <v/>
      </c>
      <c r="U49" s="87">
        <f>IF(ЛагОплатыФК=0,'05_Расходы'!U47+'05_Расходы'!U49+U41/(1+НДС)*IF(U$5&gt;=ДатаФКСтупень3,ДоляФКРоялти3,IF(U$5&gt;=ДатаФКСтупень2,ДоляФКРоялти2,ДоляФКРоялти)),'05_Расходы'!T47+'05_Расходы'!T49+T41/(1+НДС)*IF(T$5&gt;=ДатаФКСтупень3,ДоляФКРоялти3,IF(T$5&gt;=ДатаФКСтупень2,ДоляФКРоялти2,ДоляФКРоялти)))</f>
        <v/>
      </c>
      <c r="V49" s="87">
        <f>IF(ЛагОплатыФК=0,'05_Расходы'!V47+'05_Расходы'!V49+V41/(1+НДС)*IF(V$5&gt;=ДатаФКСтупень3,ДоляФКРоялти3,IF(V$5&gt;=ДатаФКСтупень2,ДоляФКРоялти2,ДоляФКРоялти)),'05_Расходы'!U47+'05_Расходы'!U49+U41/(1+НДС)*IF(U$5&gt;=ДатаФКСтупень3,ДоляФКРоялти3,IF(U$5&gt;=ДатаФКСтупень2,ДоляФКРоялти2,ДоляФКРоялти)))</f>
        <v/>
      </c>
      <c r="W49" s="87">
        <f>IF(ЛагОплатыФК=0,'05_Расходы'!W47+'05_Расходы'!W49+W41/(1+НДС)*IF(W$5&gt;=ДатаФКСтупень3,ДоляФКРоялти3,IF(W$5&gt;=ДатаФКСтупень2,ДоляФКРоялти2,ДоляФКРоялти)),'05_Расходы'!V47+'05_Расходы'!V49+V41/(1+НДС)*IF(V$5&gt;=ДатаФКСтупень3,ДоляФКРоялти3,IF(V$5&gt;=ДатаФКСтупень2,ДоляФКРоялти2,ДоляФКРоялти)))</f>
        <v/>
      </c>
      <c r="X49" s="87">
        <f>IF(ЛагОплатыФК=0,'05_Расходы'!X47+'05_Расходы'!X49+X41/(1+НДС)*IF(X$5&gt;=ДатаФКСтупень3,ДоляФКРоялти3,IF(X$5&gt;=ДатаФКСтупень2,ДоляФКРоялти2,ДоляФКРоялти)),'05_Расходы'!W47+'05_Расходы'!W49+W41/(1+НДС)*IF(W$5&gt;=ДатаФКСтупень3,ДоляФКРоялти3,IF(W$5&gt;=ДатаФКСтупень2,ДоляФКРоялти2,ДоляФКРоялти)))</f>
        <v/>
      </c>
      <c r="Y49" s="87">
        <f>IF(ЛагОплатыФК=0,'05_Расходы'!Y47+'05_Расходы'!Y49+Y41/(1+НДС)*IF(Y$5&gt;=ДатаФКСтупень3,ДоляФКРоялти3,IF(Y$5&gt;=ДатаФКСтупень2,ДоляФКРоялти2,ДоляФКРоялти)),'05_Расходы'!X47+'05_Расходы'!X49+X41/(1+НДС)*IF(X$5&gt;=ДатаФКСтупень3,ДоляФКРоялти3,IF(X$5&gt;=ДатаФКСтупень2,ДоляФКРоялти2,ДоляФКРоялти)))</f>
        <v/>
      </c>
      <c r="Z49" s="87">
        <f>IF(ЛагОплатыФК=0,'05_Расходы'!Z47+'05_Расходы'!Z49+Z41/(1+НДС)*IF(Z$5&gt;=ДатаФКСтупень3,ДоляФКРоялти3,IF(Z$5&gt;=ДатаФКСтупень2,ДоляФКРоялти2,ДоляФКРоялти)),'05_Расходы'!Y47+'05_Расходы'!Y49+Y41/(1+НДС)*IF(Y$5&gt;=ДатаФКСтупень3,ДоляФКРоялти3,IF(Y$5&gt;=ДатаФКСтупень2,ДоляФКРоялти2,ДоляФКРоялти)))</f>
        <v/>
      </c>
      <c r="AA49" s="87">
        <f>IF(ЛагОплатыФК=0,'05_Расходы'!AA47+'05_Расходы'!AA49+AA41/(1+НДС)*IF(AA$5&gt;=ДатаФКСтупень3,ДоляФКРоялти3,IF(AA$5&gt;=ДатаФКСтупень2,ДоляФКРоялти2,ДоляФКРоялти)),'05_Расходы'!Z47+'05_Расходы'!Z49+Z41/(1+НДС)*IF(Z$5&gt;=ДатаФКСтупень3,ДоляФКРоялти3,IF(Z$5&gt;=ДатаФКСтупень2,ДоляФКРоялти2,ДоляФКРоялти)))</f>
        <v/>
      </c>
      <c r="AB49" s="87">
        <f>IF(ЛагОплатыФК=0,'05_Расходы'!AB47+'05_Расходы'!AB49+AB41/(1+НДС)*IF(AB$5&gt;=ДатаФКСтупень3,ДоляФКРоялти3,IF(AB$5&gt;=ДатаФКСтупень2,ДоляФКРоялти2,ДоляФКРоялти)),'05_Расходы'!AA47+'05_Расходы'!AA49+AA41/(1+НДС)*IF(AA$5&gt;=ДатаФКСтупень3,ДоляФКРоялти3,IF(AA$5&gt;=ДатаФКСтупень2,ДоляФКРоялти2,ДоляФКРоялти)))</f>
        <v/>
      </c>
      <c r="AC49" s="87">
        <f>IF(ЛагОплатыФК=0,'05_Расходы'!AC47+'05_Расходы'!AC49+AC41/(1+НДС)*IF(AC$5&gt;=ДатаФКСтупень3,ДоляФКРоялти3,IF(AC$5&gt;=ДатаФКСтупень2,ДоляФКРоялти2,ДоляФКРоялти)),'05_Расходы'!AB47+'05_Расходы'!AB49+AB41/(1+НДС)*IF(AB$5&gt;=ДатаФКСтупень3,ДоляФКРоялти3,IF(AB$5&gt;=ДатаФКСтупень2,ДоляФКРоялти2,ДоляФКРоялти)))</f>
        <v/>
      </c>
      <c r="AD49" s="87">
        <f>IF(ЛагОплатыФК=0,'05_Расходы'!AD47+'05_Расходы'!AD49+AD41/(1+НДС)*IF(AD$5&gt;=ДатаФКСтупень3,ДоляФКРоялти3,IF(AD$5&gt;=ДатаФКСтупень2,ДоляФКРоялти2,ДоляФКРоялти)),'05_Расходы'!AC47+'05_Расходы'!AC49+AC41/(1+НДС)*IF(AC$5&gt;=ДатаФКСтупень3,ДоляФКРоялти3,IF(AC$5&gt;=ДатаФКСтупень2,ДоляФКРоялти2,ДоляФКРоялти)))</f>
        <v/>
      </c>
      <c r="AE49" s="87">
        <f>IF(ЛагОплатыФК=0,'05_Расходы'!AE47+'05_Расходы'!AE49+AE41/(1+НДС)*IF(AE$5&gt;=ДатаФКСтупень3,ДоляФКРоялти3,IF(AE$5&gt;=ДатаФКСтупень2,ДоляФКРоялти2,ДоляФКРоялти)),'05_Расходы'!AD47+'05_Расходы'!AD49+AD41/(1+НДС)*IF(AD$5&gt;=ДатаФКСтупень3,ДоляФКРоялти3,IF(AD$5&gt;=ДатаФКСтупень2,ДоляФКРоялти2,ДоляФКРоялти)))</f>
        <v/>
      </c>
      <c r="AF49" s="87">
        <f>IF(ЛагОплатыФК=0,'05_Расходы'!AF47+'05_Расходы'!AF49+AF41/(1+НДС)*IF(AF$5&gt;=ДатаФКСтупень3,ДоляФКРоялти3,IF(AF$5&gt;=ДатаФКСтупень2,ДоляФКРоялти2,ДоляФКРоялти)),'05_Расходы'!AE47+'05_Расходы'!AE49+AE41/(1+НДС)*IF(AE$5&gt;=ДатаФКСтупень3,ДоляФКРоялти3,IF(AE$5&gt;=ДатаФКСтупень2,ДоляФКРоялти2,ДоляФКРоялти)))</f>
        <v/>
      </c>
      <c r="AG49" s="87">
        <f>IF(ЛагОплатыФК=0,'05_Расходы'!AG47+'05_Расходы'!AG49+AG41/(1+НДС)*IF(AG$5&gt;=ДатаФКСтупень3,ДоляФКРоялти3,IF(AG$5&gt;=ДатаФКСтупень2,ДоляФКРоялти2,ДоляФКРоялти)),'05_Расходы'!AF47+'05_Расходы'!AF49+AF41/(1+НДС)*IF(AF$5&gt;=ДатаФКСтупень3,ДоляФКРоялти3,IF(AF$5&gt;=ДатаФКСтупень2,ДоляФКРоялти2,ДоляФКРоялти)))</f>
        <v/>
      </c>
      <c r="AH49" s="87">
        <f>IF(ЛагОплатыФК=0,'05_Расходы'!AH47+'05_Расходы'!AH49+AH41/(1+НДС)*IF(AH$5&gt;=ДатаФКСтупень3,ДоляФКРоялти3,IF(AH$5&gt;=ДатаФКСтупень2,ДоляФКРоялти2,ДоляФКРоялти)),'05_Расходы'!AG47+'05_Расходы'!AG49+AG41/(1+НДС)*IF(AG$5&gt;=ДатаФКСтупень3,ДоляФКРоялти3,IF(AG$5&gt;=ДатаФКСтупень2,ДоляФКРоялти2,ДоляФКРоялти)))</f>
        <v/>
      </c>
      <c r="AI49" s="87">
        <f>IF(ЛагОплатыФК=0,'05_Расходы'!AI47+'05_Расходы'!AI49+AI41/(1+НДС)*IF(AI$5&gt;=ДатаФКСтупень3,ДоляФКРоялти3,IF(AI$5&gt;=ДатаФКСтупень2,ДоляФКРоялти2,ДоляФКРоялти)),'05_Расходы'!AH47+'05_Расходы'!AH49+AH41/(1+НДС)*IF(AH$5&gt;=ДатаФКСтупень3,ДоляФКРоялти3,IF(AH$5&gt;=ДатаФКСтупень2,ДоляФКРоялти2,ДоляФКРоялти)))</f>
        <v/>
      </c>
      <c r="AJ49" s="87">
        <f>IF(ЛагОплатыФК=0,'05_Расходы'!AJ47+'05_Расходы'!AJ49+AJ41/(1+НДС)*IF(AJ$5&gt;=ДатаФКСтупень3,ДоляФКРоялти3,IF(AJ$5&gt;=ДатаФКСтупень2,ДоляФКРоялти2,ДоляФКРоялти)),'05_Расходы'!AI47+'05_Расходы'!AI49+AI41/(1+НДС)*IF(AI$5&gt;=ДатаФКСтупень3,ДоляФКРоялти3,IF(AI$5&gt;=ДатаФКСтупень2,ДоляФКРоялти2,ДоляФКРоялти)))</f>
        <v/>
      </c>
      <c r="AK49" s="87">
        <f>IF(ЛагОплатыФК=0,'05_Расходы'!AK47+'05_Расходы'!AK49+AK41/(1+НДС)*IF(AK$5&gt;=ДатаФКСтупень3,ДоляФКРоялти3,IF(AK$5&gt;=ДатаФКСтупень2,ДоляФКРоялти2,ДоляФКРоялти)),'05_Расходы'!AJ47+'05_Расходы'!AJ49+AJ41/(1+НДС)*IF(AJ$5&gt;=ДатаФКСтупень3,ДоляФКРоялти3,IF(AJ$5&gt;=ДатаФКСтупень2,ДоляФКРоялти2,ДоляФКРоялти)))</f>
        <v/>
      </c>
      <c r="AL49" s="87">
        <f>IF(ЛагОплатыФК=0,'05_Расходы'!AL47+'05_Расходы'!AL49+AL41/(1+НДС)*IF(AL$5&gt;=ДатаФКСтупень3,ДоляФКРоялти3,IF(AL$5&gt;=ДатаФКСтупень2,ДоляФКРоялти2,ДоляФКРоялти)),'05_Расходы'!AK47+'05_Расходы'!AK49+AK41/(1+НДС)*IF(AK$5&gt;=ДатаФКСтупень3,ДоляФКРоялти3,IF(AK$5&gt;=ДатаФКСтупень2,ДоляФКРоялти2,ДоляФКРоялти)))</f>
        <v/>
      </c>
      <c r="AM49" s="87">
        <f>IF(ЛагОплатыФК=0,'05_Расходы'!AM47+'05_Расходы'!AM49+AM41/(1+НДС)*IF(AM$5&gt;=ДатаФКСтупень3,ДоляФКРоялти3,IF(AM$5&gt;=ДатаФКСтупень2,ДоляФКРоялти2,ДоляФКРоялти)),'05_Расходы'!AL47+'05_Расходы'!AL49+AL41/(1+НДС)*IF(AL$5&gt;=ДатаФКСтупень3,ДоляФКРоялти3,IF(AL$5&gt;=ДатаФКСтупень2,ДоляФКРоялти2,ДоляФКРоялти)))</f>
        <v/>
      </c>
      <c r="AN49" s="87">
        <f>IF(ЛагОплатыФК=0,'05_Расходы'!AN47+'05_Расходы'!AN49+AN41/(1+НДС)*IF(AN$5&gt;=ДатаФКСтупень3,ДоляФКРоялти3,IF(AN$5&gt;=ДатаФКСтупень2,ДоляФКРоялти2,ДоляФКРоялти)),'05_Расходы'!AM47+'05_Расходы'!AM49+AM41/(1+НДС)*IF(AM$5&gt;=ДатаФКСтупень3,ДоляФКРоялти3,IF(AM$5&gt;=ДатаФКСтупень2,ДоляФКРоялти2,ДоляФКРоялти)))</f>
        <v/>
      </c>
      <c r="AO49" s="87">
        <f>IF(ЛагОплатыФК=0,'05_Расходы'!AO47+'05_Расходы'!AO49+AO41/(1+НДС)*IF(AO$5&gt;=ДатаФКСтупень3,ДоляФКРоялти3,IF(AO$5&gt;=ДатаФКСтупень2,ДоляФКРоялти2,ДоляФКРоялти)),'05_Расходы'!AN47+'05_Расходы'!AN49+AN41/(1+НДС)*IF(AN$5&gt;=ДатаФКСтупень3,ДоляФКРоялти3,IF(AN$5&gt;=ДатаФКСтупень2,ДоляФКРоялти2,ДоляФКРоялти)))</f>
        <v/>
      </c>
      <c r="AP49" s="87">
        <f>IF(ЛагОплатыФК=0,'05_Расходы'!AP47+'05_Расходы'!AP49+AP41/(1+НДС)*IF(AP$5&gt;=ДатаФКСтупень3,ДоляФКРоялти3,IF(AP$5&gt;=ДатаФКСтупень2,ДоляФКРоялти2,ДоляФКРоялти)),'05_Расходы'!AO47+'05_Расходы'!AO49+AO41/(1+НДС)*IF(AO$5&gt;=ДатаФКСтупень3,ДоляФКРоялти3,IF(AO$5&gt;=ДатаФКСтупень2,ДоляФКРоялти2,ДоляФКРоялти)))</f>
        <v/>
      </c>
      <c r="AQ49" s="87">
        <f>IF(ЛагОплатыФК=0,'05_Расходы'!AQ47+'05_Расходы'!AQ49+AQ41/(1+НДС)*IF(AQ$5&gt;=ДатаФКСтупень3,ДоляФКРоялти3,IF(AQ$5&gt;=ДатаФКСтупень2,ДоляФКРоялти2,ДоляФКРоялти)),'05_Расходы'!AP47+'05_Расходы'!AP49+AP41/(1+НДС)*IF(AP$5&gt;=ДатаФКСтупень3,ДоляФКРоялти3,IF(AP$5&gt;=ДатаФКСтупень2,ДоляФКРоялти2,ДоляФКРоялти)))</f>
        <v/>
      </c>
      <c r="AR49" s="87">
        <f>IF(ЛагОплатыФК=0,'05_Расходы'!AR47+'05_Расходы'!AR49+AR41/(1+НДС)*IF(AR$5&gt;=ДатаФКСтупень3,ДоляФКРоялти3,IF(AR$5&gt;=ДатаФКСтупень2,ДоляФКРоялти2,ДоляФКРоялти)),'05_Расходы'!AQ47+'05_Расходы'!AQ49+AQ41/(1+НДС)*IF(AQ$5&gt;=ДатаФКСтупень3,ДоляФКРоялти3,IF(AQ$5&gt;=ДатаФКСтупень2,ДоляФКРоялти2,ДоляФКРоялти)))</f>
        <v/>
      </c>
      <c r="AS49" s="87">
        <f>IF(ЛагОплатыФК=0,'05_Расходы'!AS47+'05_Расходы'!AS49+AS41/(1+НДС)*IF(AS$5&gt;=ДатаФКСтупень3,ДоляФКРоялти3,IF(AS$5&gt;=ДатаФКСтупень2,ДоляФКРоялти2,ДоляФКРоялти)),'05_Расходы'!AR47+'05_Расходы'!AR49+AR41/(1+НДС)*IF(AR$5&gt;=ДатаФКСтупень3,ДоляФКРоялти3,IF(AR$5&gt;=ДатаФКСтупень2,ДоляФКРоялти2,ДоляФКРоялти)))</f>
        <v/>
      </c>
      <c r="AT49" s="87">
        <f>IF(ЛагОплатыФК=0,'05_Расходы'!AT47+'05_Расходы'!AT49+AT41/(1+НДС)*IF(AT$5&gt;=ДатаФКСтупень3,ДоляФКРоялти3,IF(AT$5&gt;=ДатаФКСтупень2,ДоляФКРоялти2,ДоляФКРоялти)),'05_Расходы'!AS47+'05_Расходы'!AS49+AS41/(1+НДС)*IF(AS$5&gt;=ДатаФКСтупень3,ДоляФКРоялти3,IF(AS$5&gt;=ДатаФКСтупень2,ДоляФКРоялти2,ДоляФКРоялти)))</f>
        <v/>
      </c>
      <c r="AU49" s="87">
        <f>IF(ЛагОплатыФК=0,'05_Расходы'!AU47+'05_Расходы'!AU49+AU41/(1+НДС)*IF(AU$5&gt;=ДатаФКСтупень3,ДоляФКРоялти3,IF(AU$5&gt;=ДатаФКСтупень2,ДоляФКРоялти2,ДоляФКРоялти)),'05_Расходы'!AT47+'05_Расходы'!AT49+AT41/(1+НДС)*IF(AT$5&gt;=ДатаФКСтупень3,ДоляФКРоялти3,IF(AT$5&gt;=ДатаФКСтупень2,ДоляФКРоялти2,ДоляФКРоялти)))</f>
        <v/>
      </c>
      <c r="AV49" s="87">
        <f>IF(ЛагОплатыФК=0,'05_Расходы'!AV47+'05_Расходы'!AV49+AV41/(1+НДС)*IF(AV$5&gt;=ДатаФКСтупень3,ДоляФКРоялти3,IF(AV$5&gt;=ДатаФКСтупень2,ДоляФКРоялти2,ДоляФКРоялти)),'05_Расходы'!AU47+'05_Расходы'!AU49+AU41/(1+НДС)*IF(AU$5&gt;=ДатаФКСтупень3,ДоляФКРоялти3,IF(AU$5&gt;=ДатаФКСтупень2,ДоляФКРоялти2,ДоляФКРоялти)))</f>
        <v/>
      </c>
      <c r="AW49" s="87">
        <f>IF(ЛагОплатыФК=0,'05_Расходы'!AW47+'05_Расходы'!AW49+AW41/(1+НДС)*IF(AW$5&gt;=ДатаФКСтупень3,ДоляФКРоялти3,IF(AW$5&gt;=ДатаФКСтупень2,ДоляФКРоялти2,ДоляФКРоялти)),'05_Расходы'!AV47+'05_Расходы'!AV49+AV41/(1+НДС)*IF(AV$5&gt;=ДатаФКСтупень3,ДоляФКРоялти3,IF(AV$5&gt;=ДатаФКСтупень2,ДоляФКРоялти2,ДоляФКРоялти)))</f>
        <v/>
      </c>
      <c r="AX49" s="87">
        <f>IF(ЛагОплатыФК=0,'05_Расходы'!AX47+'05_Расходы'!AX49+AX41/(1+НДС)*IF(AX$5&gt;=ДатаФКСтупень3,ДоляФКРоялти3,IF(AX$5&gt;=ДатаФКСтупень2,ДоляФКРоялти2,ДоляФКРоялти)),'05_Расходы'!AW47+'05_Расходы'!AW49+AW41/(1+НДС)*IF(AW$5&gt;=ДатаФКСтупень3,ДоляФКРоялти3,IF(AW$5&gt;=ДатаФКСтупень2,ДоляФКРоялти2,ДоляФКРоялти)))</f>
        <v/>
      </c>
      <c r="AY49" s="87">
        <f>IF(ЛагОплатыФК=0,'05_Расходы'!AY47+'05_Расходы'!AY49+AY41/(1+НДС)*IF(AY$5&gt;=ДатаФКСтупень3,ДоляФКРоялти3,IF(AY$5&gt;=ДатаФКСтупень2,ДоляФКРоялти2,ДоляФКРоялти)),'05_Расходы'!AX47+'05_Расходы'!AX49+AX41/(1+НДС)*IF(AX$5&gt;=ДатаФКСтупень3,ДоляФКРоялти3,IF(AX$5&gt;=ДатаФКСтупень2,ДоляФКРоялти2,ДоляФКРоялти)))</f>
        <v/>
      </c>
      <c r="AZ49" s="87">
        <f>IF(ЛагОплатыФК=0,'05_Расходы'!AZ47+'05_Расходы'!AZ49+AZ41/(1+НДС)*IF(AZ$5&gt;=ДатаФКСтупень3,ДоляФКРоялти3,IF(AZ$5&gt;=ДатаФКСтупень2,ДоляФКРоялти2,ДоляФКРоялти)),'05_Расходы'!AY47+'05_Расходы'!AY49+AY41/(1+НДС)*IF(AY$5&gt;=ДатаФКСтупень3,ДоляФКРоялти3,IF(AY$5&gt;=ДатаФКСтупень2,ДоляФКРоялти2,ДоляФКРоялти)))</f>
        <v/>
      </c>
      <c r="BA49" s="87">
        <f>IF(ЛагОплатыФК=0,'05_Расходы'!BA47+'05_Расходы'!BA49+BA41/(1+НДС)*IF(BA$5&gt;=ДатаФКСтупень3,ДоляФКРоялти3,IF(BA$5&gt;=ДатаФКСтупень2,ДоляФКРоялти2,ДоляФКРоялти)),'05_Расходы'!AZ47+'05_Расходы'!AZ49+AZ41/(1+НДС)*IF(AZ$5&gt;=ДатаФКСтупень3,ДоляФКРоялти3,IF(AZ$5&gt;=ДатаФКСтупень2,ДоляФКРоялти2,ДоляФКРоялти)))</f>
        <v/>
      </c>
      <c r="BB49" s="87">
        <f>IF(ЛагОплатыФК=0,'05_Расходы'!BB47+'05_Расходы'!BB49+BB41/(1+НДС)*IF(BB$5&gt;=ДатаФКСтупень3,ДоляФКРоялти3,IF(BB$5&gt;=ДатаФКСтупень2,ДоляФКРоялти2,ДоляФКРоялти)),'05_Расходы'!BA47+'05_Расходы'!BA49+BA41/(1+НДС)*IF(BA$5&gt;=ДатаФКСтупень3,ДоляФКРоялти3,IF(BA$5&gt;=ДатаФКСтупень2,ДоляФКРоялти2,ДоляФКРоялти)))</f>
        <v/>
      </c>
      <c r="BC49" s="87">
        <f>IF(ЛагОплатыФК=0,'05_Расходы'!BC47+'05_Расходы'!BC49+BC41/(1+НДС)*IF(BC$5&gt;=ДатаФКСтупень3,ДоляФКРоялти3,IF(BC$5&gt;=ДатаФКСтупень2,ДоляФКРоялти2,ДоляФКРоялти)),'05_Расходы'!BB47+'05_Расходы'!BB49+BB41/(1+НДС)*IF(BB$5&gt;=ДатаФКСтупень3,ДоляФКРоялти3,IF(BB$5&gt;=ДатаФКСтупень2,ДоляФКРоялти2,ДоляФКРоялти)))</f>
        <v/>
      </c>
      <c r="BD49" s="87">
        <f>IF(ЛагОплатыФК=0,'05_Расходы'!BD47+'05_Расходы'!BD49+BD41/(1+НДС)*IF(BD$5&gt;=ДатаФКСтупень3,ДоляФКРоялти3,IF(BD$5&gt;=ДатаФКСтупень2,ДоляФКРоялти2,ДоляФКРоялти)),'05_Расходы'!BC47+'05_Расходы'!BC49+BC41/(1+НДС)*IF(BC$5&gt;=ДатаФКСтупень3,ДоляФКРоялти3,IF(BC$5&gt;=ДатаФКСтупень2,ДоляФКРоялти2,ДоляФКРоялти)))</f>
        <v/>
      </c>
      <c r="BE49" s="87">
        <f>IF(ЛагОплатыФК=0,'05_Расходы'!BE47+'05_Расходы'!BE49+BE41/(1+НДС)*IF(BE$5&gt;=ДатаФКСтупень3,ДоляФКРоялти3,IF(BE$5&gt;=ДатаФКСтупень2,ДоляФКРоялти2,ДоляФКРоялти)),'05_Расходы'!BD47+'05_Расходы'!BD49+BD41/(1+НДС)*IF(BD$5&gt;=ДатаФКСтупень3,ДоляФКРоялти3,IF(BD$5&gt;=ДатаФКСтупень2,ДоляФКРоялти2,ДоляФКРоялти)))</f>
        <v/>
      </c>
      <c r="BF49" s="87">
        <f>IF(ЛагОплатыФК=0,'05_Расходы'!BF47+'05_Расходы'!BF49+BF41/(1+НДС)*IF(BF$5&gt;=ДатаФКСтупень3,ДоляФКРоялти3,IF(BF$5&gt;=ДатаФКСтупень2,ДоляФКРоялти2,ДоляФКРоялти)),'05_Расходы'!BE47+'05_Расходы'!BE49+BE41/(1+НДС)*IF(BE$5&gt;=ДатаФКСтупень3,ДоляФКРоялти3,IF(BE$5&gt;=ДатаФКСтупень2,ДоляФКРоялти2,ДоляФКРоялти)))</f>
        <v/>
      </c>
      <c r="BG49" s="87">
        <f>IF(ЛагОплатыФК=0,'05_Расходы'!BG47+'05_Расходы'!BG49+BG41/(1+НДС)*IF(BG$5&gt;=ДатаФКСтупень3,ДоляФКРоялти3,IF(BG$5&gt;=ДатаФКСтупень2,ДоляФКРоялти2,ДоляФКРоялти)),'05_Расходы'!BF47+'05_Расходы'!BF49+BF41/(1+НДС)*IF(BF$5&gt;=ДатаФКСтупень3,ДоляФКРоялти3,IF(BF$5&gt;=ДатаФКСтупень2,ДоляФКРоялти2,ДоляФКРоялти)))</f>
        <v/>
      </c>
      <c r="BH49" s="87">
        <f>IF(ЛагОплатыФК=0,'05_Расходы'!BH47+'05_Расходы'!BH49+BH41/(1+НДС)*IF(BH$5&gt;=ДатаФКСтупень3,ДоляФКРоялти3,IF(BH$5&gt;=ДатаФКСтупень2,ДоляФКРоялти2,ДоляФКРоялти)),'05_Расходы'!BG47+'05_Расходы'!BG49+BG41/(1+НДС)*IF(BG$5&gt;=ДатаФКСтупень3,ДоляФКРоялти3,IF(BG$5&gt;=ДатаФКСтупень2,ДоляФКРоялти2,ДоляФКРоялти)))</f>
        <v/>
      </c>
      <c r="BI49" s="87">
        <f>IF(ЛагОплатыФК=0,'05_Расходы'!BI47+'05_Расходы'!BI49+BI41/(1+НДС)*IF(BI$5&gt;=ДатаФКСтупень3,ДоляФКРоялти3,IF(BI$5&gt;=ДатаФКСтупень2,ДоляФКРоялти2,ДоляФКРоялти)),'05_Расходы'!BH47+'05_Расходы'!BH49+BH41/(1+НДС)*IF(BH$5&gt;=ДатаФКСтупень3,ДоляФКРоялти3,IF(BH$5&gt;=ДатаФКСтупень2,ДоляФКРоялти2,ДоляФКРоялти)))</f>
        <v/>
      </c>
      <c r="BJ49" s="87">
        <f>IF(ЛагОплатыФК=0,'05_Расходы'!BJ47+'05_Расходы'!BJ49+BJ41/(1+НДС)*IF(BJ$5&gt;=ДатаФКСтупень3,ДоляФКРоялти3,IF(BJ$5&gt;=ДатаФКСтупень2,ДоляФКРоялти2,ДоляФКРоялти)),'05_Расходы'!BI47+'05_Расходы'!BI49+BI41/(1+НДС)*IF(BI$5&gt;=ДатаФКСтупень3,ДоляФКРоялти3,IF(BI$5&gt;=ДатаФКСтупень2,ДоляФКРоялти2,ДоляФКРоялти)))</f>
        <v/>
      </c>
      <c r="BK49" s="87">
        <f>IF(ЛагОплатыФК=0,'05_Расходы'!BK47+'05_Расходы'!BK49+BK41/(1+НДС)*IF(BK$5&gt;=ДатаФКСтупень3,ДоляФКРоялти3,IF(BK$5&gt;=ДатаФКСтупень2,ДоляФКРоялти2,ДоляФКРоялти)),'05_Расходы'!BJ47+'05_Расходы'!BJ49+BJ41/(1+НДС)*IF(BJ$5&gt;=ДатаФКСтупень3,ДоляФКРоялти3,IF(BJ$5&gt;=ДатаФКСтупень2,ДоляФКРоялти2,ДоляФКРоялти)))</f>
        <v/>
      </c>
      <c r="BL49" s="87">
        <f>IF(ЛагОплатыФК=0,'05_Расходы'!BL47+'05_Расходы'!BL49+BL41/(1+НДС)*IF(BL$5&gt;=ДатаФКСтупень3,ДоляФКРоялти3,IF(BL$5&gt;=ДатаФКСтупень2,ДоляФКРоялти2,ДоляФКРоялти)),'05_Расходы'!BK47+'05_Расходы'!BK49+BK41/(1+НДС)*IF(BK$5&gt;=ДатаФКСтупень3,ДоляФКРоялти3,IF(BK$5&gt;=ДатаФКСтупень2,ДоляФКРоялти2,ДоляФКРоялти)))</f>
        <v/>
      </c>
      <c r="BM49" s="87">
        <f>IF(ЛагОплатыФК=0,'05_Расходы'!BM47+'05_Расходы'!BM49+BM41/(1+НДС)*IF(BM$5&gt;=ДатаФКСтупень3,ДоляФКРоялти3,IF(BM$5&gt;=ДатаФКСтупень2,ДоляФКРоялти2,ДоляФКРоялти)),'05_Расходы'!BL47+'05_Расходы'!BL49+BL41/(1+НДС)*IF(BL$5&gt;=ДатаФКСтупень3,ДоляФКРоялти3,IF(BL$5&gt;=ДатаФКСтупень2,ДоляФКРоялти2,ДоляФКРоялти)))</f>
        <v/>
      </c>
      <c r="BN49" s="87">
        <f>IF(ЛагОплатыФК=0,'05_Расходы'!BN47+'05_Расходы'!BN49+BN41/(1+НДС)*IF(BN$5&gt;=ДатаФКСтупень3,ДоляФКРоялти3,IF(BN$5&gt;=ДатаФКСтупень2,ДоляФКРоялти2,ДоляФКРоялти)),'05_Расходы'!BM47+'05_Расходы'!BM49+BM41/(1+НДС)*IF(BM$5&gt;=ДатаФКСтупень3,ДоляФКРоялти3,IF(BM$5&gt;=ДатаФКСтупень2,ДоляФКРоялти2,ДоляФКРоялти)))</f>
        <v/>
      </c>
      <c r="BO49" s="87">
        <f>IF(ЛагОплатыФК=0,'05_Расходы'!BO47+'05_Расходы'!BO49+BO41/(1+НДС)*IF(BO$5&gt;=ДатаФКСтупень3,ДоляФКРоялти3,IF(BO$5&gt;=ДатаФКСтупень2,ДоляФКРоялти2,ДоляФКРоялти)),'05_Расходы'!BN47+'05_Расходы'!BN49+BN41/(1+НДС)*IF(BN$5&gt;=ДатаФКСтупень3,ДоляФКРоялти3,IF(BN$5&gt;=ДатаФКСтупень2,ДоляФКРоялти2,ДоляФКРоялти)))</f>
        <v/>
      </c>
      <c r="BP49" s="87">
        <f>IF(ЛагОплатыФК=0,'05_Расходы'!BP47+'05_Расходы'!BP49+BP41/(1+НДС)*IF(BP$5&gt;=ДатаФКСтупень3,ДоляФКРоялти3,IF(BP$5&gt;=ДатаФКСтупень2,ДоляФКРоялти2,ДоляФКРоялти)),'05_Расходы'!BO47+'05_Расходы'!BO49+BO41/(1+НДС)*IF(BO$5&gt;=ДатаФКСтупень3,ДоляФКРоялти3,IF(BO$5&gt;=ДатаФКСтупень2,ДоляФКРоялти2,ДоляФКРоялти)))</f>
        <v/>
      </c>
      <c r="BQ49" s="87">
        <f>IF(ЛагОплатыФК=0,'05_Расходы'!BQ47+'05_Расходы'!BQ49+BQ41/(1+НДС)*IF(BQ$5&gt;=ДатаФКСтупень3,ДоляФКРоялти3,IF(BQ$5&gt;=ДатаФКСтупень2,ДоляФКРоялти2,ДоляФКРоялти)),'05_Расходы'!BP47+'05_Расходы'!BP49+BP41/(1+НДС)*IF(BP$5&gt;=ДатаФКСтупень3,ДоляФКРоялти3,IF(BP$5&gt;=ДатаФКСтупень2,ДоляФКРоялти2,ДоляФКРоялти)))</f>
        <v/>
      </c>
      <c r="BR49" s="87">
        <f>IF(ЛагОплатыФК=0,'05_Расходы'!BR47+'05_Расходы'!BR49+BR41/(1+НДС)*IF(BR$5&gt;=ДатаФКСтупень3,ДоляФКРоялти3,IF(BR$5&gt;=ДатаФКСтупень2,ДоляФКРоялти2,ДоляФКРоялти)),'05_Расходы'!BQ47+'05_Расходы'!BQ49+BQ41/(1+НДС)*IF(BQ$5&gt;=ДатаФКСтупень3,ДоляФКРоялти3,IF(BQ$5&gt;=ДатаФКСтупень2,ДоляФКРоялти2,ДоляФКРоялти)))</f>
        <v/>
      </c>
      <c r="BS49" s="87">
        <f>IF(ЛагОплатыФК=0,'05_Расходы'!BS47+'05_Расходы'!BS49+BS41/(1+НДС)*IF(BS$5&gt;=ДатаФКСтупень3,ДоляФКРоялти3,IF(BS$5&gt;=ДатаФКСтупень2,ДоляФКРоялти2,ДоляФКРоялти)),'05_Расходы'!BR47+'05_Расходы'!BR49+BR41/(1+НДС)*IF(BR$5&gt;=ДатаФКСтупень3,ДоляФКРоялти3,IF(BR$5&gt;=ДатаФКСтупень2,ДоляФКРоялти2,ДоляФКРоялти)))</f>
        <v/>
      </c>
      <c r="BT49" s="87">
        <f>IF(ЛагОплатыФК=0,'05_Расходы'!BT47+'05_Расходы'!BT49+BT41/(1+НДС)*IF(BT$5&gt;=ДатаФКСтупень3,ДоляФКРоялти3,IF(BT$5&gt;=ДатаФКСтупень2,ДоляФКРоялти2,ДоляФКРоялти)),'05_Расходы'!BS47+'05_Расходы'!BS49+BS41/(1+НДС)*IF(BS$5&gt;=ДатаФКСтупень3,ДоляФКРоялти3,IF(BS$5&gt;=ДатаФКСтупень2,ДоляФКРоялти2,ДоляФКРоялти)))</f>
        <v/>
      </c>
      <c r="BU49" s="87">
        <f>IF(ЛагОплатыФК=0,'05_Расходы'!BU47+'05_Расходы'!BU49+BU41/(1+НДС)*IF(BU$5&gt;=ДатаФКСтупень3,ДоляФКРоялти3,IF(BU$5&gt;=ДатаФКСтупень2,ДоляФКРоялти2,ДоляФКРоялти)),'05_Расходы'!BT47+'05_Расходы'!BT49+BT41/(1+НДС)*IF(BT$5&gt;=ДатаФКСтупень3,ДоляФКРоялти3,IF(BT$5&gt;=ДатаФКСтупень2,ДоляФКРоялти2,ДоляФКРоялти)))</f>
        <v/>
      </c>
      <c r="BV49" s="87">
        <f>IF(ЛагОплатыФК=0,'05_Расходы'!BV47+'05_Расходы'!BV49+BV41/(1+НДС)*IF(BV$5&gt;=ДатаФКСтупень3,ДоляФКРоялти3,IF(BV$5&gt;=ДатаФКСтупень2,ДоляФКРоялти2,ДоляФКРоялти)),'05_Расходы'!BU47+'05_Расходы'!BU49+BU41/(1+НДС)*IF(BU$5&gt;=ДатаФКСтупень3,ДоляФКРоялти3,IF(BU$5&gt;=ДатаФКСтупень2,ДоляФКРоялти2,ДоляФКРоялти)))</f>
        <v/>
      </c>
      <c r="BW49" s="87">
        <f>IF(ЛагОплатыФК=0,'05_Расходы'!BW47+'05_Расходы'!BW49+BW41/(1+НДС)*IF(BW$5&gt;=ДатаФКСтупень3,ДоляФКРоялти3,IF(BW$5&gt;=ДатаФКСтупень2,ДоляФКРоялти2,ДоляФКРоялти)),'05_Расходы'!BV47+'05_Расходы'!BV49+BV41/(1+НДС)*IF(BV$5&gt;=ДатаФКСтупень3,ДоляФКРоялти3,IF(BV$5&gt;=ДатаФКСтупень2,ДоляФКРоялти2,ДоляФКРоялти)))</f>
        <v/>
      </c>
      <c r="BX49" s="87">
        <f>IF(ЛагОплатыФК=0,'05_Расходы'!BX47+'05_Расходы'!BX49+BX41/(1+НДС)*IF(BX$5&gt;=ДатаФКСтупень3,ДоляФКРоялти3,IF(BX$5&gt;=ДатаФКСтупень2,ДоляФКРоялти2,ДоляФКРоялти)),'05_Расходы'!BW47+'05_Расходы'!BW49+BW41/(1+НДС)*IF(BW$5&gt;=ДатаФКСтупень3,ДоляФКРоялти3,IF(BW$5&gt;=ДатаФКСтупень2,ДоляФКРоялти2,ДоляФКРоялти)))</f>
        <v/>
      </c>
      <c r="BY49" s="87">
        <f>IF(ЛагОплатыФК=0,'05_Расходы'!BY47+'05_Расходы'!BY49+BY41/(1+НДС)*IF(BY$5&gt;=ДатаФКСтупень3,ДоляФКРоялти3,IF(BY$5&gt;=ДатаФКСтупень2,ДоляФКРоялти2,ДоляФКРоялти)),'05_Расходы'!BX47+'05_Расходы'!BX49+BX41/(1+НДС)*IF(BX$5&gt;=ДатаФКСтупень3,ДоляФКРоялти3,IF(BX$5&gt;=ДатаФКСтупень2,ДоляФКРоялти2,ДоляФКРоялти)))</f>
        <v/>
      </c>
    </row>
    <row r="50" ht="15.75" customHeight="1" s="194">
      <c r="B50" s="56" t="inlineStr">
        <is>
          <t>Оплата: НДС</t>
        </is>
      </c>
      <c r="C50" s="56" t="inlineStr">
        <is>
          <t>₽</t>
        </is>
      </c>
      <c r="D50" s="57" t="n"/>
      <c r="E50" s="85">
        <f>SUM(L50:W50)</f>
        <v/>
      </c>
      <c r="F50" s="85">
        <f>SUM(X50:AI50)</f>
        <v/>
      </c>
      <c r="G50" s="85">
        <f>SUM(AJ50:AU50)</f>
        <v/>
      </c>
      <c r="H50" s="85">
        <f>SUM(AV50:BG50)</f>
        <v/>
      </c>
      <c r="I50" s="85">
        <f>SUM(BH50:BS50)</f>
        <v/>
      </c>
      <c r="J50" s="86">
        <f>SUM(L50:BS50)</f>
        <v/>
      </c>
      <c r="L50" s="87">
        <f>'06_Деньги'!L25</f>
        <v/>
      </c>
      <c r="M50" s="87">
        <f>'06_Деньги'!M25</f>
        <v/>
      </c>
      <c r="N50" s="87">
        <f>'06_Деньги'!N25</f>
        <v/>
      </c>
      <c r="O50" s="87">
        <f>'06_Деньги'!O25</f>
        <v/>
      </c>
      <c r="P50" s="87">
        <f>'06_Деньги'!P25</f>
        <v/>
      </c>
      <c r="Q50" s="87">
        <f>'06_Деньги'!Q25</f>
        <v/>
      </c>
      <c r="R50" s="87">
        <f>'06_Деньги'!R25</f>
        <v/>
      </c>
      <c r="S50" s="87">
        <f>'06_Деньги'!S25</f>
        <v/>
      </c>
      <c r="T50" s="87">
        <f>'06_Деньги'!T25</f>
        <v/>
      </c>
      <c r="U50" s="87">
        <f>'06_Деньги'!U25</f>
        <v/>
      </c>
      <c r="V50" s="87">
        <f>'06_Деньги'!V25</f>
        <v/>
      </c>
      <c r="W50" s="87">
        <f>'06_Деньги'!W25</f>
        <v/>
      </c>
      <c r="X50" s="87">
        <f>'06_Деньги'!X25</f>
        <v/>
      </c>
      <c r="Y50" s="87">
        <f>'06_Деньги'!Y25</f>
        <v/>
      </c>
      <c r="Z50" s="87">
        <f>'06_Деньги'!Z25</f>
        <v/>
      </c>
      <c r="AA50" s="87">
        <f>'06_Деньги'!AA25</f>
        <v/>
      </c>
      <c r="AB50" s="87">
        <f>'06_Деньги'!AB25</f>
        <v/>
      </c>
      <c r="AC50" s="87">
        <f>'06_Деньги'!AC25</f>
        <v/>
      </c>
      <c r="AD50" s="87">
        <f>'06_Деньги'!AD25</f>
        <v/>
      </c>
      <c r="AE50" s="87">
        <f>'06_Деньги'!AE25</f>
        <v/>
      </c>
      <c r="AF50" s="87">
        <f>'06_Деньги'!AF25</f>
        <v/>
      </c>
      <c r="AG50" s="87">
        <f>'06_Деньги'!AG25</f>
        <v/>
      </c>
      <c r="AH50" s="87">
        <f>'06_Деньги'!AH25</f>
        <v/>
      </c>
      <c r="AI50" s="87">
        <f>'06_Деньги'!AI25</f>
        <v/>
      </c>
      <c r="AJ50" s="87">
        <f>'06_Деньги'!AJ25</f>
        <v/>
      </c>
      <c r="AK50" s="87">
        <f>'06_Деньги'!AK25</f>
        <v/>
      </c>
      <c r="AL50" s="87">
        <f>'06_Деньги'!AL25</f>
        <v/>
      </c>
      <c r="AM50" s="87">
        <f>'06_Деньги'!AM25</f>
        <v/>
      </c>
      <c r="AN50" s="87">
        <f>'06_Деньги'!AN25</f>
        <v/>
      </c>
      <c r="AO50" s="87">
        <f>'06_Деньги'!AO25</f>
        <v/>
      </c>
      <c r="AP50" s="87">
        <f>'06_Деньги'!AP25</f>
        <v/>
      </c>
      <c r="AQ50" s="87">
        <f>'06_Деньги'!AQ25</f>
        <v/>
      </c>
      <c r="AR50" s="87">
        <f>'06_Деньги'!AR25</f>
        <v/>
      </c>
      <c r="AS50" s="87">
        <f>'06_Деньги'!AS25</f>
        <v/>
      </c>
      <c r="AT50" s="87">
        <f>'06_Деньги'!AT25</f>
        <v/>
      </c>
      <c r="AU50" s="87">
        <f>'06_Деньги'!AU25</f>
        <v/>
      </c>
      <c r="AV50" s="87">
        <f>'06_Деньги'!AV25</f>
        <v/>
      </c>
      <c r="AW50" s="87">
        <f>'06_Деньги'!AW25</f>
        <v/>
      </c>
      <c r="AX50" s="87">
        <f>'06_Деньги'!AX25</f>
        <v/>
      </c>
      <c r="AY50" s="87">
        <f>'06_Деньги'!AY25</f>
        <v/>
      </c>
      <c r="AZ50" s="87">
        <f>'06_Деньги'!AZ25</f>
        <v/>
      </c>
      <c r="BA50" s="87">
        <f>'06_Деньги'!BA25</f>
        <v/>
      </c>
      <c r="BB50" s="87">
        <f>'06_Деньги'!BB25</f>
        <v/>
      </c>
      <c r="BC50" s="87">
        <f>'06_Деньги'!BC25</f>
        <v/>
      </c>
      <c r="BD50" s="87">
        <f>'06_Деньги'!BD25</f>
        <v/>
      </c>
      <c r="BE50" s="87">
        <f>'06_Деньги'!BE25</f>
        <v/>
      </c>
      <c r="BF50" s="87">
        <f>'06_Деньги'!BF25</f>
        <v/>
      </c>
      <c r="BG50" s="87">
        <f>'06_Деньги'!BG25</f>
        <v/>
      </c>
      <c r="BH50" s="87">
        <f>'06_Деньги'!BH25</f>
        <v/>
      </c>
      <c r="BI50" s="87">
        <f>'06_Деньги'!BI25</f>
        <v/>
      </c>
      <c r="BJ50" s="87">
        <f>'06_Деньги'!BJ25</f>
        <v/>
      </c>
      <c r="BK50" s="87">
        <f>'06_Деньги'!BK25</f>
        <v/>
      </c>
      <c r="BL50" s="87">
        <f>'06_Деньги'!BL25</f>
        <v/>
      </c>
      <c r="BM50" s="87">
        <f>'06_Деньги'!BM25</f>
        <v/>
      </c>
      <c r="BN50" s="87">
        <f>'06_Деньги'!BN25</f>
        <v/>
      </c>
      <c r="BO50" s="87">
        <f>'06_Деньги'!BO25</f>
        <v/>
      </c>
      <c r="BP50" s="87">
        <f>'06_Деньги'!BP25</f>
        <v/>
      </c>
      <c r="BQ50" s="87">
        <f>'06_Деньги'!BQ25</f>
        <v/>
      </c>
      <c r="BR50" s="87">
        <f>'06_Деньги'!BR25</f>
        <v/>
      </c>
      <c r="BS50" s="87">
        <f>'06_Деньги'!BS25</f>
        <v/>
      </c>
      <c r="BT50" s="87">
        <f>'06_Деньги'!BT25</f>
        <v/>
      </c>
      <c r="BU50" s="87">
        <f>'06_Деньги'!BU25</f>
        <v/>
      </c>
      <c r="BV50" s="87">
        <f>'06_Деньги'!BV25</f>
        <v/>
      </c>
      <c r="BW50" s="87">
        <f>'06_Деньги'!BW25</f>
        <v/>
      </c>
      <c r="BX50" s="87">
        <f>'06_Деньги'!BX25</f>
        <v/>
      </c>
      <c r="BY50" s="87">
        <f>'06_Деньги'!BY25</f>
        <v/>
      </c>
    </row>
    <row r="51" ht="15.75" customHeight="1" s="194">
      <c r="B51" s="56" t="inlineStr">
        <is>
          <t>Оплата: УСН</t>
        </is>
      </c>
      <c r="C51" s="56" t="inlineStr">
        <is>
          <t>₽</t>
        </is>
      </c>
      <c r="D51" s="57" t="n"/>
      <c r="E51" s="85">
        <f>SUM(L51:W51)</f>
        <v/>
      </c>
      <c r="F51" s="85">
        <f>SUM(X51:AI51)</f>
        <v/>
      </c>
      <c r="G51" s="85">
        <f>SUM(AJ51:AU51)</f>
        <v/>
      </c>
      <c r="H51" s="85">
        <f>SUM(AV51:BG51)</f>
        <v/>
      </c>
      <c r="I51" s="85">
        <f>SUM(BH51:BS51)</f>
        <v/>
      </c>
      <c r="J51" s="86">
        <f>SUM(L51:BS51)</f>
        <v/>
      </c>
      <c r="L51" s="87">
        <f>'06_Деньги'!L24</f>
        <v/>
      </c>
      <c r="M51" s="87">
        <f>'06_Деньги'!M24</f>
        <v/>
      </c>
      <c r="N51" s="87">
        <f>'06_Деньги'!N24</f>
        <v/>
      </c>
      <c r="O51" s="87">
        <f>'06_Деньги'!O24</f>
        <v/>
      </c>
      <c r="P51" s="87">
        <f>'06_Деньги'!P24</f>
        <v/>
      </c>
      <c r="Q51" s="87">
        <f>'06_Деньги'!Q24</f>
        <v/>
      </c>
      <c r="R51" s="87">
        <f>'06_Деньги'!R24</f>
        <v/>
      </c>
      <c r="S51" s="87">
        <f>'06_Деньги'!S24</f>
        <v/>
      </c>
      <c r="T51" s="87">
        <f>'06_Деньги'!T24</f>
        <v/>
      </c>
      <c r="U51" s="87">
        <f>'06_Деньги'!U24</f>
        <v/>
      </c>
      <c r="V51" s="87">
        <f>'06_Деньги'!V24</f>
        <v/>
      </c>
      <c r="W51" s="87">
        <f>'06_Деньги'!W24</f>
        <v/>
      </c>
      <c r="X51" s="87">
        <f>'06_Деньги'!X24</f>
        <v/>
      </c>
      <c r="Y51" s="87">
        <f>'06_Деньги'!Y24</f>
        <v/>
      </c>
      <c r="Z51" s="87">
        <f>'06_Деньги'!Z24</f>
        <v/>
      </c>
      <c r="AA51" s="87">
        <f>'06_Деньги'!AA24</f>
        <v/>
      </c>
      <c r="AB51" s="87">
        <f>'06_Деньги'!AB24</f>
        <v/>
      </c>
      <c r="AC51" s="87">
        <f>'06_Деньги'!AC24</f>
        <v/>
      </c>
      <c r="AD51" s="87">
        <f>'06_Деньги'!AD24</f>
        <v/>
      </c>
      <c r="AE51" s="87">
        <f>'06_Деньги'!AE24</f>
        <v/>
      </c>
      <c r="AF51" s="87">
        <f>'06_Деньги'!AF24</f>
        <v/>
      </c>
      <c r="AG51" s="87">
        <f>'06_Деньги'!AG24</f>
        <v/>
      </c>
      <c r="AH51" s="87">
        <f>'06_Деньги'!AH24</f>
        <v/>
      </c>
      <c r="AI51" s="87">
        <f>'06_Деньги'!AI24</f>
        <v/>
      </c>
      <c r="AJ51" s="87">
        <f>'06_Деньги'!AJ24</f>
        <v/>
      </c>
      <c r="AK51" s="87">
        <f>'06_Деньги'!AK24</f>
        <v/>
      </c>
      <c r="AL51" s="87">
        <f>'06_Деньги'!AL24</f>
        <v/>
      </c>
      <c r="AM51" s="87">
        <f>'06_Деньги'!AM24</f>
        <v/>
      </c>
      <c r="AN51" s="87">
        <f>'06_Деньги'!AN24</f>
        <v/>
      </c>
      <c r="AO51" s="87">
        <f>'06_Деньги'!AO24</f>
        <v/>
      </c>
      <c r="AP51" s="87">
        <f>'06_Деньги'!AP24</f>
        <v/>
      </c>
      <c r="AQ51" s="87">
        <f>'06_Деньги'!AQ24</f>
        <v/>
      </c>
      <c r="AR51" s="87">
        <f>'06_Деньги'!AR24</f>
        <v/>
      </c>
      <c r="AS51" s="87">
        <f>'06_Деньги'!AS24</f>
        <v/>
      </c>
      <c r="AT51" s="87">
        <f>'06_Деньги'!AT24</f>
        <v/>
      </c>
      <c r="AU51" s="87">
        <f>'06_Деньги'!AU24</f>
        <v/>
      </c>
      <c r="AV51" s="87">
        <f>'06_Деньги'!AV24</f>
        <v/>
      </c>
      <c r="AW51" s="87">
        <f>'06_Деньги'!AW24</f>
        <v/>
      </c>
      <c r="AX51" s="87">
        <f>'06_Деньги'!AX24</f>
        <v/>
      </c>
      <c r="AY51" s="87">
        <f>'06_Деньги'!AY24</f>
        <v/>
      </c>
      <c r="AZ51" s="87">
        <f>'06_Деньги'!AZ24</f>
        <v/>
      </c>
      <c r="BA51" s="87">
        <f>'06_Деньги'!BA24</f>
        <v/>
      </c>
      <c r="BB51" s="87">
        <f>'06_Деньги'!BB24</f>
        <v/>
      </c>
      <c r="BC51" s="87">
        <f>'06_Деньги'!BC24</f>
        <v/>
      </c>
      <c r="BD51" s="87">
        <f>'06_Деньги'!BD24</f>
        <v/>
      </c>
      <c r="BE51" s="87">
        <f>'06_Деньги'!BE24</f>
        <v/>
      </c>
      <c r="BF51" s="87">
        <f>'06_Деньги'!BF24</f>
        <v/>
      </c>
      <c r="BG51" s="87">
        <f>'06_Деньги'!BG24</f>
        <v/>
      </c>
      <c r="BH51" s="87">
        <f>'06_Деньги'!BH24</f>
        <v/>
      </c>
      <c r="BI51" s="87">
        <f>'06_Деньги'!BI24</f>
        <v/>
      </c>
      <c r="BJ51" s="87">
        <f>'06_Деньги'!BJ24</f>
        <v/>
      </c>
      <c r="BK51" s="87">
        <f>'06_Деньги'!BK24</f>
        <v/>
      </c>
      <c r="BL51" s="87">
        <f>'06_Деньги'!BL24</f>
        <v/>
      </c>
      <c r="BM51" s="87">
        <f>'06_Деньги'!BM24</f>
        <v/>
      </c>
      <c r="BN51" s="87">
        <f>'06_Деньги'!BN24</f>
        <v/>
      </c>
      <c r="BO51" s="87">
        <f>'06_Деньги'!BO24</f>
        <v/>
      </c>
      <c r="BP51" s="87">
        <f>'06_Деньги'!BP24</f>
        <v/>
      </c>
      <c r="BQ51" s="87">
        <f>'06_Деньги'!BQ24</f>
        <v/>
      </c>
      <c r="BR51" s="87">
        <f>'06_Деньги'!BR24</f>
        <v/>
      </c>
      <c r="BS51" s="87">
        <f>'06_Деньги'!BS24</f>
        <v/>
      </c>
      <c r="BT51" s="87">
        <f>'06_Деньги'!BT24</f>
        <v/>
      </c>
      <c r="BU51" s="87">
        <f>'06_Деньги'!BU24</f>
        <v/>
      </c>
      <c r="BV51" s="87">
        <f>'06_Деньги'!BV24</f>
        <v/>
      </c>
      <c r="BW51" s="87">
        <f>'06_Деньги'!BW24</f>
        <v/>
      </c>
      <c r="BX51" s="87">
        <f>'06_Деньги'!BX24</f>
        <v/>
      </c>
      <c r="BY51" s="87">
        <f>'06_Деньги'!BY24</f>
        <v/>
      </c>
    </row>
    <row r="52" ht="15.75" customHeight="1" s="194">
      <c r="B52" s="56" t="inlineStr">
        <is>
          <t>Оплата: лагеря</t>
        </is>
      </c>
      <c r="C52" s="56" t="inlineStr">
        <is>
          <t>₽</t>
        </is>
      </c>
      <c r="D52" s="57" t="inlineStr">
        <is>
          <t>Блок отключён</t>
        </is>
      </c>
      <c r="E52" s="85">
        <f>SUM(L52:W52)</f>
        <v/>
      </c>
      <c r="F52" s="85">
        <f>SUM(X52:AI52)</f>
        <v/>
      </c>
      <c r="G52" s="85">
        <f>SUM(AJ52:AU52)</f>
        <v/>
      </c>
      <c r="H52" s="85">
        <f>SUM(AV52:BG52)</f>
        <v/>
      </c>
      <c r="I52" s="85">
        <f>SUM(BH52:BS52)</f>
        <v/>
      </c>
      <c r="J52" s="86">
        <f>SUM(L52:BS52)</f>
        <v/>
      </c>
      <c r="L52" s="87">
        <f>0</f>
        <v/>
      </c>
      <c r="M52" s="87">
        <f>0</f>
        <v/>
      </c>
      <c r="N52" s="87">
        <f>0</f>
        <v/>
      </c>
      <c r="O52" s="87">
        <f>0</f>
        <v/>
      </c>
      <c r="P52" s="87">
        <f>0</f>
        <v/>
      </c>
      <c r="Q52" s="87">
        <f>0</f>
        <v/>
      </c>
      <c r="R52" s="87">
        <f>0</f>
        <v/>
      </c>
      <c r="S52" s="87">
        <f>0</f>
        <v/>
      </c>
      <c r="T52" s="87">
        <f>0</f>
        <v/>
      </c>
      <c r="U52" s="87">
        <f>0</f>
        <v/>
      </c>
      <c r="V52" s="87">
        <f>0</f>
        <v/>
      </c>
      <c r="W52" s="87">
        <f>0</f>
        <v/>
      </c>
      <c r="X52" s="87">
        <f>0</f>
        <v/>
      </c>
      <c r="Y52" s="87">
        <f>0</f>
        <v/>
      </c>
      <c r="Z52" s="87">
        <f>0</f>
        <v/>
      </c>
      <c r="AA52" s="87">
        <f>0</f>
        <v/>
      </c>
      <c r="AB52" s="87">
        <f>0</f>
        <v/>
      </c>
      <c r="AC52" s="87">
        <f>0</f>
        <v/>
      </c>
      <c r="AD52" s="87">
        <f>0</f>
        <v/>
      </c>
      <c r="AE52" s="87">
        <f>0</f>
        <v/>
      </c>
      <c r="AF52" s="87">
        <f>0</f>
        <v/>
      </c>
      <c r="AG52" s="87">
        <f>0</f>
        <v/>
      </c>
      <c r="AH52" s="87">
        <f>0</f>
        <v/>
      </c>
      <c r="AI52" s="87">
        <f>0</f>
        <v/>
      </c>
      <c r="AJ52" s="87">
        <f>0</f>
        <v/>
      </c>
      <c r="AK52" s="87">
        <f>0</f>
        <v/>
      </c>
      <c r="AL52" s="87">
        <f>0</f>
        <v/>
      </c>
      <c r="AM52" s="87">
        <f>0</f>
        <v/>
      </c>
      <c r="AN52" s="87">
        <f>0</f>
        <v/>
      </c>
      <c r="AO52" s="87">
        <f>0</f>
        <v/>
      </c>
      <c r="AP52" s="87">
        <f>0</f>
        <v/>
      </c>
      <c r="AQ52" s="87">
        <f>0</f>
        <v/>
      </c>
      <c r="AR52" s="87">
        <f>0</f>
        <v/>
      </c>
      <c r="AS52" s="87">
        <f>0</f>
        <v/>
      </c>
      <c r="AT52" s="87">
        <f>0</f>
        <v/>
      </c>
      <c r="AU52" s="87">
        <f>0</f>
        <v/>
      </c>
      <c r="AV52" s="87">
        <f>0</f>
        <v/>
      </c>
      <c r="AW52" s="87">
        <f>0</f>
        <v/>
      </c>
      <c r="AX52" s="87">
        <f>0</f>
        <v/>
      </c>
      <c r="AY52" s="87">
        <f>0</f>
        <v/>
      </c>
      <c r="AZ52" s="87">
        <f>0</f>
        <v/>
      </c>
      <c r="BA52" s="87">
        <f>0</f>
        <v/>
      </c>
      <c r="BB52" s="87">
        <f>0</f>
        <v/>
      </c>
      <c r="BC52" s="87">
        <f>0</f>
        <v/>
      </c>
      <c r="BD52" s="87">
        <f>0</f>
        <v/>
      </c>
      <c r="BE52" s="87">
        <f>0</f>
        <v/>
      </c>
      <c r="BF52" s="87">
        <f>0</f>
        <v/>
      </c>
      <c r="BG52" s="87">
        <f>0</f>
        <v/>
      </c>
      <c r="BH52" s="87">
        <f>0</f>
        <v/>
      </c>
      <c r="BI52" s="87">
        <f>0</f>
        <v/>
      </c>
      <c r="BJ52" s="87">
        <f>0</f>
        <v/>
      </c>
      <c r="BK52" s="87">
        <f>0</f>
        <v/>
      </c>
      <c r="BL52" s="87">
        <f>0</f>
        <v/>
      </c>
      <c r="BM52" s="87">
        <f>0</f>
        <v/>
      </c>
      <c r="BN52" s="87">
        <f>0</f>
        <v/>
      </c>
      <c r="BO52" s="87">
        <f>0</f>
        <v/>
      </c>
      <c r="BP52" s="87">
        <f>0</f>
        <v/>
      </c>
      <c r="BQ52" s="87">
        <f>0</f>
        <v/>
      </c>
      <c r="BR52" s="87">
        <f>0</f>
        <v/>
      </c>
      <c r="BS52" s="87">
        <f>0</f>
        <v/>
      </c>
      <c r="BT52" s="87">
        <f>0</f>
        <v/>
      </c>
      <c r="BU52" s="87">
        <f>0</f>
        <v/>
      </c>
      <c r="BV52" s="87">
        <f>0</f>
        <v/>
      </c>
      <c r="BW52" s="87">
        <f>0</f>
        <v/>
      </c>
      <c r="BX52" s="87">
        <f>0</f>
        <v/>
      </c>
      <c r="BY52" s="87">
        <f>0</f>
        <v/>
      </c>
    </row>
    <row r="53" ht="15.75" customHeight="1" s="194">
      <c r="B53" s="130" t="inlineStr">
        <is>
          <t>Расходы до займа — всего</t>
        </is>
      </c>
      <c r="C53" s="130" t="inlineStr">
        <is>
          <t>₽</t>
        </is>
      </c>
      <c r="D53" s="156" t="n"/>
      <c r="E53" s="157">
        <f>SUM(L53:W53)</f>
        <v/>
      </c>
      <c r="F53" s="157">
        <f>SUM(X53:AI53)</f>
        <v/>
      </c>
      <c r="G53" s="157">
        <f>SUM(AJ53:AU53)</f>
        <v/>
      </c>
      <c r="H53" s="157">
        <f>SUM(AV53:BG53)</f>
        <v/>
      </c>
      <c r="I53" s="157">
        <f>SUM(BH53:BS53)</f>
        <v/>
      </c>
      <c r="J53" s="134">
        <f>SUM(L53:BS53)</f>
        <v/>
      </c>
      <c r="L53" s="133">
        <f>SUM(L45:L52)</f>
        <v/>
      </c>
      <c r="M53" s="133">
        <f>SUM(M45:M52)</f>
        <v/>
      </c>
      <c r="N53" s="133">
        <f>SUM(N45:N52)</f>
        <v/>
      </c>
      <c r="O53" s="133">
        <f>SUM(O45:O52)</f>
        <v/>
      </c>
      <c r="P53" s="133">
        <f>SUM(P45:P52)</f>
        <v/>
      </c>
      <c r="Q53" s="133">
        <f>SUM(Q45:Q52)</f>
        <v/>
      </c>
      <c r="R53" s="133">
        <f>SUM(R45:R52)</f>
        <v/>
      </c>
      <c r="S53" s="133">
        <f>SUM(S45:S52)</f>
        <v/>
      </c>
      <c r="T53" s="133">
        <f>SUM(T45:T52)</f>
        <v/>
      </c>
      <c r="U53" s="133">
        <f>SUM(U45:U52)</f>
        <v/>
      </c>
      <c r="V53" s="133">
        <f>SUM(V45:V52)</f>
        <v/>
      </c>
      <c r="W53" s="133">
        <f>SUM(W45:W52)</f>
        <v/>
      </c>
      <c r="X53" s="133">
        <f>SUM(X45:X52)</f>
        <v/>
      </c>
      <c r="Y53" s="133">
        <f>SUM(Y45:Y52)</f>
        <v/>
      </c>
      <c r="Z53" s="133">
        <f>SUM(Z45:Z52)</f>
        <v/>
      </c>
      <c r="AA53" s="133">
        <f>SUM(AA45:AA52)</f>
        <v/>
      </c>
      <c r="AB53" s="133">
        <f>SUM(AB45:AB52)</f>
        <v/>
      </c>
      <c r="AC53" s="133">
        <f>SUM(AC45:AC52)</f>
        <v/>
      </c>
      <c r="AD53" s="133">
        <f>SUM(AD45:AD52)</f>
        <v/>
      </c>
      <c r="AE53" s="133">
        <f>SUM(AE45:AE52)</f>
        <v/>
      </c>
      <c r="AF53" s="133">
        <f>SUM(AF45:AF52)</f>
        <v/>
      </c>
      <c r="AG53" s="133">
        <f>SUM(AG45:AG52)</f>
        <v/>
      </c>
      <c r="AH53" s="133">
        <f>SUM(AH45:AH52)</f>
        <v/>
      </c>
      <c r="AI53" s="133">
        <f>SUM(AI45:AI52)</f>
        <v/>
      </c>
      <c r="AJ53" s="133">
        <f>SUM(AJ45:AJ52)</f>
        <v/>
      </c>
      <c r="AK53" s="133">
        <f>SUM(AK45:AK52)</f>
        <v/>
      </c>
      <c r="AL53" s="133">
        <f>SUM(AL45:AL52)</f>
        <v/>
      </c>
      <c r="AM53" s="133">
        <f>SUM(AM45:AM52)</f>
        <v/>
      </c>
      <c r="AN53" s="133">
        <f>SUM(AN45:AN52)</f>
        <v/>
      </c>
      <c r="AO53" s="133">
        <f>SUM(AO45:AO52)</f>
        <v/>
      </c>
      <c r="AP53" s="133">
        <f>SUM(AP45:AP52)</f>
        <v/>
      </c>
      <c r="AQ53" s="133">
        <f>SUM(AQ45:AQ52)</f>
        <v/>
      </c>
      <c r="AR53" s="133">
        <f>SUM(AR45:AR52)</f>
        <v/>
      </c>
      <c r="AS53" s="133">
        <f>SUM(AS45:AS52)</f>
        <v/>
      </c>
      <c r="AT53" s="133">
        <f>SUM(AT45:AT52)</f>
        <v/>
      </c>
      <c r="AU53" s="133">
        <f>SUM(AU45:AU52)</f>
        <v/>
      </c>
      <c r="AV53" s="133">
        <f>SUM(AV45:AV52)</f>
        <v/>
      </c>
      <c r="AW53" s="133">
        <f>SUM(AW45:AW52)</f>
        <v/>
      </c>
      <c r="AX53" s="133">
        <f>SUM(AX45:AX52)</f>
        <v/>
      </c>
      <c r="AY53" s="133">
        <f>SUM(AY45:AY52)</f>
        <v/>
      </c>
      <c r="AZ53" s="133">
        <f>SUM(AZ45:AZ52)</f>
        <v/>
      </c>
      <c r="BA53" s="133">
        <f>SUM(BA45:BA52)</f>
        <v/>
      </c>
      <c r="BB53" s="133">
        <f>SUM(BB45:BB52)</f>
        <v/>
      </c>
      <c r="BC53" s="133">
        <f>SUM(BC45:BC52)</f>
        <v/>
      </c>
      <c r="BD53" s="133">
        <f>SUM(BD45:BD52)</f>
        <v/>
      </c>
      <c r="BE53" s="133">
        <f>SUM(BE45:BE52)</f>
        <v/>
      </c>
      <c r="BF53" s="133">
        <f>SUM(BF45:BF52)</f>
        <v/>
      </c>
      <c r="BG53" s="133">
        <f>SUM(BG45:BG52)</f>
        <v/>
      </c>
      <c r="BH53" s="133">
        <f>SUM(BH45:BH52)</f>
        <v/>
      </c>
      <c r="BI53" s="133">
        <f>SUM(BI45:BI52)</f>
        <v/>
      </c>
      <c r="BJ53" s="133">
        <f>SUM(BJ45:BJ52)</f>
        <v/>
      </c>
      <c r="BK53" s="133">
        <f>SUM(BK45:BK52)</f>
        <v/>
      </c>
      <c r="BL53" s="133">
        <f>SUM(BL45:BL52)</f>
        <v/>
      </c>
      <c r="BM53" s="133">
        <f>SUM(BM45:BM52)</f>
        <v/>
      </c>
      <c r="BN53" s="133">
        <f>SUM(BN45:BN52)</f>
        <v/>
      </c>
      <c r="BO53" s="133">
        <f>SUM(BO45:BO52)</f>
        <v/>
      </c>
      <c r="BP53" s="133">
        <f>SUM(BP45:BP52)</f>
        <v/>
      </c>
      <c r="BQ53" s="133">
        <f>SUM(BQ45:BQ52)</f>
        <v/>
      </c>
      <c r="BR53" s="133">
        <f>SUM(BR45:BR52)</f>
        <v/>
      </c>
      <c r="BS53" s="133">
        <f>SUM(BS45:BS52)</f>
        <v/>
      </c>
      <c r="BT53" s="133">
        <f>SUM(BT45:BT52)</f>
        <v/>
      </c>
      <c r="BU53" s="133">
        <f>SUM(BU45:BU52)</f>
        <v/>
      </c>
      <c r="BV53" s="133">
        <f>SUM(BV45:BV52)</f>
        <v/>
      </c>
      <c r="BW53" s="133">
        <f>SUM(BW45:BW52)</f>
        <v/>
      </c>
      <c r="BX53" s="133">
        <f>SUM(BX45:BX52)</f>
        <v/>
      </c>
      <c r="BY53" s="133">
        <f>SUM(BY45:BY52)</f>
        <v/>
      </c>
    </row>
    <row r="54" ht="15.75" customHeight="1" s="194">
      <c r="B54" s="56" t="inlineStr">
        <is>
          <t>Справочно: закупка на склад</t>
        </is>
      </c>
      <c r="C54" s="56" t="inlineStr">
        <is>
          <t>₽</t>
        </is>
      </c>
      <c r="D54" s="57" t="inlineStr">
        <is>
          <t>Уже входит в оплату поставщикам выше</t>
        </is>
      </c>
      <c r="E54" s="85">
        <f>SUM(L54:W54)</f>
        <v/>
      </c>
      <c r="F54" s="85">
        <f>SUM(X54:AI54)</f>
        <v/>
      </c>
      <c r="G54" s="85">
        <f>SUM(AJ54:AU54)</f>
        <v/>
      </c>
      <c r="H54" s="85">
        <f>SUM(AV54:BG54)</f>
        <v/>
      </c>
      <c r="I54" s="85">
        <f>SUM(BH54:BS54)</f>
        <v/>
      </c>
      <c r="J54" s="86">
        <f>SUM(L54:BS54)</f>
        <v/>
      </c>
      <c r="L54" s="87">
        <f>'06_Деньги'!L10</f>
        <v/>
      </c>
      <c r="M54" s="87">
        <f>'06_Деньги'!M10</f>
        <v/>
      </c>
      <c r="N54" s="87">
        <f>'06_Деньги'!N10</f>
        <v/>
      </c>
      <c r="O54" s="87">
        <f>'06_Деньги'!O10</f>
        <v/>
      </c>
      <c r="P54" s="87">
        <f>'06_Деньги'!P10</f>
        <v/>
      </c>
      <c r="Q54" s="87">
        <f>'06_Деньги'!Q10</f>
        <v/>
      </c>
      <c r="R54" s="87">
        <f>'06_Деньги'!R10</f>
        <v/>
      </c>
      <c r="S54" s="87">
        <f>'06_Деньги'!S10</f>
        <v/>
      </c>
      <c r="T54" s="87">
        <f>'06_Деньги'!T10</f>
        <v/>
      </c>
      <c r="U54" s="87">
        <f>'06_Деньги'!U10</f>
        <v/>
      </c>
      <c r="V54" s="87">
        <f>'06_Деньги'!V10</f>
        <v/>
      </c>
      <c r="W54" s="87">
        <f>'06_Деньги'!W10</f>
        <v/>
      </c>
      <c r="X54" s="87">
        <f>'06_Деньги'!X10</f>
        <v/>
      </c>
      <c r="Y54" s="87">
        <f>'06_Деньги'!Y10</f>
        <v/>
      </c>
      <c r="Z54" s="87">
        <f>'06_Деньги'!Z10</f>
        <v/>
      </c>
      <c r="AA54" s="87">
        <f>'06_Деньги'!AA10</f>
        <v/>
      </c>
      <c r="AB54" s="87">
        <f>'06_Деньги'!AB10</f>
        <v/>
      </c>
      <c r="AC54" s="87">
        <f>'06_Деньги'!AC10</f>
        <v/>
      </c>
      <c r="AD54" s="87">
        <f>'06_Деньги'!AD10</f>
        <v/>
      </c>
      <c r="AE54" s="87">
        <f>'06_Деньги'!AE10</f>
        <v/>
      </c>
      <c r="AF54" s="87">
        <f>'06_Деньги'!AF10</f>
        <v/>
      </c>
      <c r="AG54" s="87">
        <f>'06_Деньги'!AG10</f>
        <v/>
      </c>
      <c r="AH54" s="87">
        <f>'06_Деньги'!AH10</f>
        <v/>
      </c>
      <c r="AI54" s="87">
        <f>'06_Деньги'!AI10</f>
        <v/>
      </c>
      <c r="AJ54" s="87">
        <f>'06_Деньги'!AJ10</f>
        <v/>
      </c>
      <c r="AK54" s="87">
        <f>'06_Деньги'!AK10</f>
        <v/>
      </c>
      <c r="AL54" s="87">
        <f>'06_Деньги'!AL10</f>
        <v/>
      </c>
      <c r="AM54" s="87">
        <f>'06_Деньги'!AM10</f>
        <v/>
      </c>
      <c r="AN54" s="87">
        <f>'06_Деньги'!AN10</f>
        <v/>
      </c>
      <c r="AO54" s="87">
        <f>'06_Деньги'!AO10</f>
        <v/>
      </c>
      <c r="AP54" s="87">
        <f>'06_Деньги'!AP10</f>
        <v/>
      </c>
      <c r="AQ54" s="87">
        <f>'06_Деньги'!AQ10</f>
        <v/>
      </c>
      <c r="AR54" s="87">
        <f>'06_Деньги'!AR10</f>
        <v/>
      </c>
      <c r="AS54" s="87">
        <f>'06_Деньги'!AS10</f>
        <v/>
      </c>
      <c r="AT54" s="87">
        <f>'06_Деньги'!AT10</f>
        <v/>
      </c>
      <c r="AU54" s="87">
        <f>'06_Деньги'!AU10</f>
        <v/>
      </c>
      <c r="AV54" s="87">
        <f>'06_Деньги'!AV10</f>
        <v/>
      </c>
      <c r="AW54" s="87">
        <f>'06_Деньги'!AW10</f>
        <v/>
      </c>
      <c r="AX54" s="87">
        <f>'06_Деньги'!AX10</f>
        <v/>
      </c>
      <c r="AY54" s="87">
        <f>'06_Деньги'!AY10</f>
        <v/>
      </c>
      <c r="AZ54" s="87">
        <f>'06_Деньги'!AZ10</f>
        <v/>
      </c>
      <c r="BA54" s="87">
        <f>'06_Деньги'!BA10</f>
        <v/>
      </c>
      <c r="BB54" s="87">
        <f>'06_Деньги'!BB10</f>
        <v/>
      </c>
      <c r="BC54" s="87">
        <f>'06_Деньги'!BC10</f>
        <v/>
      </c>
      <c r="BD54" s="87">
        <f>'06_Деньги'!BD10</f>
        <v/>
      </c>
      <c r="BE54" s="87">
        <f>'06_Деньги'!BE10</f>
        <v/>
      </c>
      <c r="BF54" s="87">
        <f>'06_Деньги'!BF10</f>
        <v/>
      </c>
      <c r="BG54" s="87">
        <f>'06_Деньги'!BG10</f>
        <v/>
      </c>
      <c r="BH54" s="87">
        <f>'06_Деньги'!BH10</f>
        <v/>
      </c>
      <c r="BI54" s="87">
        <f>'06_Деньги'!BI10</f>
        <v/>
      </c>
      <c r="BJ54" s="87">
        <f>'06_Деньги'!BJ10</f>
        <v/>
      </c>
      <c r="BK54" s="87">
        <f>'06_Деньги'!BK10</f>
        <v/>
      </c>
      <c r="BL54" s="87">
        <f>'06_Деньги'!BL10</f>
        <v/>
      </c>
      <c r="BM54" s="87">
        <f>'06_Деньги'!BM10</f>
        <v/>
      </c>
      <c r="BN54" s="87">
        <f>'06_Деньги'!BN10</f>
        <v/>
      </c>
      <c r="BO54" s="87">
        <f>'06_Деньги'!BO10</f>
        <v/>
      </c>
      <c r="BP54" s="87">
        <f>'06_Деньги'!BP10</f>
        <v/>
      </c>
      <c r="BQ54" s="87">
        <f>'06_Деньги'!BQ10</f>
        <v/>
      </c>
      <c r="BR54" s="87">
        <f>'06_Деньги'!BR10</f>
        <v/>
      </c>
      <c r="BS54" s="87">
        <f>'06_Деньги'!BS10</f>
        <v/>
      </c>
      <c r="BT54" s="87">
        <f>'06_Деньги'!BT10</f>
        <v/>
      </c>
      <c r="BU54" s="87">
        <f>'06_Деньги'!BU10</f>
        <v/>
      </c>
      <c r="BV54" s="87">
        <f>'06_Деньги'!BV10</f>
        <v/>
      </c>
      <c r="BW54" s="87">
        <f>'06_Деньги'!BW10</f>
        <v/>
      </c>
      <c r="BX54" s="87">
        <f>'06_Деньги'!BX10</f>
        <v/>
      </c>
      <c r="BY54" s="87">
        <f>'06_Деньги'!BY10</f>
        <v/>
      </c>
    </row>
    <row r="55" ht="15.75" customHeight="1" s="194">
      <c r="B55" s="130" t="inlineStr">
        <is>
          <t>Поток до возврата займа</t>
        </is>
      </c>
      <c r="C55" s="130" t="inlineStr">
        <is>
          <t>₽</t>
        </is>
      </c>
      <c r="D55" s="156" t="n"/>
      <c r="E55" s="157">
        <f>SUM(L55:W55)</f>
        <v/>
      </c>
      <c r="F55" s="157">
        <f>SUM(X55:AI55)</f>
        <v/>
      </c>
      <c r="G55" s="157">
        <f>SUM(AJ55:AU55)</f>
        <v/>
      </c>
      <c r="H55" s="157">
        <f>SUM(AV55:BG55)</f>
        <v/>
      </c>
      <c r="I55" s="157">
        <f>SUM(BH55:BS55)</f>
        <v/>
      </c>
      <c r="J55" s="134">
        <f>SUM(L55:BS55)</f>
        <v/>
      </c>
      <c r="L55" s="133">
        <f>L44-L53</f>
        <v/>
      </c>
      <c r="M55" s="133">
        <f>M44-M53</f>
        <v/>
      </c>
      <c r="N55" s="133">
        <f>N44-N53</f>
        <v/>
      </c>
      <c r="O55" s="133">
        <f>O44-O53</f>
        <v/>
      </c>
      <c r="P55" s="133">
        <f>P44-P53</f>
        <v/>
      </c>
      <c r="Q55" s="133">
        <f>Q44-Q53</f>
        <v/>
      </c>
      <c r="R55" s="133">
        <f>R44-R53</f>
        <v/>
      </c>
      <c r="S55" s="133">
        <f>S44-S53</f>
        <v/>
      </c>
      <c r="T55" s="133">
        <f>T44-T53</f>
        <v/>
      </c>
      <c r="U55" s="133">
        <f>U44-U53</f>
        <v/>
      </c>
      <c r="V55" s="133">
        <f>V44-V53</f>
        <v/>
      </c>
      <c r="W55" s="133">
        <f>W44-W53</f>
        <v/>
      </c>
      <c r="X55" s="133">
        <f>X44-X53</f>
        <v/>
      </c>
      <c r="Y55" s="133">
        <f>Y44-Y53</f>
        <v/>
      </c>
      <c r="Z55" s="133">
        <f>Z44-Z53</f>
        <v/>
      </c>
      <c r="AA55" s="133">
        <f>AA44-AA53</f>
        <v/>
      </c>
      <c r="AB55" s="133">
        <f>AB44-AB53</f>
        <v/>
      </c>
      <c r="AC55" s="133">
        <f>AC44-AC53</f>
        <v/>
      </c>
      <c r="AD55" s="133">
        <f>AD44-AD53</f>
        <v/>
      </c>
      <c r="AE55" s="133">
        <f>AE44-AE53</f>
        <v/>
      </c>
      <c r="AF55" s="133">
        <f>AF44-AF53</f>
        <v/>
      </c>
      <c r="AG55" s="133">
        <f>AG44-AG53</f>
        <v/>
      </c>
      <c r="AH55" s="133">
        <f>AH44-AH53</f>
        <v/>
      </c>
      <c r="AI55" s="133">
        <f>AI44-AI53</f>
        <v/>
      </c>
      <c r="AJ55" s="133">
        <f>AJ44-AJ53</f>
        <v/>
      </c>
      <c r="AK55" s="133">
        <f>AK44-AK53</f>
        <v/>
      </c>
      <c r="AL55" s="133">
        <f>AL44-AL53</f>
        <v/>
      </c>
      <c r="AM55" s="133">
        <f>AM44-AM53</f>
        <v/>
      </c>
      <c r="AN55" s="133">
        <f>AN44-AN53</f>
        <v/>
      </c>
      <c r="AO55" s="133">
        <f>AO44-AO53</f>
        <v/>
      </c>
      <c r="AP55" s="133">
        <f>AP44-AP53</f>
        <v/>
      </c>
      <c r="AQ55" s="133">
        <f>AQ44-AQ53</f>
        <v/>
      </c>
      <c r="AR55" s="133">
        <f>AR44-AR53</f>
        <v/>
      </c>
      <c r="AS55" s="133">
        <f>AS44-AS53</f>
        <v/>
      </c>
      <c r="AT55" s="133">
        <f>AT44-AT53</f>
        <v/>
      </c>
      <c r="AU55" s="133">
        <f>AU44-AU53</f>
        <v/>
      </c>
      <c r="AV55" s="133">
        <f>AV44-AV53</f>
        <v/>
      </c>
      <c r="AW55" s="133">
        <f>AW44-AW53</f>
        <v/>
      </c>
      <c r="AX55" s="133">
        <f>AX44-AX53</f>
        <v/>
      </c>
      <c r="AY55" s="133">
        <f>AY44-AY53</f>
        <v/>
      </c>
      <c r="AZ55" s="133">
        <f>AZ44-AZ53</f>
        <v/>
      </c>
      <c r="BA55" s="133">
        <f>BA44-BA53</f>
        <v/>
      </c>
      <c r="BB55" s="133">
        <f>BB44-BB53</f>
        <v/>
      </c>
      <c r="BC55" s="133">
        <f>BC44-BC53</f>
        <v/>
      </c>
      <c r="BD55" s="133">
        <f>BD44-BD53</f>
        <v/>
      </c>
      <c r="BE55" s="133">
        <f>BE44-BE53</f>
        <v/>
      </c>
      <c r="BF55" s="133">
        <f>BF44-BF53</f>
        <v/>
      </c>
      <c r="BG55" s="133">
        <f>BG44-BG53</f>
        <v/>
      </c>
      <c r="BH55" s="133">
        <f>BH44-BH53</f>
        <v/>
      </c>
      <c r="BI55" s="133">
        <f>BI44-BI53</f>
        <v/>
      </c>
      <c r="BJ55" s="133">
        <f>BJ44-BJ53</f>
        <v/>
      </c>
      <c r="BK55" s="133">
        <f>BK44-BK53</f>
        <v/>
      </c>
      <c r="BL55" s="133">
        <f>BL44-BL53</f>
        <v/>
      </c>
      <c r="BM55" s="133">
        <f>BM44-BM53</f>
        <v/>
      </c>
      <c r="BN55" s="133">
        <f>BN44-BN53</f>
        <v/>
      </c>
      <c r="BO55" s="133">
        <f>BO44-BO53</f>
        <v/>
      </c>
      <c r="BP55" s="133">
        <f>BP44-BP53</f>
        <v/>
      </c>
      <c r="BQ55" s="133">
        <f>BQ44-BQ53</f>
        <v/>
      </c>
      <c r="BR55" s="133">
        <f>BR44-BR53</f>
        <v/>
      </c>
      <c r="BS55" s="133">
        <f>BS44-BS53</f>
        <v/>
      </c>
      <c r="BT55" s="133">
        <f>BT44-BT53</f>
        <v/>
      </c>
      <c r="BU55" s="133">
        <f>BU44-BU53</f>
        <v/>
      </c>
      <c r="BV55" s="133">
        <f>BV44-BV53</f>
        <v/>
      </c>
      <c r="BW55" s="133">
        <f>BW44-BW53</f>
        <v/>
      </c>
      <c r="BX55" s="133">
        <f>BX44-BX53</f>
        <v/>
      </c>
      <c r="BY55" s="133">
        <f>BY44-BY53</f>
        <v/>
      </c>
    </row>
    <row r="56" ht="15.75" customHeight="1" s="194">
      <c r="B56" s="56" t="inlineStr">
        <is>
          <t>Остаток до возврата займа</t>
        </is>
      </c>
      <c r="C56" s="56" t="inlineStr">
        <is>
          <t>₽</t>
        </is>
      </c>
      <c r="D56" s="57" t="n"/>
      <c r="E56" s="85">
        <f>SUM(L56:W56)</f>
        <v/>
      </c>
      <c r="F56" s="85">
        <f>SUM(X56:AI56)</f>
        <v/>
      </c>
      <c r="G56" s="85">
        <f>SUM(AJ56:AU56)</f>
        <v/>
      </c>
      <c r="H56" s="85">
        <f>SUM(AV56:BG56)</f>
        <v/>
      </c>
      <c r="I56" s="85">
        <f>SUM(BH56:BS56)</f>
        <v/>
      </c>
      <c r="J56" s="86">
        <f>SUM(L56:BS56)</f>
        <v/>
      </c>
      <c r="L56" s="87">
        <f>L39+L55</f>
        <v/>
      </c>
      <c r="M56" s="87">
        <f>M39+M55</f>
        <v/>
      </c>
      <c r="N56" s="87">
        <f>N39+N55</f>
        <v/>
      </c>
      <c r="O56" s="87">
        <f>O39+O55</f>
        <v/>
      </c>
      <c r="P56" s="87">
        <f>P39+P55</f>
        <v/>
      </c>
      <c r="Q56" s="87">
        <f>Q39+Q55</f>
        <v/>
      </c>
      <c r="R56" s="87">
        <f>R39+R55</f>
        <v/>
      </c>
      <c r="S56" s="87">
        <f>S39+S55</f>
        <v/>
      </c>
      <c r="T56" s="87">
        <f>T39+T55</f>
        <v/>
      </c>
      <c r="U56" s="87">
        <f>U39+U55</f>
        <v/>
      </c>
      <c r="V56" s="87">
        <f>V39+V55</f>
        <v/>
      </c>
      <c r="W56" s="87">
        <f>W39+W55</f>
        <v/>
      </c>
      <c r="X56" s="87">
        <f>X39+X55</f>
        <v/>
      </c>
      <c r="Y56" s="87">
        <f>Y39+Y55</f>
        <v/>
      </c>
      <c r="Z56" s="87">
        <f>Z39+Z55</f>
        <v/>
      </c>
      <c r="AA56" s="87">
        <f>AA39+AA55</f>
        <v/>
      </c>
      <c r="AB56" s="87">
        <f>AB39+AB55</f>
        <v/>
      </c>
      <c r="AC56" s="87">
        <f>AC39+AC55</f>
        <v/>
      </c>
      <c r="AD56" s="87">
        <f>AD39+AD55</f>
        <v/>
      </c>
      <c r="AE56" s="87">
        <f>AE39+AE55</f>
        <v/>
      </c>
      <c r="AF56" s="87">
        <f>AF39+AF55</f>
        <v/>
      </c>
      <c r="AG56" s="87">
        <f>AG39+AG55</f>
        <v/>
      </c>
      <c r="AH56" s="87">
        <f>AH39+AH55</f>
        <v/>
      </c>
      <c r="AI56" s="87">
        <f>AI39+AI55</f>
        <v/>
      </c>
      <c r="AJ56" s="87">
        <f>AJ39+AJ55</f>
        <v/>
      </c>
      <c r="AK56" s="87">
        <f>AK39+AK55</f>
        <v/>
      </c>
      <c r="AL56" s="87">
        <f>AL39+AL55</f>
        <v/>
      </c>
      <c r="AM56" s="87">
        <f>AM39+AM55</f>
        <v/>
      </c>
      <c r="AN56" s="87">
        <f>AN39+AN55</f>
        <v/>
      </c>
      <c r="AO56" s="87">
        <f>AO39+AO55</f>
        <v/>
      </c>
      <c r="AP56" s="87">
        <f>AP39+AP55</f>
        <v/>
      </c>
      <c r="AQ56" s="87">
        <f>AQ39+AQ55</f>
        <v/>
      </c>
      <c r="AR56" s="87">
        <f>AR39+AR55</f>
        <v/>
      </c>
      <c r="AS56" s="87">
        <f>AS39+AS55</f>
        <v/>
      </c>
      <c r="AT56" s="87">
        <f>AT39+AT55</f>
        <v/>
      </c>
      <c r="AU56" s="87">
        <f>AU39+AU55</f>
        <v/>
      </c>
      <c r="AV56" s="87">
        <f>AV39+AV55</f>
        <v/>
      </c>
      <c r="AW56" s="87">
        <f>AW39+AW55</f>
        <v/>
      </c>
      <c r="AX56" s="87">
        <f>AX39+AX55</f>
        <v/>
      </c>
      <c r="AY56" s="87">
        <f>AY39+AY55</f>
        <v/>
      </c>
      <c r="AZ56" s="87">
        <f>AZ39+AZ55</f>
        <v/>
      </c>
      <c r="BA56" s="87">
        <f>BA39+BA55</f>
        <v/>
      </c>
      <c r="BB56" s="87">
        <f>BB39+BB55</f>
        <v/>
      </c>
      <c r="BC56" s="87">
        <f>BC39+BC55</f>
        <v/>
      </c>
      <c r="BD56" s="87">
        <f>BD39+BD55</f>
        <v/>
      </c>
      <c r="BE56" s="87">
        <f>BE39+BE55</f>
        <v/>
      </c>
      <c r="BF56" s="87">
        <f>BF39+BF55</f>
        <v/>
      </c>
      <c r="BG56" s="87">
        <f>BG39+BG55</f>
        <v/>
      </c>
      <c r="BH56" s="87">
        <f>BH39+BH55</f>
        <v/>
      </c>
      <c r="BI56" s="87">
        <f>BI39+BI55</f>
        <v/>
      </c>
      <c r="BJ56" s="87">
        <f>BJ39+BJ55</f>
        <v/>
      </c>
      <c r="BK56" s="87">
        <f>BK39+BK55</f>
        <v/>
      </c>
      <c r="BL56" s="87">
        <f>BL39+BL55</f>
        <v/>
      </c>
      <c r="BM56" s="87">
        <f>BM39+BM55</f>
        <v/>
      </c>
      <c r="BN56" s="87">
        <f>BN39+BN55</f>
        <v/>
      </c>
      <c r="BO56" s="87">
        <f>BO39+BO55</f>
        <v/>
      </c>
      <c r="BP56" s="87">
        <f>BP39+BP55</f>
        <v/>
      </c>
      <c r="BQ56" s="87">
        <f>BQ39+BQ55</f>
        <v/>
      </c>
      <c r="BR56" s="87">
        <f>BR39+BR55</f>
        <v/>
      </c>
      <c r="BS56" s="87">
        <f>BS39+BS55</f>
        <v/>
      </c>
      <c r="BT56" s="87">
        <f>BT39+BT55</f>
        <v/>
      </c>
      <c r="BU56" s="87">
        <f>BU39+BU55</f>
        <v/>
      </c>
      <c r="BV56" s="87">
        <f>BV39+BV55</f>
        <v/>
      </c>
      <c r="BW56" s="87">
        <f>BW39+BW55</f>
        <v/>
      </c>
      <c r="BX56" s="87">
        <f>BX39+BX55</f>
        <v/>
      </c>
      <c r="BY56" s="87">
        <f>BY39+BY55</f>
        <v/>
      </c>
    </row>
    <row r="57" ht="15.75" customHeight="1" s="194">
      <c r="B57" s="56" t="inlineStr">
        <is>
          <t>Возврат займа клубу</t>
        </is>
      </c>
      <c r="C57" s="56" t="inlineStr">
        <is>
          <t>₽</t>
        </is>
      </c>
      <c r="D57" s="57" t="n"/>
      <c r="E57" s="85">
        <f>SUM(L57:W57)</f>
        <v/>
      </c>
      <c r="F57" s="85">
        <f>SUM(X57:AI57)</f>
        <v/>
      </c>
      <c r="G57" s="85">
        <f>SUM(AJ57:AU57)</f>
        <v/>
      </c>
      <c r="H57" s="85">
        <f>SUM(AV57:BG57)</f>
        <v/>
      </c>
      <c r="I57" s="85">
        <f>SUM(BH57:BS57)</f>
        <v/>
      </c>
      <c r="J57" s="86">
        <f>SUM(L57:BS57)</f>
        <v/>
      </c>
      <c r="L57" s="87">
        <f>'06_Деньги'!L18</f>
        <v/>
      </c>
      <c r="M57" s="87">
        <f>'06_Деньги'!M18</f>
        <v/>
      </c>
      <c r="N57" s="87">
        <f>'06_Деньги'!N18</f>
        <v/>
      </c>
      <c r="O57" s="87">
        <f>'06_Деньги'!O18</f>
        <v/>
      </c>
      <c r="P57" s="87">
        <f>'06_Деньги'!P18</f>
        <v/>
      </c>
      <c r="Q57" s="87">
        <f>'06_Деньги'!Q18</f>
        <v/>
      </c>
      <c r="R57" s="87">
        <f>'06_Деньги'!R18</f>
        <v/>
      </c>
      <c r="S57" s="87">
        <f>'06_Деньги'!S18</f>
        <v/>
      </c>
      <c r="T57" s="87">
        <f>'06_Деньги'!T18</f>
        <v/>
      </c>
      <c r="U57" s="87">
        <f>'06_Деньги'!U18</f>
        <v/>
      </c>
      <c r="V57" s="87">
        <f>'06_Деньги'!V18</f>
        <v/>
      </c>
      <c r="W57" s="87">
        <f>'06_Деньги'!W18</f>
        <v/>
      </c>
      <c r="X57" s="87">
        <f>'06_Деньги'!X18</f>
        <v/>
      </c>
      <c r="Y57" s="87">
        <f>'06_Деньги'!Y18</f>
        <v/>
      </c>
      <c r="Z57" s="87">
        <f>'06_Деньги'!Z18</f>
        <v/>
      </c>
      <c r="AA57" s="87">
        <f>'06_Деньги'!AA18</f>
        <v/>
      </c>
      <c r="AB57" s="87">
        <f>'06_Деньги'!AB18</f>
        <v/>
      </c>
      <c r="AC57" s="87">
        <f>'06_Деньги'!AC18</f>
        <v/>
      </c>
      <c r="AD57" s="87">
        <f>'06_Деньги'!AD18</f>
        <v/>
      </c>
      <c r="AE57" s="87">
        <f>'06_Деньги'!AE18</f>
        <v/>
      </c>
      <c r="AF57" s="87">
        <f>'06_Деньги'!AF18</f>
        <v/>
      </c>
      <c r="AG57" s="87">
        <f>'06_Деньги'!AG18</f>
        <v/>
      </c>
      <c r="AH57" s="87">
        <f>'06_Деньги'!AH18</f>
        <v/>
      </c>
      <c r="AI57" s="87">
        <f>'06_Деньги'!AI18</f>
        <v/>
      </c>
      <c r="AJ57" s="87">
        <f>'06_Деньги'!AJ18</f>
        <v/>
      </c>
      <c r="AK57" s="87">
        <f>'06_Деньги'!AK18</f>
        <v/>
      </c>
      <c r="AL57" s="87">
        <f>'06_Деньги'!AL18</f>
        <v/>
      </c>
      <c r="AM57" s="87">
        <f>'06_Деньги'!AM18</f>
        <v/>
      </c>
      <c r="AN57" s="87">
        <f>'06_Деньги'!AN18</f>
        <v/>
      </c>
      <c r="AO57" s="87">
        <f>'06_Деньги'!AO18</f>
        <v/>
      </c>
      <c r="AP57" s="87">
        <f>'06_Деньги'!AP18</f>
        <v/>
      </c>
      <c r="AQ57" s="87">
        <f>'06_Деньги'!AQ18</f>
        <v/>
      </c>
      <c r="AR57" s="87">
        <f>'06_Деньги'!AR18</f>
        <v/>
      </c>
      <c r="AS57" s="87">
        <f>'06_Деньги'!AS18</f>
        <v/>
      </c>
      <c r="AT57" s="87">
        <f>'06_Деньги'!AT18</f>
        <v/>
      </c>
      <c r="AU57" s="87">
        <f>'06_Деньги'!AU18</f>
        <v/>
      </c>
      <c r="AV57" s="87">
        <f>'06_Деньги'!AV18</f>
        <v/>
      </c>
      <c r="AW57" s="87">
        <f>'06_Деньги'!AW18</f>
        <v/>
      </c>
      <c r="AX57" s="87">
        <f>'06_Деньги'!AX18</f>
        <v/>
      </c>
      <c r="AY57" s="87">
        <f>'06_Деньги'!AY18</f>
        <v/>
      </c>
      <c r="AZ57" s="87">
        <f>'06_Деньги'!AZ18</f>
        <v/>
      </c>
      <c r="BA57" s="87">
        <f>'06_Деньги'!BA18</f>
        <v/>
      </c>
      <c r="BB57" s="87">
        <f>'06_Деньги'!BB18</f>
        <v/>
      </c>
      <c r="BC57" s="87">
        <f>'06_Деньги'!BC18</f>
        <v/>
      </c>
      <c r="BD57" s="87">
        <f>'06_Деньги'!BD18</f>
        <v/>
      </c>
      <c r="BE57" s="87">
        <f>'06_Деньги'!BE18</f>
        <v/>
      </c>
      <c r="BF57" s="87">
        <f>'06_Деньги'!BF18</f>
        <v/>
      </c>
      <c r="BG57" s="87">
        <f>'06_Деньги'!BG18</f>
        <v/>
      </c>
      <c r="BH57" s="87">
        <f>'06_Деньги'!BH18</f>
        <v/>
      </c>
      <c r="BI57" s="87">
        <f>'06_Деньги'!BI18</f>
        <v/>
      </c>
      <c r="BJ57" s="87">
        <f>'06_Деньги'!BJ18</f>
        <v/>
      </c>
      <c r="BK57" s="87">
        <f>'06_Деньги'!BK18</f>
        <v/>
      </c>
      <c r="BL57" s="87">
        <f>'06_Деньги'!BL18</f>
        <v/>
      </c>
      <c r="BM57" s="87">
        <f>'06_Деньги'!BM18</f>
        <v/>
      </c>
      <c r="BN57" s="87">
        <f>'06_Деньги'!BN18</f>
        <v/>
      </c>
      <c r="BO57" s="87">
        <f>'06_Деньги'!BO18</f>
        <v/>
      </c>
      <c r="BP57" s="87">
        <f>'06_Деньги'!BP18</f>
        <v/>
      </c>
      <c r="BQ57" s="87">
        <f>'06_Деньги'!BQ18</f>
        <v/>
      </c>
      <c r="BR57" s="87">
        <f>'06_Деньги'!BR18</f>
        <v/>
      </c>
      <c r="BS57" s="87">
        <f>'06_Деньги'!BS18</f>
        <v/>
      </c>
      <c r="BT57" s="87">
        <f>'06_Деньги'!BT18</f>
        <v/>
      </c>
      <c r="BU57" s="87">
        <f>'06_Деньги'!BU18</f>
        <v/>
      </c>
      <c r="BV57" s="87">
        <f>'06_Деньги'!BV18</f>
        <v/>
      </c>
      <c r="BW57" s="87">
        <f>'06_Деньги'!BW18</f>
        <v/>
      </c>
      <c r="BX57" s="87">
        <f>'06_Деньги'!BX18</f>
        <v/>
      </c>
      <c r="BY57" s="87">
        <f>'06_Деньги'!BY18</f>
        <v/>
      </c>
    </row>
    <row r="58" ht="15.75" customHeight="1" s="194">
      <c r="B58" s="130" t="inlineStr">
        <is>
          <t>Чистый денежный поток</t>
        </is>
      </c>
      <c r="C58" s="130" t="inlineStr">
        <is>
          <t>₽</t>
        </is>
      </c>
      <c r="D58" s="156" t="n"/>
      <c r="E58" s="157">
        <f>SUM(L58:W58)</f>
        <v/>
      </c>
      <c r="F58" s="157">
        <f>SUM(X58:AI58)</f>
        <v/>
      </c>
      <c r="G58" s="157">
        <f>SUM(AJ58:AU58)</f>
        <v/>
      </c>
      <c r="H58" s="157">
        <f>SUM(AV58:BG58)</f>
        <v/>
      </c>
      <c r="I58" s="157">
        <f>SUM(BH58:BS58)</f>
        <v/>
      </c>
      <c r="J58" s="134">
        <f>SUM(L58:BS58)</f>
        <v/>
      </c>
      <c r="L58" s="133">
        <f>L55-L57</f>
        <v/>
      </c>
      <c r="M58" s="133">
        <f>M55-M57</f>
        <v/>
      </c>
      <c r="N58" s="133">
        <f>N55-N57</f>
        <v/>
      </c>
      <c r="O58" s="133">
        <f>O55-O57</f>
        <v/>
      </c>
      <c r="P58" s="133">
        <f>P55-P57</f>
        <v/>
      </c>
      <c r="Q58" s="133">
        <f>Q55-Q57</f>
        <v/>
      </c>
      <c r="R58" s="133">
        <f>R55-R57</f>
        <v/>
      </c>
      <c r="S58" s="133">
        <f>S55-S57</f>
        <v/>
      </c>
      <c r="T58" s="133">
        <f>T55-T57</f>
        <v/>
      </c>
      <c r="U58" s="133">
        <f>U55-U57</f>
        <v/>
      </c>
      <c r="V58" s="133">
        <f>V55-V57</f>
        <v/>
      </c>
      <c r="W58" s="133">
        <f>W55-W57</f>
        <v/>
      </c>
      <c r="X58" s="133">
        <f>X55-X57</f>
        <v/>
      </c>
      <c r="Y58" s="133">
        <f>Y55-Y57</f>
        <v/>
      </c>
      <c r="Z58" s="133">
        <f>Z55-Z57</f>
        <v/>
      </c>
      <c r="AA58" s="133">
        <f>AA55-AA57</f>
        <v/>
      </c>
      <c r="AB58" s="133">
        <f>AB55-AB57</f>
        <v/>
      </c>
      <c r="AC58" s="133">
        <f>AC55-AC57</f>
        <v/>
      </c>
      <c r="AD58" s="133">
        <f>AD55-AD57</f>
        <v/>
      </c>
      <c r="AE58" s="133">
        <f>AE55-AE57</f>
        <v/>
      </c>
      <c r="AF58" s="133">
        <f>AF55-AF57</f>
        <v/>
      </c>
      <c r="AG58" s="133">
        <f>AG55-AG57</f>
        <v/>
      </c>
      <c r="AH58" s="133">
        <f>AH55-AH57</f>
        <v/>
      </c>
      <c r="AI58" s="133">
        <f>AI55-AI57</f>
        <v/>
      </c>
      <c r="AJ58" s="133">
        <f>AJ55-AJ57</f>
        <v/>
      </c>
      <c r="AK58" s="133">
        <f>AK55-AK57</f>
        <v/>
      </c>
      <c r="AL58" s="133">
        <f>AL55-AL57</f>
        <v/>
      </c>
      <c r="AM58" s="133">
        <f>AM55-AM57</f>
        <v/>
      </c>
      <c r="AN58" s="133">
        <f>AN55-AN57</f>
        <v/>
      </c>
      <c r="AO58" s="133">
        <f>AO55-AO57</f>
        <v/>
      </c>
      <c r="AP58" s="133">
        <f>AP55-AP57</f>
        <v/>
      </c>
      <c r="AQ58" s="133">
        <f>AQ55-AQ57</f>
        <v/>
      </c>
      <c r="AR58" s="133">
        <f>AR55-AR57</f>
        <v/>
      </c>
      <c r="AS58" s="133">
        <f>AS55-AS57</f>
        <v/>
      </c>
      <c r="AT58" s="133">
        <f>AT55-AT57</f>
        <v/>
      </c>
      <c r="AU58" s="133">
        <f>AU55-AU57</f>
        <v/>
      </c>
      <c r="AV58" s="133">
        <f>AV55-AV57</f>
        <v/>
      </c>
      <c r="AW58" s="133">
        <f>AW55-AW57</f>
        <v/>
      </c>
      <c r="AX58" s="133">
        <f>AX55-AX57</f>
        <v/>
      </c>
      <c r="AY58" s="133">
        <f>AY55-AY57</f>
        <v/>
      </c>
      <c r="AZ58" s="133">
        <f>AZ55-AZ57</f>
        <v/>
      </c>
      <c r="BA58" s="133">
        <f>BA55-BA57</f>
        <v/>
      </c>
      <c r="BB58" s="133">
        <f>BB55-BB57</f>
        <v/>
      </c>
      <c r="BC58" s="133">
        <f>BC55-BC57</f>
        <v/>
      </c>
      <c r="BD58" s="133">
        <f>BD55-BD57</f>
        <v/>
      </c>
      <c r="BE58" s="133">
        <f>BE55-BE57</f>
        <v/>
      </c>
      <c r="BF58" s="133">
        <f>BF55-BF57</f>
        <v/>
      </c>
      <c r="BG58" s="133">
        <f>BG55-BG57</f>
        <v/>
      </c>
      <c r="BH58" s="133">
        <f>BH55-BH57</f>
        <v/>
      </c>
      <c r="BI58" s="133">
        <f>BI55-BI57</f>
        <v/>
      </c>
      <c r="BJ58" s="133">
        <f>BJ55-BJ57</f>
        <v/>
      </c>
      <c r="BK58" s="133">
        <f>BK55-BK57</f>
        <v/>
      </c>
      <c r="BL58" s="133">
        <f>BL55-BL57</f>
        <v/>
      </c>
      <c r="BM58" s="133">
        <f>BM55-BM57</f>
        <v/>
      </c>
      <c r="BN58" s="133">
        <f>BN55-BN57</f>
        <v/>
      </c>
      <c r="BO58" s="133">
        <f>BO55-BO57</f>
        <v/>
      </c>
      <c r="BP58" s="133">
        <f>BP55-BP57</f>
        <v/>
      </c>
      <c r="BQ58" s="133">
        <f>BQ55-BQ57</f>
        <v/>
      </c>
      <c r="BR58" s="133">
        <f>BR55-BR57</f>
        <v/>
      </c>
      <c r="BS58" s="133">
        <f>BS55-BS57</f>
        <v/>
      </c>
      <c r="BT58" s="133">
        <f>BT55-BT57</f>
        <v/>
      </c>
      <c r="BU58" s="133">
        <f>BU55-BU57</f>
        <v/>
      </c>
      <c r="BV58" s="133">
        <f>BV55-BV57</f>
        <v/>
      </c>
      <c r="BW58" s="133">
        <f>BW55-BW57</f>
        <v/>
      </c>
      <c r="BX58" s="133">
        <f>BX55-BX57</f>
        <v/>
      </c>
      <c r="BY58" s="133">
        <f>BY55-BY57</f>
        <v/>
      </c>
    </row>
    <row r="59" ht="15.75" customHeight="1" s="194">
      <c r="B59" s="130" t="inlineStr">
        <is>
          <t>Остаток на конец</t>
        </is>
      </c>
      <c r="C59" s="130" t="inlineStr">
        <is>
          <t>₽</t>
        </is>
      </c>
      <c r="D59" s="156" t="inlineStr">
        <is>
          <t>В колонках лет — значение на конец года, в «Итого» — на конец пятого года. Это остаток, а не сумма.</t>
        </is>
      </c>
      <c r="E59" s="157">
        <f>W59</f>
        <v/>
      </c>
      <c r="F59" s="157">
        <f>AI59</f>
        <v/>
      </c>
      <c r="G59" s="157">
        <f>AU59</f>
        <v/>
      </c>
      <c r="H59" s="157">
        <f>BG59</f>
        <v/>
      </c>
      <c r="I59" s="157">
        <f>BS59</f>
        <v/>
      </c>
      <c r="J59" s="134">
        <f>BS59</f>
        <v/>
      </c>
      <c r="L59" s="133">
        <f>L39+L58</f>
        <v/>
      </c>
      <c r="M59" s="133">
        <f>M39+M58</f>
        <v/>
      </c>
      <c r="N59" s="133">
        <f>N39+N58</f>
        <v/>
      </c>
      <c r="O59" s="133">
        <f>O39+O58</f>
        <v/>
      </c>
      <c r="P59" s="133">
        <f>P39+P58</f>
        <v/>
      </c>
      <c r="Q59" s="133">
        <f>Q39+Q58</f>
        <v/>
      </c>
      <c r="R59" s="133">
        <f>R39+R58</f>
        <v/>
      </c>
      <c r="S59" s="133">
        <f>S39+S58</f>
        <v/>
      </c>
      <c r="T59" s="133">
        <f>T39+T58</f>
        <v/>
      </c>
      <c r="U59" s="133">
        <f>U39+U58</f>
        <v/>
      </c>
      <c r="V59" s="133">
        <f>V39+V58</f>
        <v/>
      </c>
      <c r="W59" s="133">
        <f>W39+W58</f>
        <v/>
      </c>
      <c r="X59" s="133">
        <f>X39+X58</f>
        <v/>
      </c>
      <c r="Y59" s="133">
        <f>Y39+Y58</f>
        <v/>
      </c>
      <c r="Z59" s="133">
        <f>Z39+Z58</f>
        <v/>
      </c>
      <c r="AA59" s="133">
        <f>AA39+AA58</f>
        <v/>
      </c>
      <c r="AB59" s="133">
        <f>AB39+AB58</f>
        <v/>
      </c>
      <c r="AC59" s="133">
        <f>AC39+AC58</f>
        <v/>
      </c>
      <c r="AD59" s="133">
        <f>AD39+AD58</f>
        <v/>
      </c>
      <c r="AE59" s="133">
        <f>AE39+AE58</f>
        <v/>
      </c>
      <c r="AF59" s="133">
        <f>AF39+AF58</f>
        <v/>
      </c>
      <c r="AG59" s="133">
        <f>AG39+AG58</f>
        <v/>
      </c>
      <c r="AH59" s="133">
        <f>AH39+AH58</f>
        <v/>
      </c>
      <c r="AI59" s="133">
        <f>AI39+AI58</f>
        <v/>
      </c>
      <c r="AJ59" s="133">
        <f>AJ39+AJ58</f>
        <v/>
      </c>
      <c r="AK59" s="133">
        <f>AK39+AK58</f>
        <v/>
      </c>
      <c r="AL59" s="133">
        <f>AL39+AL58</f>
        <v/>
      </c>
      <c r="AM59" s="133">
        <f>AM39+AM58</f>
        <v/>
      </c>
      <c r="AN59" s="133">
        <f>AN39+AN58</f>
        <v/>
      </c>
      <c r="AO59" s="133">
        <f>AO39+AO58</f>
        <v/>
      </c>
      <c r="AP59" s="133">
        <f>AP39+AP58</f>
        <v/>
      </c>
      <c r="AQ59" s="133">
        <f>AQ39+AQ58</f>
        <v/>
      </c>
      <c r="AR59" s="133">
        <f>AR39+AR58</f>
        <v/>
      </c>
      <c r="AS59" s="133">
        <f>AS39+AS58</f>
        <v/>
      </c>
      <c r="AT59" s="133">
        <f>AT39+AT58</f>
        <v/>
      </c>
      <c r="AU59" s="133">
        <f>AU39+AU58</f>
        <v/>
      </c>
      <c r="AV59" s="133">
        <f>AV39+AV58</f>
        <v/>
      </c>
      <c r="AW59" s="133">
        <f>AW39+AW58</f>
        <v/>
      </c>
      <c r="AX59" s="133">
        <f>AX39+AX58</f>
        <v/>
      </c>
      <c r="AY59" s="133">
        <f>AY39+AY58</f>
        <v/>
      </c>
      <c r="AZ59" s="133">
        <f>AZ39+AZ58</f>
        <v/>
      </c>
      <c r="BA59" s="133">
        <f>BA39+BA58</f>
        <v/>
      </c>
      <c r="BB59" s="133">
        <f>BB39+BB58</f>
        <v/>
      </c>
      <c r="BC59" s="133">
        <f>BC39+BC58</f>
        <v/>
      </c>
      <c r="BD59" s="133">
        <f>BD39+BD58</f>
        <v/>
      </c>
      <c r="BE59" s="133">
        <f>BE39+BE58</f>
        <v/>
      </c>
      <c r="BF59" s="133">
        <f>BF39+BF58</f>
        <v/>
      </c>
      <c r="BG59" s="133">
        <f>BG39+BG58</f>
        <v/>
      </c>
      <c r="BH59" s="133">
        <f>BH39+BH58</f>
        <v/>
      </c>
      <c r="BI59" s="133">
        <f>BI39+BI58</f>
        <v/>
      </c>
      <c r="BJ59" s="133">
        <f>BJ39+BJ58</f>
        <v/>
      </c>
      <c r="BK59" s="133">
        <f>BK39+BK58</f>
        <v/>
      </c>
      <c r="BL59" s="133">
        <f>BL39+BL58</f>
        <v/>
      </c>
      <c r="BM59" s="133">
        <f>BM39+BM58</f>
        <v/>
      </c>
      <c r="BN59" s="133">
        <f>BN39+BN58</f>
        <v/>
      </c>
      <c r="BO59" s="133">
        <f>BO39+BO58</f>
        <v/>
      </c>
      <c r="BP59" s="133">
        <f>BP39+BP58</f>
        <v/>
      </c>
      <c r="BQ59" s="133">
        <f>BQ39+BQ58</f>
        <v/>
      </c>
      <c r="BR59" s="133">
        <f>BR39+BR58</f>
        <v/>
      </c>
      <c r="BS59" s="133">
        <f>BS39+BS58</f>
        <v/>
      </c>
      <c r="BT59" s="133">
        <f>BT39+BT58</f>
        <v/>
      </c>
      <c r="BU59" s="133">
        <f>BU39+BU58</f>
        <v/>
      </c>
      <c r="BV59" s="133">
        <f>BV39+BV58</f>
        <v/>
      </c>
      <c r="BW59" s="133">
        <f>BW39+BW58</f>
        <v/>
      </c>
      <c r="BX59" s="133">
        <f>BX39+BX58</f>
        <v/>
      </c>
      <c r="BY59" s="133">
        <f>BY39+BY58</f>
        <v/>
      </c>
    </row>
    <row r="60" ht="15.75" customHeight="1" s="194"/>
    <row r="61" ht="15.75" customHeight="1" s="194"/>
    <row r="62" ht="15.75" customHeight="1" s="194"/>
    <row r="63" ht="15.75" customHeight="1" s="194"/>
    <row r="64" ht="15.75" customHeight="1" s="194"/>
    <row r="65" ht="15.75" customHeight="1" s="194"/>
    <row r="66" ht="15.75" customHeight="1" s="194"/>
    <row r="67" ht="15.75" customHeight="1" s="194"/>
    <row r="68" ht="15.75" customHeight="1" s="194"/>
    <row r="69" ht="15.75" customHeight="1" s="194"/>
    <row r="70" ht="15.75" customHeight="1" s="194"/>
    <row r="71" ht="15.75" customHeight="1" s="194"/>
    <row r="72" ht="15.75" customHeight="1" s="194"/>
    <row r="73" ht="15.75" customHeight="1" s="194"/>
    <row r="74" ht="15.75" customHeight="1" s="194"/>
    <row r="75" ht="15.75" customHeight="1" s="194"/>
    <row r="76" ht="15.75" customHeight="1" s="194"/>
    <row r="77" ht="15.75" customHeight="1" s="194"/>
    <row r="78" ht="15.75" customHeight="1" s="194"/>
    <row r="79" ht="15.75" customHeight="1" s="194"/>
    <row r="80" ht="15.75" customHeight="1" s="194"/>
    <row r="81" ht="15.75" customHeight="1" s="194"/>
    <row r="82" ht="15.75" customHeight="1" s="194"/>
    <row r="83" ht="15.75" customHeight="1" s="194"/>
    <row r="84" ht="15.75" customHeight="1" s="194"/>
    <row r="85" ht="15.75" customHeight="1" s="194"/>
    <row r="86" ht="15.75" customHeight="1" s="194"/>
    <row r="87" ht="15.75" customHeight="1" s="194"/>
    <row r="88" ht="15.75" customHeight="1" s="194"/>
    <row r="89" ht="15.75" customHeight="1" s="194"/>
    <row r="90" ht="15.75" customHeight="1" s="194"/>
    <row r="91" ht="15.75" customHeight="1" s="194"/>
    <row r="92" ht="15.75" customHeight="1" s="194"/>
    <row r="93" ht="15.75" customHeight="1" s="194"/>
    <row r="94" ht="15.75" customHeight="1" s="194"/>
    <row r="95" ht="15.75" customHeight="1" s="194"/>
    <row r="96" ht="15.75" customHeight="1" s="194"/>
    <row r="97" ht="15.75" customHeight="1" s="194"/>
    <row r="98" ht="15.75" customHeight="1" s="194"/>
    <row r="99" ht="15.75" customHeight="1" s="194"/>
    <row r="100" ht="15.75" customHeight="1" s="194"/>
    <row r="101" ht="15.75" customHeight="1" s="194"/>
    <row r="102" ht="15.75" customHeight="1" s="194"/>
    <row r="103" ht="15.75" customHeight="1" s="194"/>
    <row r="104" ht="15.75" customHeight="1" s="194"/>
    <row r="105" ht="15.75" customHeight="1" s="194"/>
    <row r="106" ht="15.75" customHeight="1" s="194"/>
    <row r="107" ht="15.75" customHeight="1" s="194"/>
    <row r="108" ht="15.75" customHeight="1" s="194"/>
    <row r="109" ht="15.75" customHeight="1" s="194"/>
    <row r="110" ht="15.75" customHeight="1" s="194"/>
    <row r="111" ht="15.75" customHeight="1" s="194"/>
    <row r="112" ht="15.75" customHeight="1" s="194"/>
    <row r="113" ht="15.75" customHeight="1" s="194"/>
    <row r="114" ht="15.75" customHeight="1" s="194"/>
    <row r="115" ht="15.75" customHeight="1" s="194"/>
    <row r="116" ht="15.75" customHeight="1" s="194"/>
    <row r="117" ht="15.75" customHeight="1" s="194"/>
    <row r="118" ht="15.75" customHeight="1" s="194"/>
    <row r="119" ht="15.75" customHeight="1" s="194"/>
    <row r="120" ht="15.75" customHeight="1" s="194"/>
    <row r="121" ht="15.75" customHeight="1" s="194"/>
    <row r="122" ht="15.75" customHeight="1" s="194"/>
    <row r="123" ht="15.75" customHeight="1" s="194"/>
    <row r="124" ht="15.75" customHeight="1" s="194"/>
    <row r="125" ht="15.75" customHeight="1" s="194"/>
    <row r="126" ht="15.75" customHeight="1" s="194"/>
    <row r="127" ht="15.75" customHeight="1" s="194"/>
    <row r="128" ht="15.75" customHeight="1" s="194"/>
    <row r="129" ht="15.75" customHeight="1" s="194"/>
    <row r="130" ht="15.75" customHeight="1" s="194"/>
    <row r="131" ht="15.75" customHeight="1" s="194"/>
    <row r="132" ht="15.75" customHeight="1" s="194"/>
    <row r="133" ht="15.75" customHeight="1" s="194"/>
    <row r="134" ht="15.75" customHeight="1" s="194"/>
    <row r="135" ht="15.75" customHeight="1" s="194"/>
    <row r="136" ht="15.75" customHeight="1" s="194"/>
    <row r="137" ht="15.75" customHeight="1" s="194"/>
    <row r="138" ht="15.75" customHeight="1" s="194"/>
    <row r="139" ht="15.75" customHeight="1" s="194"/>
    <row r="140" ht="15.75" customHeight="1" s="194"/>
    <row r="141" ht="15.75" customHeight="1" s="194"/>
    <row r="142" ht="15.75" customHeight="1" s="194"/>
    <row r="143" ht="15.75" customHeight="1" s="194"/>
    <row r="144" ht="15.75" customHeight="1" s="194"/>
    <row r="145" ht="15.75" customHeight="1" s="194"/>
    <row r="146" ht="15.75" customHeight="1" s="194"/>
    <row r="147" ht="15.75" customHeight="1" s="194"/>
    <row r="148" ht="15.75" customHeight="1" s="194"/>
    <row r="149" ht="15.75" customHeight="1" s="194"/>
    <row r="150" ht="15.75" customHeight="1" s="194"/>
    <row r="151" ht="15.75" customHeight="1" s="194"/>
    <row r="152" ht="15.75" customHeight="1" s="194"/>
    <row r="153" ht="15.75" customHeight="1" s="194"/>
    <row r="154" ht="15.75" customHeight="1" s="194"/>
    <row r="155" ht="15.75" customHeight="1" s="194"/>
    <row r="156" ht="15.75" customHeight="1" s="194"/>
    <row r="157" ht="15.75" customHeight="1" s="194"/>
    <row r="158" ht="15.75" customHeight="1" s="194"/>
    <row r="159" ht="15.75" customHeight="1" s="194"/>
    <row r="160" ht="15.75" customHeight="1" s="194"/>
    <row r="161" ht="15.75" customHeight="1" s="194"/>
    <row r="162" ht="15.75" customHeight="1" s="194"/>
    <row r="163" ht="15.75" customHeight="1" s="194"/>
    <row r="164" ht="15.75" customHeight="1" s="194"/>
    <row r="165" ht="15.75" customHeight="1" s="194"/>
    <row r="166" ht="15.75" customHeight="1" s="194"/>
    <row r="167" ht="15.75" customHeight="1" s="194"/>
    <row r="168" ht="15.75" customHeight="1" s="194"/>
    <row r="169" ht="15.75" customHeight="1" s="194"/>
    <row r="170" ht="15.75" customHeight="1" s="194"/>
    <row r="171" ht="15.75" customHeight="1" s="194"/>
    <row r="172" ht="15.75" customHeight="1" s="194"/>
    <row r="173" ht="15.75" customHeight="1" s="194"/>
    <row r="174" ht="15.75" customHeight="1" s="194"/>
    <row r="175" ht="15.75" customHeight="1" s="194"/>
    <row r="176" ht="15.75" customHeight="1" s="194"/>
    <row r="177" ht="15.75" customHeight="1" s="194"/>
    <row r="178" ht="15.75" customHeight="1" s="194"/>
    <row r="179" ht="15.75" customHeight="1" s="194"/>
    <row r="180" ht="15.75" customHeight="1" s="194"/>
    <row r="181" ht="15.75" customHeight="1" s="194"/>
    <row r="182" ht="15.75" customHeight="1" s="194"/>
    <row r="183" ht="15.75" customHeight="1" s="194"/>
    <row r="184" ht="15.75" customHeight="1" s="194"/>
    <row r="185" ht="15.75" customHeight="1" s="194"/>
    <row r="186" ht="15.75" customHeight="1" s="194"/>
    <row r="187" ht="15.75" customHeight="1" s="194"/>
    <row r="188" ht="15.75" customHeight="1" s="194"/>
    <row r="189" ht="15.75" customHeight="1" s="194"/>
    <row r="190" ht="15.75" customHeight="1" s="194"/>
    <row r="191" ht="15.75" customHeight="1" s="194"/>
    <row r="192" ht="15.75" customHeight="1" s="194"/>
    <row r="193" ht="15.75" customHeight="1" s="194"/>
    <row r="194" ht="15.75" customHeight="1" s="194"/>
    <row r="195" ht="15.75" customHeight="1" s="194"/>
    <row r="196" ht="15.75" customHeight="1" s="194"/>
    <row r="197" ht="15.75" customHeight="1" s="194"/>
    <row r="198" ht="15.75" customHeight="1" s="194"/>
    <row r="199" ht="15.75" customHeight="1" s="194"/>
    <row r="200" ht="15.75" customHeight="1" s="194"/>
    <row r="201" ht="15.75" customHeight="1" s="194"/>
    <row r="202" ht="15.75" customHeight="1" s="194"/>
    <row r="203" ht="15.75" customHeight="1" s="194"/>
    <row r="204" ht="15.75" customHeight="1" s="194"/>
    <row r="205" ht="15.75" customHeight="1" s="194"/>
    <row r="206" ht="15.75" customHeight="1" s="194"/>
    <row r="207" ht="15.75" customHeight="1" s="194"/>
    <row r="208" ht="15.75" customHeight="1" s="194"/>
    <row r="209" ht="15.75" customHeight="1" s="194"/>
    <row r="210" ht="15.75" customHeight="1" s="194"/>
    <row r="211" ht="15.75" customHeight="1" s="194"/>
    <row r="212" ht="15.75" customHeight="1" s="194"/>
    <row r="213" ht="15.75" customHeight="1" s="194"/>
    <row r="214" ht="15.75" customHeight="1" s="194"/>
    <row r="215" ht="15.75" customHeight="1" s="194"/>
    <row r="216" ht="15.75" customHeight="1" s="194"/>
    <row r="217" ht="15.75" customHeight="1" s="194"/>
    <row r="218" ht="15.75" customHeight="1" s="194"/>
    <row r="219" ht="15.75" customHeight="1" s="194"/>
    <row r="220" ht="15.75" customHeight="1" s="194"/>
    <row r="221" ht="15.75" customHeight="1" s="194"/>
    <row r="222" ht="15.75" customHeight="1" s="194"/>
    <row r="223" ht="15.75" customHeight="1" s="194"/>
    <row r="224" ht="15.75" customHeight="1" s="194"/>
    <row r="225" ht="15.75" customHeight="1" s="194"/>
    <row r="226" ht="15.75" customHeight="1" s="194"/>
    <row r="227" ht="15.75" customHeight="1" s="194"/>
    <row r="228" ht="15.75" customHeight="1" s="194"/>
    <row r="229" ht="15.75" customHeight="1" s="194"/>
    <row r="230" ht="15.75" customHeight="1" s="194"/>
    <row r="231" ht="15.75" customHeight="1" s="194"/>
    <row r="232" ht="15.75" customHeight="1" s="194"/>
    <row r="233" ht="15.75" customHeight="1" s="194"/>
    <row r="234" ht="15.75" customHeight="1" s="194"/>
    <row r="235" ht="15.75" customHeight="1" s="194"/>
    <row r="236" ht="15.75" customHeight="1" s="194"/>
    <row r="237" ht="15.75" customHeight="1" s="194"/>
    <row r="238" ht="15.75" customHeight="1" s="194"/>
    <row r="239" ht="15.75" customHeight="1" s="194"/>
    <row r="240" ht="15.75" customHeight="1" s="194"/>
    <row r="241" ht="15.75" customHeight="1" s="194"/>
    <row r="242" ht="15.75" customHeight="1" s="194"/>
    <row r="243" ht="15.75" customHeight="1" s="194"/>
    <row r="244" ht="15.75" customHeight="1" s="194"/>
    <row r="245" ht="15.75" customHeight="1" s="194"/>
    <row r="246" ht="15.75" customHeight="1" s="194"/>
    <row r="247" ht="15.75" customHeight="1" s="194"/>
    <row r="248" ht="15.75" customHeight="1" s="194"/>
    <row r="249" ht="15.75" customHeight="1" s="194"/>
    <row r="250" ht="15.75" customHeight="1" s="194"/>
    <row r="251" ht="15.75" customHeight="1" s="194"/>
    <row r="252" ht="15.75" customHeight="1" s="194"/>
    <row r="253" ht="15.75" customHeight="1" s="194"/>
    <row r="254" ht="15.75" customHeight="1" s="194"/>
    <row r="255" ht="15.75" customHeight="1" s="194"/>
    <row r="256" ht="15.75" customHeight="1" s="194"/>
    <row r="257" ht="15.75" customHeight="1" s="194"/>
    <row r="258" ht="15.75" customHeight="1" s="194"/>
    <row r="259" ht="15.75" customHeight="1" s="194"/>
    <row r="260" ht="15.75" customHeight="1" s="194"/>
    <row r="261" ht="15.75" customHeight="1" s="194"/>
    <row r="262" ht="15.75" customHeight="1" s="194"/>
    <row r="263" ht="15.75" customHeight="1" s="194"/>
    <row r="264" ht="15.75" customHeight="1" s="194"/>
    <row r="265" ht="15.75" customHeight="1" s="194"/>
    <row r="266" ht="15.75" customHeight="1" s="194"/>
    <row r="267" ht="15.75" customHeight="1" s="194"/>
    <row r="268" ht="15.75" customHeight="1" s="194"/>
    <row r="269" ht="15.75" customHeight="1" s="194"/>
    <row r="270" ht="15.75" customHeight="1" s="194"/>
    <row r="271" ht="15.75" customHeight="1" s="194"/>
    <row r="272" ht="15.75" customHeight="1" s="194"/>
    <row r="273" ht="15.75" customHeight="1" s="194"/>
    <row r="274" ht="15.75" customHeight="1" s="194"/>
    <row r="275" ht="15.75" customHeight="1" s="194"/>
    <row r="276" ht="15.75" customHeight="1" s="194"/>
    <row r="277" ht="15.75" customHeight="1" s="194"/>
    <row r="278" ht="15.75" customHeight="1" s="194"/>
    <row r="279" ht="15.75" customHeight="1" s="194"/>
    <row r="280" ht="15.75" customHeight="1" s="194"/>
    <row r="281" ht="15.75" customHeight="1" s="194"/>
    <row r="282" ht="15.75" customHeight="1" s="194"/>
    <row r="283" ht="15.75" customHeight="1" s="194"/>
    <row r="284" ht="15.75" customHeight="1" s="194"/>
    <row r="285" ht="15.75" customHeight="1" s="194"/>
    <row r="286" ht="15.75" customHeight="1" s="194"/>
    <row r="287" ht="15.75" customHeight="1" s="194"/>
    <row r="288" ht="15.75" customHeight="1" s="194"/>
    <row r="289" ht="15.75" customHeight="1" s="194"/>
    <row r="290" ht="15.75" customHeight="1" s="194"/>
    <row r="291" ht="15.75" customHeight="1" s="194"/>
    <row r="292" ht="15.75" customHeight="1" s="194"/>
    <row r="293" ht="15.75" customHeight="1" s="194"/>
    <row r="294" ht="15.75" customHeight="1" s="194"/>
    <row r="295" ht="15.75" customHeight="1" s="194"/>
    <row r="296" ht="15.75" customHeight="1" s="194"/>
    <row r="297" ht="15.75" customHeight="1" s="194"/>
    <row r="298" ht="15.75" customHeight="1" s="194"/>
    <row r="299" ht="15.75" customHeight="1" s="194"/>
    <row r="300" ht="15.75" customHeight="1" s="194"/>
    <row r="301" ht="15.75" customHeight="1" s="194"/>
    <row r="302" ht="15.75" customHeight="1" s="194"/>
    <row r="303" ht="15.75" customHeight="1" s="194"/>
    <row r="304" ht="15.75" customHeight="1" s="194"/>
    <row r="305" ht="15.75" customHeight="1" s="194"/>
    <row r="306" ht="15.75" customHeight="1" s="194"/>
    <row r="307" ht="15.75" customHeight="1" s="194"/>
    <row r="308" ht="15.75" customHeight="1" s="194"/>
    <row r="309" ht="15.75" customHeight="1" s="194"/>
    <row r="310" ht="15.75" customHeight="1" s="194"/>
    <row r="311" ht="15.75" customHeight="1" s="194"/>
    <row r="312" ht="15.75" customHeight="1" s="194"/>
    <row r="313" ht="15.75" customHeight="1" s="194"/>
    <row r="314" ht="15.75" customHeight="1" s="194"/>
    <row r="315" ht="15.75" customHeight="1" s="194"/>
    <row r="316" ht="15.75" customHeight="1" s="194"/>
    <row r="317" ht="15.75" customHeight="1" s="194"/>
    <row r="318" ht="15.75" customHeight="1" s="194"/>
    <row r="319" ht="15.75" customHeight="1" s="194"/>
    <row r="320" ht="15.75" customHeight="1" s="194"/>
    <row r="321" ht="15.75" customHeight="1" s="194"/>
    <row r="322" ht="15.75" customHeight="1" s="194"/>
    <row r="323" ht="15.75" customHeight="1" s="194"/>
    <row r="324" ht="15.75" customHeight="1" s="194"/>
    <row r="325" ht="15.75" customHeight="1" s="194"/>
    <row r="326" ht="15.75" customHeight="1" s="194"/>
    <row r="327" ht="15.75" customHeight="1" s="194"/>
    <row r="328" ht="15.75" customHeight="1" s="194"/>
    <row r="329" ht="15.75" customHeight="1" s="194"/>
    <row r="330" ht="15.75" customHeight="1" s="194"/>
    <row r="331" ht="15.75" customHeight="1" s="194"/>
    <row r="332" ht="15.75" customHeight="1" s="194"/>
    <row r="333" ht="15.75" customHeight="1" s="194"/>
    <row r="334" ht="15.75" customHeight="1" s="194"/>
    <row r="335" ht="15.75" customHeight="1" s="194"/>
    <row r="336" ht="15.75" customHeight="1" s="194"/>
    <row r="337" ht="15.75" customHeight="1" s="194"/>
    <row r="338" ht="15.75" customHeight="1" s="194"/>
    <row r="339" ht="15.75" customHeight="1" s="194"/>
    <row r="340" ht="15.75" customHeight="1" s="194"/>
    <row r="341" ht="15.75" customHeight="1" s="194"/>
    <row r="342" ht="15.75" customHeight="1" s="194"/>
    <row r="343" ht="15.75" customHeight="1" s="194"/>
    <row r="344" ht="15.75" customHeight="1" s="194"/>
    <row r="345" ht="15.75" customHeight="1" s="194"/>
    <row r="346" ht="15.75" customHeight="1" s="194"/>
    <row r="347" ht="15.75" customHeight="1" s="194"/>
    <row r="348" ht="15.75" customHeight="1" s="194"/>
    <row r="349" ht="15.75" customHeight="1" s="194"/>
    <row r="350" ht="15.75" customHeight="1" s="194"/>
    <row r="351" ht="15.75" customHeight="1" s="194"/>
    <row r="352" ht="15.75" customHeight="1" s="194"/>
    <row r="353" ht="15.75" customHeight="1" s="194"/>
    <row r="354" ht="15.75" customHeight="1" s="194"/>
    <row r="355" ht="15.75" customHeight="1" s="194"/>
    <row r="356" ht="15.75" customHeight="1" s="194"/>
    <row r="357" ht="15.75" customHeight="1" s="194"/>
    <row r="358" ht="15.75" customHeight="1" s="194"/>
    <row r="359" ht="15.75" customHeight="1" s="194"/>
    <row r="360" ht="15.75" customHeight="1" s="194"/>
    <row r="361" ht="15.75" customHeight="1" s="194"/>
    <row r="362" ht="15.75" customHeight="1" s="194"/>
    <row r="363" ht="15.75" customHeight="1" s="194"/>
    <row r="364" ht="15.75" customHeight="1" s="194"/>
    <row r="365" ht="15.75" customHeight="1" s="194"/>
    <row r="366" ht="15.75" customHeight="1" s="194"/>
    <row r="367" ht="15.75" customHeight="1" s="194"/>
    <row r="368" ht="15.75" customHeight="1" s="194"/>
    <row r="369" ht="15.75" customHeight="1" s="194"/>
    <row r="370" ht="15.75" customHeight="1" s="194"/>
    <row r="371" ht="15.75" customHeight="1" s="194"/>
    <row r="372" ht="15.75" customHeight="1" s="194"/>
    <row r="373" ht="15.75" customHeight="1" s="194"/>
    <row r="374" ht="15.75" customHeight="1" s="194"/>
    <row r="375" ht="15.75" customHeight="1" s="194"/>
    <row r="376" ht="15.75" customHeight="1" s="194"/>
    <row r="377" ht="15.75" customHeight="1" s="194"/>
    <row r="378" ht="15.75" customHeight="1" s="194"/>
    <row r="379" ht="15.75" customHeight="1" s="194"/>
    <row r="380" ht="15.75" customHeight="1" s="194"/>
    <row r="381" ht="15.75" customHeight="1" s="194"/>
    <row r="382" ht="15.75" customHeight="1" s="194"/>
    <row r="383" ht="15.75" customHeight="1" s="194"/>
    <row r="384" ht="15.75" customHeight="1" s="194"/>
    <row r="385" ht="15.75" customHeight="1" s="194"/>
    <row r="386" ht="15.75" customHeight="1" s="194"/>
    <row r="387" ht="15.75" customHeight="1" s="194"/>
    <row r="388" ht="15.75" customHeight="1" s="194"/>
    <row r="389" ht="15.75" customHeight="1" s="194"/>
    <row r="390" ht="15.75" customHeight="1" s="194"/>
    <row r="391" ht="15.75" customHeight="1" s="194"/>
    <row r="392" ht="15.75" customHeight="1" s="194"/>
    <row r="393" ht="15.75" customHeight="1" s="194"/>
    <row r="394" ht="15.75" customHeight="1" s="194"/>
    <row r="395" ht="15.75" customHeight="1" s="194"/>
    <row r="396" ht="15.75" customHeight="1" s="194"/>
    <row r="397" ht="15.75" customHeight="1" s="194"/>
    <row r="398" ht="15.75" customHeight="1" s="194"/>
    <row r="399" ht="15.75" customHeight="1" s="194"/>
    <row r="400" ht="15.75" customHeight="1" s="194"/>
    <row r="401" ht="15.75" customHeight="1" s="194"/>
    <row r="402" ht="15.75" customHeight="1" s="194"/>
    <row r="403" ht="15.75" customHeight="1" s="194"/>
    <row r="404" ht="15.75" customHeight="1" s="194"/>
    <row r="405" ht="15.75" customHeight="1" s="194"/>
    <row r="406" ht="15.75" customHeight="1" s="194"/>
    <row r="407" ht="15.75" customHeight="1" s="194"/>
    <row r="408" ht="15.75" customHeight="1" s="194"/>
    <row r="409" ht="15.75" customHeight="1" s="194"/>
    <row r="410" ht="15.75" customHeight="1" s="194"/>
    <row r="411" ht="15.75" customHeight="1" s="194"/>
    <row r="412" ht="15.75" customHeight="1" s="194"/>
    <row r="413" ht="15.75" customHeight="1" s="194"/>
    <row r="414" ht="15.75" customHeight="1" s="194"/>
    <row r="415" ht="15.75" customHeight="1" s="194"/>
    <row r="416" ht="15.75" customHeight="1" s="194"/>
    <row r="417" ht="15.75" customHeight="1" s="194"/>
    <row r="418" ht="15.75" customHeight="1" s="194"/>
    <row r="419" ht="15.75" customHeight="1" s="194"/>
    <row r="420" ht="15.75" customHeight="1" s="194"/>
    <row r="421" ht="15.75" customHeight="1" s="194"/>
    <row r="422" ht="15.75" customHeight="1" s="194"/>
    <row r="423" ht="15.75" customHeight="1" s="194"/>
    <row r="424" ht="15.75" customHeight="1" s="194"/>
    <row r="425" ht="15.75" customHeight="1" s="194"/>
    <row r="426" ht="15.75" customHeight="1" s="194"/>
    <row r="427" ht="15.75" customHeight="1" s="194"/>
    <row r="428" ht="15.75" customHeight="1" s="194"/>
    <row r="429" ht="15.75" customHeight="1" s="194"/>
    <row r="430" ht="15.75" customHeight="1" s="194"/>
    <row r="431" ht="15.75" customHeight="1" s="194"/>
    <row r="432" ht="15.75" customHeight="1" s="194"/>
    <row r="433" ht="15.75" customHeight="1" s="194"/>
    <row r="434" ht="15.75" customHeight="1" s="194"/>
    <row r="435" ht="15.75" customHeight="1" s="194"/>
    <row r="436" ht="15.75" customHeight="1" s="194"/>
    <row r="437" ht="15.75" customHeight="1" s="194"/>
    <row r="438" ht="15.75" customHeight="1" s="194"/>
    <row r="439" ht="15.75" customHeight="1" s="194"/>
    <row r="440" ht="15.75" customHeight="1" s="194"/>
    <row r="441" ht="15.75" customHeight="1" s="194"/>
    <row r="442" ht="15.75" customHeight="1" s="194"/>
    <row r="443" ht="15.75" customHeight="1" s="194"/>
    <row r="444" ht="15.75" customHeight="1" s="194"/>
    <row r="445" ht="15.75" customHeight="1" s="194"/>
    <row r="446" ht="15.75" customHeight="1" s="194"/>
    <row r="447" ht="15.75" customHeight="1" s="194"/>
    <row r="448" ht="15.75" customHeight="1" s="194"/>
    <row r="449" ht="15.75" customHeight="1" s="194"/>
    <row r="450" ht="15.75" customHeight="1" s="194"/>
    <row r="451" ht="15.75" customHeight="1" s="194"/>
    <row r="452" ht="15.75" customHeight="1" s="194"/>
    <row r="453" ht="15.75" customHeight="1" s="194"/>
    <row r="454" ht="15.75" customHeight="1" s="194"/>
    <row r="455" ht="15.75" customHeight="1" s="194"/>
    <row r="456" ht="15.75" customHeight="1" s="194"/>
    <row r="457" ht="15.75" customHeight="1" s="194"/>
    <row r="458" ht="15.75" customHeight="1" s="194"/>
    <row r="459" ht="15.75" customHeight="1" s="194"/>
    <row r="460" ht="15.75" customHeight="1" s="194"/>
    <row r="461" ht="15.75" customHeight="1" s="194"/>
    <row r="462" ht="15.75" customHeight="1" s="194"/>
    <row r="463" ht="15.75" customHeight="1" s="194"/>
    <row r="464" ht="15.75" customHeight="1" s="194"/>
    <row r="465" ht="15.75" customHeight="1" s="194"/>
    <row r="466" ht="15.75" customHeight="1" s="194"/>
    <row r="467" ht="15.75" customHeight="1" s="194"/>
    <row r="468" ht="15.75" customHeight="1" s="194"/>
    <row r="469" ht="15.75" customHeight="1" s="194"/>
    <row r="470" ht="15.75" customHeight="1" s="194"/>
    <row r="471" ht="15.75" customHeight="1" s="194"/>
    <row r="472" ht="15.75" customHeight="1" s="194"/>
    <row r="473" ht="15.75" customHeight="1" s="194"/>
    <row r="474" ht="15.75" customHeight="1" s="194"/>
    <row r="475" ht="15.75" customHeight="1" s="194"/>
    <row r="476" ht="15.75" customHeight="1" s="194"/>
    <row r="477" ht="15.75" customHeight="1" s="194"/>
    <row r="478" ht="15.75" customHeight="1" s="194"/>
    <row r="479" ht="15.75" customHeight="1" s="194"/>
    <row r="480" ht="15.75" customHeight="1" s="194"/>
    <row r="481" ht="15.75" customHeight="1" s="194"/>
    <row r="482" ht="15.75" customHeight="1" s="194"/>
    <row r="483" ht="15.75" customHeight="1" s="194"/>
    <row r="484" ht="15.75" customHeight="1" s="194"/>
    <row r="485" ht="15.75" customHeight="1" s="194"/>
    <row r="486" ht="15.75" customHeight="1" s="194"/>
    <row r="487" ht="15.75" customHeight="1" s="194"/>
    <row r="488" ht="15.75" customHeight="1" s="194"/>
    <row r="489" ht="15.75" customHeight="1" s="194"/>
    <row r="490" ht="15.75" customHeight="1" s="194"/>
    <row r="491" ht="15.75" customHeight="1" s="194"/>
    <row r="492" ht="15.75" customHeight="1" s="194"/>
    <row r="493" ht="15.75" customHeight="1" s="194"/>
    <row r="494" ht="15.75" customHeight="1" s="194"/>
    <row r="495" ht="15.75" customHeight="1" s="194"/>
    <row r="496" ht="15.75" customHeight="1" s="194"/>
    <row r="497" ht="15.75" customHeight="1" s="194"/>
    <row r="498" ht="15.75" customHeight="1" s="194"/>
    <row r="499" ht="15.75" customHeight="1" s="194"/>
    <row r="500" ht="15.75" customHeight="1" s="194"/>
    <row r="501" ht="15.75" customHeight="1" s="194"/>
    <row r="502" ht="15.75" customHeight="1" s="194"/>
    <row r="503" ht="15.75" customHeight="1" s="194"/>
    <row r="504" ht="15.75" customHeight="1" s="194"/>
    <row r="505" ht="15.75" customHeight="1" s="194"/>
    <row r="506" ht="15.75" customHeight="1" s="194"/>
    <row r="507" ht="15.75" customHeight="1" s="194"/>
    <row r="508" ht="15.75" customHeight="1" s="194"/>
    <row r="509" ht="15.75" customHeight="1" s="194"/>
    <row r="510" ht="15.75" customHeight="1" s="194"/>
    <row r="511" ht="15.75" customHeight="1" s="194"/>
    <row r="512" ht="15.75" customHeight="1" s="194"/>
    <row r="513" ht="15.75" customHeight="1" s="194"/>
    <row r="514" ht="15.75" customHeight="1" s="194"/>
    <row r="515" ht="15.75" customHeight="1" s="194"/>
    <row r="516" ht="15.75" customHeight="1" s="194"/>
    <row r="517" ht="15.75" customHeight="1" s="194"/>
    <row r="518" ht="15.75" customHeight="1" s="194"/>
    <row r="519" ht="15.75" customHeight="1" s="194"/>
    <row r="520" ht="15.75" customHeight="1" s="194"/>
    <row r="521" ht="15.75" customHeight="1" s="194"/>
    <row r="522" ht="15.75" customHeight="1" s="194"/>
    <row r="523" ht="15.75" customHeight="1" s="194"/>
    <row r="524" ht="15.75" customHeight="1" s="194"/>
    <row r="525" ht="15.75" customHeight="1" s="194"/>
    <row r="526" ht="15.75" customHeight="1" s="194"/>
    <row r="527" ht="15.75" customHeight="1" s="194"/>
    <row r="528" ht="15.75" customHeight="1" s="194"/>
    <row r="529" ht="15.75" customHeight="1" s="194"/>
    <row r="530" ht="15.75" customHeight="1" s="194"/>
    <row r="531" ht="15.75" customHeight="1" s="194"/>
    <row r="532" ht="15.75" customHeight="1" s="194"/>
    <row r="533" ht="15.75" customHeight="1" s="194"/>
    <row r="534" ht="15.75" customHeight="1" s="194"/>
    <row r="535" ht="15.75" customHeight="1" s="194"/>
    <row r="536" ht="15.75" customHeight="1" s="194"/>
    <row r="537" ht="15.75" customHeight="1" s="194"/>
    <row r="538" ht="15.75" customHeight="1" s="194"/>
    <row r="539" ht="15.75" customHeight="1" s="194"/>
    <row r="540" ht="15.75" customHeight="1" s="194"/>
    <row r="541" ht="15.75" customHeight="1" s="194"/>
    <row r="542" ht="15.75" customHeight="1" s="194"/>
    <row r="543" ht="15.75" customHeight="1" s="194"/>
    <row r="544" ht="15.75" customHeight="1" s="194"/>
    <row r="545" ht="15.75" customHeight="1" s="194"/>
    <row r="546" ht="15.75" customHeight="1" s="194"/>
    <row r="547" ht="15.75" customHeight="1" s="194"/>
    <row r="548" ht="15.75" customHeight="1" s="194"/>
    <row r="549" ht="15.75" customHeight="1" s="194"/>
    <row r="550" ht="15.75" customHeight="1" s="194"/>
    <row r="551" ht="15.75" customHeight="1" s="194"/>
    <row r="552" ht="15.75" customHeight="1" s="194"/>
    <row r="553" ht="15.75" customHeight="1" s="194"/>
    <row r="554" ht="15.75" customHeight="1" s="194"/>
    <row r="555" ht="15.75" customHeight="1" s="194"/>
    <row r="556" ht="15.75" customHeight="1" s="194"/>
    <row r="557" ht="15.75" customHeight="1" s="194"/>
    <row r="558" ht="15.75" customHeight="1" s="194"/>
    <row r="559" ht="15.75" customHeight="1" s="194"/>
    <row r="560" ht="15.75" customHeight="1" s="194"/>
    <row r="561" ht="15.75" customHeight="1" s="194"/>
    <row r="562" ht="15.75" customHeight="1" s="194"/>
    <row r="563" ht="15.75" customHeight="1" s="194"/>
    <row r="564" ht="15.75" customHeight="1" s="194"/>
    <row r="565" ht="15.75" customHeight="1" s="194"/>
    <row r="566" ht="15.75" customHeight="1" s="194"/>
    <row r="567" ht="15.75" customHeight="1" s="194"/>
    <row r="568" ht="15.75" customHeight="1" s="194"/>
    <row r="569" ht="15.75" customHeight="1" s="194"/>
    <row r="570" ht="15.75" customHeight="1" s="194"/>
    <row r="571" ht="15.75" customHeight="1" s="194"/>
    <row r="572" ht="15.75" customHeight="1" s="194"/>
    <row r="573" ht="15.75" customHeight="1" s="194"/>
    <row r="574" ht="15.75" customHeight="1" s="194"/>
    <row r="575" ht="15.75" customHeight="1" s="194"/>
    <row r="576" ht="15.75" customHeight="1" s="194"/>
    <row r="577" ht="15.75" customHeight="1" s="194"/>
    <row r="578" ht="15.75" customHeight="1" s="194"/>
    <row r="579" ht="15.75" customHeight="1" s="194"/>
    <row r="580" ht="15.75" customHeight="1" s="194"/>
    <row r="581" ht="15.75" customHeight="1" s="194"/>
    <row r="582" ht="15.75" customHeight="1" s="194"/>
    <row r="583" ht="15.75" customHeight="1" s="194"/>
    <row r="584" ht="15.75" customHeight="1" s="194"/>
    <row r="585" ht="15.75" customHeight="1" s="194"/>
    <row r="586" ht="15.75" customHeight="1" s="194"/>
    <row r="587" ht="15.75" customHeight="1" s="194"/>
    <row r="588" ht="15.75" customHeight="1" s="194"/>
    <row r="589" ht="15.75" customHeight="1" s="194"/>
    <row r="590" ht="15.75" customHeight="1" s="194"/>
    <row r="591" ht="15.75" customHeight="1" s="194"/>
    <row r="592" ht="15.75" customHeight="1" s="194"/>
    <row r="593" ht="15.75" customHeight="1" s="194"/>
    <row r="594" ht="15.75" customHeight="1" s="194"/>
    <row r="595" ht="15.75" customHeight="1" s="194"/>
    <row r="596" ht="15.75" customHeight="1" s="194"/>
    <row r="597" ht="15.75" customHeight="1" s="194"/>
    <row r="598" ht="15.75" customHeight="1" s="194"/>
    <row r="599" ht="15.75" customHeight="1" s="194"/>
    <row r="600" ht="15.75" customHeight="1" s="194"/>
    <row r="601" ht="15.75" customHeight="1" s="194"/>
    <row r="602" ht="15.75" customHeight="1" s="194"/>
    <row r="603" ht="15.75" customHeight="1" s="194"/>
    <row r="604" ht="15.75" customHeight="1" s="194"/>
    <row r="605" ht="15.75" customHeight="1" s="194"/>
    <row r="606" ht="15.75" customHeight="1" s="194"/>
    <row r="607" ht="15.75" customHeight="1" s="194"/>
    <row r="608" ht="15.75" customHeight="1" s="194"/>
    <row r="609" ht="15.75" customHeight="1" s="194"/>
    <row r="610" ht="15.75" customHeight="1" s="194"/>
    <row r="611" ht="15.75" customHeight="1" s="194"/>
    <row r="612" ht="15.75" customHeight="1" s="194"/>
    <row r="613" ht="15.75" customHeight="1" s="194"/>
    <row r="614" ht="15.75" customHeight="1" s="194"/>
    <row r="615" ht="15.75" customHeight="1" s="194"/>
    <row r="616" ht="15.75" customHeight="1" s="194"/>
    <row r="617" ht="15.75" customHeight="1" s="194"/>
    <row r="618" ht="15.75" customHeight="1" s="194"/>
    <row r="619" ht="15.75" customHeight="1" s="194"/>
    <row r="620" ht="15.75" customHeight="1" s="194"/>
    <row r="621" ht="15.75" customHeight="1" s="194"/>
    <row r="622" ht="15.75" customHeight="1" s="194"/>
    <row r="623" ht="15.75" customHeight="1" s="194"/>
    <row r="624" ht="15.75" customHeight="1" s="194"/>
    <row r="625" ht="15.75" customHeight="1" s="194"/>
    <row r="626" ht="15.75" customHeight="1" s="194"/>
    <row r="627" ht="15.75" customHeight="1" s="194"/>
    <row r="628" ht="15.75" customHeight="1" s="194"/>
    <row r="629" ht="15.75" customHeight="1" s="194"/>
    <row r="630" ht="15.75" customHeight="1" s="194"/>
    <row r="631" ht="15.75" customHeight="1" s="194"/>
    <row r="632" ht="15.75" customHeight="1" s="194"/>
    <row r="633" ht="15.75" customHeight="1" s="194"/>
    <row r="634" ht="15.75" customHeight="1" s="194"/>
    <row r="635" ht="15.75" customHeight="1" s="194"/>
    <row r="636" ht="15.75" customHeight="1" s="194"/>
    <row r="637" ht="15.75" customHeight="1" s="194"/>
    <row r="638" ht="15.75" customHeight="1" s="194"/>
    <row r="639" ht="15.75" customHeight="1" s="194"/>
    <row r="640" ht="15.75" customHeight="1" s="194"/>
    <row r="641" ht="15.75" customHeight="1" s="194"/>
    <row r="642" ht="15.75" customHeight="1" s="194"/>
    <row r="643" ht="15.75" customHeight="1" s="194"/>
    <row r="644" ht="15.75" customHeight="1" s="194"/>
    <row r="645" ht="15.75" customHeight="1" s="194"/>
    <row r="646" ht="15.75" customHeight="1" s="194"/>
    <row r="647" ht="15.75" customHeight="1" s="194"/>
    <row r="648" ht="15.75" customHeight="1" s="194"/>
    <row r="649" ht="15.75" customHeight="1" s="194"/>
    <row r="650" ht="15.75" customHeight="1" s="194"/>
    <row r="651" ht="15.75" customHeight="1" s="194"/>
    <row r="652" ht="15.75" customHeight="1" s="194"/>
    <row r="653" ht="15.75" customHeight="1" s="194"/>
    <row r="654" ht="15.75" customHeight="1" s="194"/>
    <row r="655" ht="15.75" customHeight="1" s="194"/>
    <row r="656" ht="15.75" customHeight="1" s="194"/>
    <row r="657" ht="15.75" customHeight="1" s="194"/>
    <row r="658" ht="15.75" customHeight="1" s="194"/>
    <row r="659" ht="15.75" customHeight="1" s="194"/>
    <row r="660" ht="15.75" customHeight="1" s="194"/>
    <row r="661" ht="15.75" customHeight="1" s="194"/>
    <row r="662" ht="15.75" customHeight="1" s="194"/>
    <row r="663" ht="15.75" customHeight="1" s="194"/>
    <row r="664" ht="15.75" customHeight="1" s="194"/>
    <row r="665" ht="15.75" customHeight="1" s="194"/>
    <row r="666" ht="15.75" customHeight="1" s="194"/>
    <row r="667" ht="15.75" customHeight="1" s="194"/>
    <row r="668" ht="15.75" customHeight="1" s="194"/>
    <row r="669" ht="15.75" customHeight="1" s="194"/>
    <row r="670" ht="15.75" customHeight="1" s="194"/>
    <row r="671" ht="15.75" customHeight="1" s="194"/>
    <row r="672" ht="15.75" customHeight="1" s="194"/>
    <row r="673" ht="15.75" customHeight="1" s="194"/>
    <row r="674" ht="15.75" customHeight="1" s="194"/>
    <row r="675" ht="15.75" customHeight="1" s="194"/>
    <row r="676" ht="15.75" customHeight="1" s="194"/>
    <row r="677" ht="15.75" customHeight="1" s="194"/>
    <row r="678" ht="15.75" customHeight="1" s="194"/>
    <row r="679" ht="15.75" customHeight="1" s="194"/>
    <row r="680" ht="15.75" customHeight="1" s="194"/>
    <row r="681" ht="15.75" customHeight="1" s="194"/>
    <row r="682" ht="15.75" customHeight="1" s="194"/>
    <row r="683" ht="15.75" customHeight="1" s="194"/>
    <row r="684" ht="15.75" customHeight="1" s="194"/>
    <row r="685" ht="15.75" customHeight="1" s="194"/>
    <row r="686" ht="15.75" customHeight="1" s="194"/>
    <row r="687" ht="15.75" customHeight="1" s="194"/>
    <row r="688" ht="15.75" customHeight="1" s="194"/>
    <row r="689" ht="15.75" customHeight="1" s="194"/>
    <row r="690" ht="15.75" customHeight="1" s="194"/>
    <row r="691" ht="15.75" customHeight="1" s="194"/>
    <row r="692" ht="15.75" customHeight="1" s="194"/>
    <row r="693" ht="15.75" customHeight="1" s="194"/>
    <row r="694" ht="15.75" customHeight="1" s="194"/>
    <row r="695" ht="15.75" customHeight="1" s="194"/>
    <row r="696" ht="15.75" customHeight="1" s="194"/>
    <row r="697" ht="15.75" customHeight="1" s="194"/>
    <row r="698" ht="15.75" customHeight="1" s="194"/>
    <row r="699" ht="15.75" customHeight="1" s="194"/>
    <row r="700" ht="15.75" customHeight="1" s="194"/>
    <row r="701" ht="15.75" customHeight="1" s="194"/>
    <row r="702" ht="15.75" customHeight="1" s="194"/>
    <row r="703" ht="15.75" customHeight="1" s="194"/>
    <row r="704" ht="15.75" customHeight="1" s="194"/>
    <row r="705" ht="15.75" customHeight="1" s="194"/>
    <row r="706" ht="15.75" customHeight="1" s="194"/>
    <row r="707" ht="15.75" customHeight="1" s="194"/>
    <row r="708" ht="15.75" customHeight="1" s="194"/>
    <row r="709" ht="15.75" customHeight="1" s="194"/>
    <row r="710" ht="15.75" customHeight="1" s="194"/>
    <row r="711" ht="15.75" customHeight="1" s="194"/>
    <row r="712" ht="15.75" customHeight="1" s="194"/>
    <row r="713" ht="15.75" customHeight="1" s="194"/>
    <row r="714" ht="15.75" customHeight="1" s="194"/>
    <row r="715" ht="15.75" customHeight="1" s="194"/>
    <row r="716" ht="15.75" customHeight="1" s="194"/>
    <row r="717" ht="15.75" customHeight="1" s="194"/>
    <row r="718" ht="15.75" customHeight="1" s="194"/>
    <row r="719" ht="15.75" customHeight="1" s="194"/>
    <row r="720" ht="15.75" customHeight="1" s="194"/>
    <row r="721" ht="15.75" customHeight="1" s="194"/>
    <row r="722" ht="15.75" customHeight="1" s="194"/>
    <row r="723" ht="15.75" customHeight="1" s="194"/>
    <row r="724" ht="15.75" customHeight="1" s="194"/>
    <row r="725" ht="15.75" customHeight="1" s="194"/>
    <row r="726" ht="15.75" customHeight="1" s="194"/>
    <row r="727" ht="15.75" customHeight="1" s="194"/>
    <row r="728" ht="15.75" customHeight="1" s="194"/>
    <row r="729" ht="15.75" customHeight="1" s="194"/>
    <row r="730" ht="15.75" customHeight="1" s="194"/>
    <row r="731" ht="15.75" customHeight="1" s="194"/>
    <row r="732" ht="15.75" customHeight="1" s="194"/>
    <row r="733" ht="15.75" customHeight="1" s="194"/>
    <row r="734" ht="15.75" customHeight="1" s="194"/>
    <row r="735" ht="15.75" customHeight="1" s="194"/>
    <row r="736" ht="15.75" customHeight="1" s="194"/>
    <row r="737" ht="15.75" customHeight="1" s="194"/>
    <row r="738" ht="15.75" customHeight="1" s="194"/>
    <row r="739" ht="15.75" customHeight="1" s="194"/>
    <row r="740" ht="15.75" customHeight="1" s="194"/>
    <row r="741" ht="15.75" customHeight="1" s="194"/>
    <row r="742" ht="15.75" customHeight="1" s="194"/>
    <row r="743" ht="15.75" customHeight="1" s="194"/>
    <row r="744" ht="15.75" customHeight="1" s="194"/>
    <row r="745" ht="15.75" customHeight="1" s="194"/>
    <row r="746" ht="15.75" customHeight="1" s="194"/>
    <row r="747" ht="15.75" customHeight="1" s="194"/>
    <row r="748" ht="15.75" customHeight="1" s="194"/>
    <row r="749" ht="15.75" customHeight="1" s="194"/>
    <row r="750" ht="15.75" customHeight="1" s="194"/>
    <row r="751" ht="15.75" customHeight="1" s="194"/>
    <row r="752" ht="15.75" customHeight="1" s="194"/>
    <row r="753" ht="15.75" customHeight="1" s="194"/>
    <row r="754" ht="15.75" customHeight="1" s="194"/>
    <row r="755" ht="15.75" customHeight="1" s="194"/>
    <row r="756" ht="15.75" customHeight="1" s="194"/>
    <row r="757" ht="15.75" customHeight="1" s="194"/>
    <row r="758" ht="15.75" customHeight="1" s="194"/>
    <row r="759" ht="15.75" customHeight="1" s="194"/>
    <row r="760" ht="15.75" customHeight="1" s="194"/>
    <row r="761" ht="15.75" customHeight="1" s="194"/>
    <row r="762" ht="15.75" customHeight="1" s="194"/>
    <row r="763" ht="15.75" customHeight="1" s="194"/>
    <row r="764" ht="15.75" customHeight="1" s="194"/>
    <row r="765" ht="15.75" customHeight="1" s="194"/>
    <row r="766" ht="15.75" customHeight="1" s="194"/>
    <row r="767" ht="15.75" customHeight="1" s="194"/>
    <row r="768" ht="15.75" customHeight="1" s="194"/>
    <row r="769" ht="15.75" customHeight="1" s="194"/>
    <row r="770" ht="15.75" customHeight="1" s="194"/>
    <row r="771" ht="15.75" customHeight="1" s="194"/>
    <row r="772" ht="15.75" customHeight="1" s="194"/>
    <row r="773" ht="15.75" customHeight="1" s="194"/>
    <row r="774" ht="15.75" customHeight="1" s="194"/>
    <row r="775" ht="15.75" customHeight="1" s="194"/>
    <row r="776" ht="15.75" customHeight="1" s="194"/>
    <row r="777" ht="15.75" customHeight="1" s="194"/>
    <row r="778" ht="15.75" customHeight="1" s="194"/>
    <row r="779" ht="15.75" customHeight="1" s="194"/>
    <row r="780" ht="15.75" customHeight="1" s="194"/>
    <row r="781" ht="15.75" customHeight="1" s="194"/>
    <row r="782" ht="15.75" customHeight="1" s="194"/>
    <row r="783" ht="15.75" customHeight="1" s="194"/>
    <row r="784" ht="15.75" customHeight="1" s="194"/>
    <row r="785" ht="15.75" customHeight="1" s="194"/>
    <row r="786" ht="15.75" customHeight="1" s="194"/>
    <row r="787" ht="15.75" customHeight="1" s="194"/>
    <row r="788" ht="15.75" customHeight="1" s="194"/>
    <row r="789" ht="15.75" customHeight="1" s="194"/>
    <row r="790" ht="15.75" customHeight="1" s="194"/>
    <row r="791" ht="15.75" customHeight="1" s="194"/>
    <row r="792" ht="15.75" customHeight="1" s="194"/>
    <row r="793" ht="15.75" customHeight="1" s="194"/>
    <row r="794" ht="15.75" customHeight="1" s="194"/>
    <row r="795" ht="15.75" customHeight="1" s="194"/>
    <row r="796" ht="15.75" customHeight="1" s="194"/>
    <row r="797" ht="15.75" customHeight="1" s="194"/>
    <row r="798" ht="15.75" customHeight="1" s="194"/>
    <row r="799" ht="15.75" customHeight="1" s="194"/>
    <row r="800" ht="15.75" customHeight="1" s="194"/>
    <row r="801" ht="15.75" customHeight="1" s="194"/>
    <row r="802" ht="15.75" customHeight="1" s="194"/>
    <row r="803" ht="15.75" customHeight="1" s="194"/>
    <row r="804" ht="15.75" customHeight="1" s="194"/>
    <row r="805" ht="15.75" customHeight="1" s="194"/>
    <row r="806" ht="15.75" customHeight="1" s="194"/>
    <row r="807" ht="15.75" customHeight="1" s="194"/>
    <row r="808" ht="15.75" customHeight="1" s="194"/>
    <row r="809" ht="15.75" customHeight="1" s="194"/>
    <row r="810" ht="15.75" customHeight="1" s="194"/>
    <row r="811" ht="15.75" customHeight="1" s="194"/>
    <row r="812" ht="15.75" customHeight="1" s="194"/>
    <row r="813" ht="15.75" customHeight="1" s="194"/>
    <row r="814" ht="15.75" customHeight="1" s="194"/>
    <row r="815" ht="15.75" customHeight="1" s="194"/>
    <row r="816" ht="15.75" customHeight="1" s="194"/>
    <row r="817" ht="15.75" customHeight="1" s="194"/>
    <row r="818" ht="15.75" customHeight="1" s="194"/>
    <row r="819" ht="15.75" customHeight="1" s="194"/>
    <row r="820" ht="15.75" customHeight="1" s="194"/>
    <row r="821" ht="15.75" customHeight="1" s="194"/>
    <row r="822" ht="15.75" customHeight="1" s="194"/>
    <row r="823" ht="15.75" customHeight="1" s="194"/>
    <row r="824" ht="15.75" customHeight="1" s="194"/>
    <row r="825" ht="15.75" customHeight="1" s="194"/>
    <row r="826" ht="15.75" customHeight="1" s="194"/>
    <row r="827" ht="15.75" customHeight="1" s="194"/>
    <row r="828" ht="15.75" customHeight="1" s="194"/>
    <row r="829" ht="15.75" customHeight="1" s="194"/>
    <row r="830" ht="15.75" customHeight="1" s="194"/>
    <row r="831" ht="15.75" customHeight="1" s="194"/>
    <row r="832" ht="15.75" customHeight="1" s="194"/>
    <row r="833" ht="15.75" customHeight="1" s="194"/>
    <row r="834" ht="15.75" customHeight="1" s="194"/>
    <row r="835" ht="15.75" customHeight="1" s="194"/>
    <row r="836" ht="15.75" customHeight="1" s="194"/>
    <row r="837" ht="15.75" customHeight="1" s="194"/>
    <row r="838" ht="15.75" customHeight="1" s="194"/>
    <row r="839" ht="15.75" customHeight="1" s="194"/>
    <row r="840" ht="15.75" customHeight="1" s="194"/>
    <row r="841" ht="15.75" customHeight="1" s="194"/>
    <row r="842" ht="15.75" customHeight="1" s="194"/>
    <row r="843" ht="15.75" customHeight="1" s="194"/>
    <row r="844" ht="15.75" customHeight="1" s="194"/>
    <row r="845" ht="15.75" customHeight="1" s="194"/>
    <row r="846" ht="15.75" customHeight="1" s="194"/>
    <row r="847" ht="15.75" customHeight="1" s="194"/>
    <row r="848" ht="15.75" customHeight="1" s="194"/>
    <row r="849" ht="15.75" customHeight="1" s="194"/>
    <row r="850" ht="15.75" customHeight="1" s="194"/>
    <row r="851" ht="15.75" customHeight="1" s="194"/>
    <row r="852" ht="15.75" customHeight="1" s="194"/>
    <row r="853" ht="15.75" customHeight="1" s="194"/>
    <row r="854" ht="15.75" customHeight="1" s="194"/>
    <row r="855" ht="15.75" customHeight="1" s="194"/>
    <row r="856" ht="15.75" customHeight="1" s="194"/>
    <row r="857" ht="15.75" customHeight="1" s="194"/>
    <row r="858" ht="15.75" customHeight="1" s="194"/>
    <row r="859" ht="15.75" customHeight="1" s="194"/>
    <row r="860" ht="15.75" customHeight="1" s="194"/>
    <row r="861" ht="15.75" customHeight="1" s="194"/>
    <row r="862" ht="15.75" customHeight="1" s="194"/>
    <row r="863" ht="15.75" customHeight="1" s="194"/>
    <row r="864" ht="15.75" customHeight="1" s="194"/>
    <row r="865" ht="15.75" customHeight="1" s="194"/>
    <row r="866" ht="15.75" customHeight="1" s="194"/>
    <row r="867" ht="15.75" customHeight="1" s="194"/>
    <row r="868" ht="15.75" customHeight="1" s="194"/>
    <row r="869" ht="15.75" customHeight="1" s="194"/>
    <row r="870" ht="15.75" customHeight="1" s="194"/>
    <row r="871" ht="15.75" customHeight="1" s="194"/>
    <row r="872" ht="15.75" customHeight="1" s="194"/>
    <row r="873" ht="15.75" customHeight="1" s="194"/>
    <row r="874" ht="15.75" customHeight="1" s="194"/>
    <row r="875" ht="15.75" customHeight="1" s="194"/>
    <row r="876" ht="15.75" customHeight="1" s="194"/>
    <row r="877" ht="15.75" customHeight="1" s="194"/>
    <row r="878" ht="15.75" customHeight="1" s="194"/>
    <row r="879" ht="15.75" customHeight="1" s="194"/>
    <row r="880" ht="15.75" customHeight="1" s="194"/>
    <row r="881" ht="15.75" customHeight="1" s="194"/>
    <row r="882" ht="15.75" customHeight="1" s="194"/>
    <row r="883" ht="15.75" customHeight="1" s="194"/>
    <row r="884" ht="15.75" customHeight="1" s="194"/>
    <row r="885" ht="15.75" customHeight="1" s="194"/>
    <row r="886" ht="15.75" customHeight="1" s="194"/>
    <row r="887" ht="15.75" customHeight="1" s="194"/>
    <row r="888" ht="15.75" customHeight="1" s="194"/>
    <row r="889" ht="15.75" customHeight="1" s="194"/>
    <row r="890" ht="15.75" customHeight="1" s="194"/>
    <row r="891" ht="15.75" customHeight="1" s="194"/>
    <row r="892" ht="15.75" customHeight="1" s="194"/>
    <row r="893" ht="15.75" customHeight="1" s="194"/>
    <row r="894" ht="15.75" customHeight="1" s="194"/>
    <row r="895" ht="15.75" customHeight="1" s="194"/>
    <row r="896" ht="15.75" customHeight="1" s="194"/>
    <row r="897" ht="15.75" customHeight="1" s="194"/>
    <row r="898" ht="15.75" customHeight="1" s="194"/>
    <row r="899" ht="15.75" customHeight="1" s="194"/>
    <row r="900" ht="15.75" customHeight="1" s="194"/>
    <row r="901" ht="15.75" customHeight="1" s="194"/>
    <row r="902" ht="15.75" customHeight="1" s="194"/>
    <row r="903" ht="15.75" customHeight="1" s="194"/>
    <row r="904" ht="15.75" customHeight="1" s="194"/>
    <row r="905" ht="15.75" customHeight="1" s="194"/>
    <row r="906" ht="15.75" customHeight="1" s="194"/>
    <row r="907" ht="15.75" customHeight="1" s="194"/>
    <row r="908" ht="15.75" customHeight="1" s="194"/>
    <row r="909" ht="15.75" customHeight="1" s="194"/>
    <row r="910" ht="15.75" customHeight="1" s="194"/>
    <row r="911" ht="15.75" customHeight="1" s="194"/>
    <row r="912" ht="15.75" customHeight="1" s="194"/>
    <row r="913" ht="15.75" customHeight="1" s="194"/>
    <row r="914" ht="15.75" customHeight="1" s="194"/>
    <row r="915" ht="15.75" customHeight="1" s="194"/>
    <row r="916" ht="15.75" customHeight="1" s="194"/>
    <row r="917" ht="15.75" customHeight="1" s="194"/>
    <row r="918" ht="15.75" customHeight="1" s="194"/>
    <row r="919" ht="15.75" customHeight="1" s="194"/>
    <row r="920" ht="15.75" customHeight="1" s="194"/>
    <row r="921" ht="15.75" customHeight="1" s="194"/>
    <row r="922" ht="15.75" customHeight="1" s="194"/>
    <row r="923" ht="15.75" customHeight="1" s="194"/>
    <row r="924" ht="15.75" customHeight="1" s="194"/>
    <row r="925" ht="15.75" customHeight="1" s="194"/>
    <row r="926" ht="15.75" customHeight="1" s="194"/>
    <row r="927" ht="15.75" customHeight="1" s="194"/>
    <row r="928" ht="15.75" customHeight="1" s="194"/>
    <row r="929" ht="15.75" customHeight="1" s="194"/>
    <row r="930" ht="15.75" customHeight="1" s="194"/>
    <row r="931" ht="15.75" customHeight="1" s="194"/>
    <row r="932" ht="15.75" customHeight="1" s="194"/>
    <row r="933" ht="15.75" customHeight="1" s="194"/>
    <row r="934" ht="15.75" customHeight="1" s="194"/>
    <row r="935" ht="15.75" customHeight="1" s="194"/>
    <row r="936" ht="15.75" customHeight="1" s="194"/>
    <row r="937" ht="15.75" customHeight="1" s="194"/>
    <row r="938" ht="15.75" customHeight="1" s="194"/>
    <row r="939" ht="15.75" customHeight="1" s="194"/>
    <row r="940" ht="15.75" customHeight="1" s="194"/>
    <row r="941" ht="15.75" customHeight="1" s="194"/>
    <row r="942" ht="15.75" customHeight="1" s="194"/>
    <row r="943" ht="15.75" customHeight="1" s="194"/>
    <row r="944" ht="15.75" customHeight="1" s="194"/>
    <row r="945" ht="15.75" customHeight="1" s="194"/>
    <row r="946" ht="15.75" customHeight="1" s="194"/>
    <row r="947" ht="15.75" customHeight="1" s="194"/>
    <row r="948" ht="15.75" customHeight="1" s="194"/>
    <row r="949" ht="15.75" customHeight="1" s="194"/>
    <row r="950" ht="15.75" customHeight="1" s="194"/>
    <row r="951" ht="15.75" customHeight="1" s="194"/>
    <row r="952" ht="15.75" customHeight="1" s="194"/>
    <row r="953" ht="15.75" customHeight="1" s="194"/>
    <row r="954" ht="15.75" customHeight="1" s="194"/>
    <row r="955" ht="15.75" customHeight="1" s="194"/>
    <row r="956" ht="15.75" customHeight="1" s="194"/>
    <row r="957" ht="15.75" customHeight="1" s="194"/>
    <row r="958" ht="15.75" customHeight="1" s="194"/>
    <row r="959" ht="15.75" customHeight="1" s="194"/>
    <row r="960" ht="15.75" customHeight="1" s="194"/>
    <row r="961" ht="15.75" customHeight="1" s="194"/>
    <row r="962" ht="15.75" customHeight="1" s="194"/>
    <row r="963" ht="15.75" customHeight="1" s="194"/>
    <row r="964" ht="15.75" customHeight="1" s="194"/>
    <row r="965" ht="15.75" customHeight="1" s="194"/>
    <row r="966" ht="15.75" customHeight="1" s="194"/>
    <row r="967" ht="15.75" customHeight="1" s="194"/>
    <row r="968" ht="15.75" customHeight="1" s="194"/>
    <row r="969" ht="15.75" customHeight="1" s="194"/>
    <row r="970" ht="15.75" customHeight="1" s="194"/>
    <row r="971" ht="15.75" customHeight="1" s="194"/>
    <row r="972" ht="15.75" customHeight="1" s="194"/>
    <row r="973" ht="15.75" customHeight="1" s="194"/>
    <row r="974" ht="15.75" customHeight="1" s="194"/>
    <row r="975" ht="15.75" customHeight="1" s="194"/>
    <row r="976" ht="15.75" customHeight="1" s="194"/>
    <row r="977" ht="15.75" customHeight="1" s="194"/>
    <row r="978" ht="15.75" customHeight="1" s="194"/>
    <row r="979" ht="15.75" customHeight="1" s="194"/>
    <row r="980" ht="15.75" customHeight="1" s="194"/>
    <row r="981" ht="15.75" customHeight="1" s="194"/>
    <row r="982" ht="15.75" customHeight="1" s="194"/>
    <row r="983" ht="15.75" customHeight="1" s="194"/>
    <row r="984" ht="15.75" customHeight="1" s="194"/>
    <row r="985" ht="15.75" customHeight="1" s="194"/>
    <row r="986" ht="15.75" customHeight="1" s="194"/>
    <row r="987" ht="15.75" customHeight="1" s="194"/>
    <row r="988" ht="15.75" customHeight="1" s="194"/>
    <row r="989" ht="15.75" customHeight="1" s="194"/>
    <row r="990" ht="15.75" customHeight="1" s="194"/>
    <row r="991" ht="15.75" customHeight="1" s="194"/>
    <row r="992" ht="15.75" customHeight="1" s="194"/>
    <row r="993" ht="15.75" customHeight="1" s="194"/>
    <row r="994" ht="15.75" customHeight="1" s="194"/>
    <row r="995" ht="15.75" customHeight="1" s="194"/>
    <row r="996" ht="15.75" customHeight="1" s="194"/>
    <row r="997" ht="15.75" customHeight="1" s="194"/>
    <row r="998" ht="15.75" customHeight="1" s="194"/>
    <row r="999" ht="15.75" customHeight="1" s="194"/>
    <row r="1000" ht="15.75" customHeight="1" s="194"/>
  </sheetData>
  <mergeCells count="3">
    <mergeCell ref="C4:C5"/>
    <mergeCell ref="D4:D5"/>
    <mergeCell ref="B4:B5"/>
  </mergeCells>
  <pageMargins left="0.75" right="0.75" top="1" bottom="1" header="0" footer="0"/>
  <pageSetup orientation="landscape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BY62"/>
  <sheetViews>
    <sheetView showGridLines="0" workbookViewId="0">
      <pane xSplit="11" ySplit="5" topLeftCell="L6" activePane="bottomRight" state="frozen"/>
      <selection pane="topRight" activeCell="L1" sqref="L1"/>
      <selection pane="bottomLeft" activeCell="A6" sqref="A6"/>
      <selection pane="bottomRight" activeCell="L6" sqref="L6"/>
    </sheetView>
  </sheetViews>
  <sheetFormatPr baseColWidth="8" defaultColWidth="14.43" defaultRowHeight="15" customHeight="1" outlineLevelRow="1"/>
  <cols>
    <col width="5" customWidth="1" style="194" min="1" max="1"/>
    <col width="44" customWidth="1" style="194" min="2" max="2"/>
    <col width="11" customWidth="1" style="194" min="3" max="3"/>
    <col width="46" customWidth="1" style="194" min="4" max="4"/>
    <col width="15" customWidth="1" style="194" min="5" max="9"/>
    <col width="16" customWidth="1" style="194" min="10" max="10"/>
    <col width="3" customWidth="1" style="194" min="11" max="11"/>
    <col width="13" customWidth="1" style="194" min="12" max="71"/>
    <col hidden="1" width="13" customWidth="1" style="194" min="72" max="77"/>
  </cols>
  <sheetData>
    <row r="1">
      <c r="B1" s="1" t="inlineStr">
        <is>
          <t>Сеть: продажи, школы и дети</t>
        </is>
      </c>
    </row>
    <row r="2">
      <c r="B2" s="2" t="inlineStr">
        <is>
          <t>Расшифровка к «Результату». Считается слева направо: план продаж → открытия → когорты школ по месяцам жизни → дети.</t>
        </is>
      </c>
    </row>
    <row r="4" ht="25.5" customHeight="1" s="194">
      <c r="B4" s="4" t="inlineStr">
        <is>
          <t>Показатель</t>
        </is>
      </c>
      <c r="C4" s="4" t="inlineStr">
        <is>
          <t>Ед.</t>
        </is>
      </c>
      <c r="D4" s="4" t="inlineStr">
        <is>
          <t>Как считается</t>
        </is>
      </c>
      <c r="E4" s="4" t="inlineStr">
        <is>
          <t>Год 1</t>
        </is>
      </c>
      <c r="F4" s="4" t="inlineStr">
        <is>
          <t>Год 2</t>
        </is>
      </c>
      <c r="G4" s="4" t="inlineStr">
        <is>
          <t>Год 3</t>
        </is>
      </c>
      <c r="H4" s="4" t="inlineStr">
        <is>
          <t>Год 4</t>
        </is>
      </c>
      <c r="I4" s="4" t="inlineStr">
        <is>
          <t>Год 5</t>
        </is>
      </c>
      <c r="J4" s="4" t="inlineStr">
        <is>
          <t>Итого 5 лет</t>
        </is>
      </c>
      <c r="K4" s="4" t="n"/>
      <c r="L4" s="4" t="inlineStr">
        <is>
          <t>М1</t>
        </is>
      </c>
      <c r="M4" s="4" t="inlineStr">
        <is>
          <t>М2</t>
        </is>
      </c>
      <c r="N4" s="4" t="inlineStr">
        <is>
          <t>М3</t>
        </is>
      </c>
      <c r="O4" s="4" t="inlineStr">
        <is>
          <t>М4</t>
        </is>
      </c>
      <c r="P4" s="4" t="inlineStr">
        <is>
          <t>М5</t>
        </is>
      </c>
      <c r="Q4" s="4" t="inlineStr">
        <is>
          <t>М6</t>
        </is>
      </c>
      <c r="R4" s="4" t="inlineStr">
        <is>
          <t>М7</t>
        </is>
      </c>
      <c r="S4" s="4" t="inlineStr">
        <is>
          <t>М8</t>
        </is>
      </c>
      <c r="T4" s="4" t="inlineStr">
        <is>
          <t>М9</t>
        </is>
      </c>
      <c r="U4" s="4" t="inlineStr">
        <is>
          <t>М10</t>
        </is>
      </c>
      <c r="V4" s="4" t="inlineStr">
        <is>
          <t>М11</t>
        </is>
      </c>
      <c r="W4" s="4" t="inlineStr">
        <is>
          <t>М12</t>
        </is>
      </c>
      <c r="X4" s="4" t="inlineStr">
        <is>
          <t>М13</t>
        </is>
      </c>
      <c r="Y4" s="4" t="inlineStr">
        <is>
          <t>М14</t>
        </is>
      </c>
      <c r="Z4" s="4" t="inlineStr">
        <is>
          <t>М15</t>
        </is>
      </c>
      <c r="AA4" s="4" t="inlineStr">
        <is>
          <t>М16</t>
        </is>
      </c>
      <c r="AB4" s="4" t="inlineStr">
        <is>
          <t>М17</t>
        </is>
      </c>
      <c r="AC4" s="4" t="inlineStr">
        <is>
          <t>М18</t>
        </is>
      </c>
      <c r="AD4" s="4" t="inlineStr">
        <is>
          <t>М19</t>
        </is>
      </c>
      <c r="AE4" s="4" t="inlineStr">
        <is>
          <t>М20</t>
        </is>
      </c>
      <c r="AF4" s="4" t="inlineStr">
        <is>
          <t>М21</t>
        </is>
      </c>
      <c r="AG4" s="4" t="inlineStr">
        <is>
          <t>М22</t>
        </is>
      </c>
      <c r="AH4" s="4" t="inlineStr">
        <is>
          <t>М23</t>
        </is>
      </c>
      <c r="AI4" s="4" t="inlineStr">
        <is>
          <t>М24</t>
        </is>
      </c>
      <c r="AJ4" s="4" t="inlineStr">
        <is>
          <t>М25</t>
        </is>
      </c>
      <c r="AK4" s="4" t="inlineStr">
        <is>
          <t>М26</t>
        </is>
      </c>
      <c r="AL4" s="4" t="inlineStr">
        <is>
          <t>М27</t>
        </is>
      </c>
      <c r="AM4" s="4" t="inlineStr">
        <is>
          <t>М28</t>
        </is>
      </c>
      <c r="AN4" s="4" t="inlineStr">
        <is>
          <t>М29</t>
        </is>
      </c>
      <c r="AO4" s="4" t="inlineStr">
        <is>
          <t>М30</t>
        </is>
      </c>
      <c r="AP4" s="4" t="inlineStr">
        <is>
          <t>М31</t>
        </is>
      </c>
      <c r="AQ4" s="4" t="inlineStr">
        <is>
          <t>М32</t>
        </is>
      </c>
      <c r="AR4" s="4" t="inlineStr">
        <is>
          <t>М33</t>
        </is>
      </c>
      <c r="AS4" s="4" t="inlineStr">
        <is>
          <t>М34</t>
        </is>
      </c>
      <c r="AT4" s="4" t="inlineStr">
        <is>
          <t>М35</t>
        </is>
      </c>
      <c r="AU4" s="4" t="inlineStr">
        <is>
          <t>М36</t>
        </is>
      </c>
      <c r="AV4" s="4" t="inlineStr">
        <is>
          <t>М37</t>
        </is>
      </c>
      <c r="AW4" s="4" t="inlineStr">
        <is>
          <t>М38</t>
        </is>
      </c>
      <c r="AX4" s="4" t="inlineStr">
        <is>
          <t>М39</t>
        </is>
      </c>
      <c r="AY4" s="4" t="inlineStr">
        <is>
          <t>М40</t>
        </is>
      </c>
      <c r="AZ4" s="4" t="inlineStr">
        <is>
          <t>М41</t>
        </is>
      </c>
      <c r="BA4" s="4" t="inlineStr">
        <is>
          <t>М42</t>
        </is>
      </c>
      <c r="BB4" s="4" t="inlineStr">
        <is>
          <t>М43</t>
        </is>
      </c>
      <c r="BC4" s="4" t="inlineStr">
        <is>
          <t>М44</t>
        </is>
      </c>
      <c r="BD4" s="4" t="inlineStr">
        <is>
          <t>М45</t>
        </is>
      </c>
      <c r="BE4" s="4" t="inlineStr">
        <is>
          <t>М46</t>
        </is>
      </c>
      <c r="BF4" s="4" t="inlineStr">
        <is>
          <t>М47</t>
        </is>
      </c>
      <c r="BG4" s="4" t="inlineStr">
        <is>
          <t>М48</t>
        </is>
      </c>
      <c r="BH4" s="4" t="inlineStr">
        <is>
          <t>М49</t>
        </is>
      </c>
      <c r="BI4" s="4" t="inlineStr">
        <is>
          <t>М50</t>
        </is>
      </c>
      <c r="BJ4" s="4" t="inlineStr">
        <is>
          <t>М51</t>
        </is>
      </c>
      <c r="BK4" s="4" t="inlineStr">
        <is>
          <t>М52</t>
        </is>
      </c>
      <c r="BL4" s="4" t="inlineStr">
        <is>
          <t>М53</t>
        </is>
      </c>
      <c r="BM4" s="4" t="inlineStr">
        <is>
          <t>М54</t>
        </is>
      </c>
      <c r="BN4" s="4" t="inlineStr">
        <is>
          <t>М55</t>
        </is>
      </c>
      <c r="BO4" s="4" t="inlineStr">
        <is>
          <t>М56</t>
        </is>
      </c>
      <c r="BP4" s="4" t="inlineStr">
        <is>
          <t>М57</t>
        </is>
      </c>
      <c r="BQ4" s="4" t="inlineStr">
        <is>
          <t>М58</t>
        </is>
      </c>
      <c r="BR4" s="4" t="inlineStr">
        <is>
          <t>М59</t>
        </is>
      </c>
      <c r="BS4" s="4" t="inlineStr">
        <is>
          <t>М60</t>
        </is>
      </c>
      <c r="BT4" s="4" t="inlineStr">
        <is>
          <t>тех. 1</t>
        </is>
      </c>
      <c r="BU4" s="4" t="inlineStr">
        <is>
          <t>тех. 2</t>
        </is>
      </c>
      <c r="BV4" s="4" t="inlineStr">
        <is>
          <t>тех. 3</t>
        </is>
      </c>
      <c r="BW4" s="4" t="inlineStr">
        <is>
          <t>тех. 4</t>
        </is>
      </c>
      <c r="BX4" s="4" t="inlineStr">
        <is>
          <t>тех. 5</t>
        </is>
      </c>
      <c r="BY4" s="4" t="inlineStr">
        <is>
          <t>тех. 6</t>
        </is>
      </c>
    </row>
    <row r="5" ht="15.75" customHeight="1" s="194">
      <c r="E5" s="4">
        <f>TEXT(MONTH(DATE(YEAR(СтартМодели),MONTH(СтартМодели)+0,1)),"00")&amp;"."&amp;YEAR(DATE(YEAR(СтартМодели),MONTH(СтартМодели)+0,1))&amp;" – "&amp;TEXT(MONTH(DATE(YEAR(СтартМодели),MONTH(СтартМодели)+11,1)),"00")&amp;"."&amp;YEAR(DATE(YEAR(СтартМодели),MONTH(СтартМодели)+11,1))</f>
        <v/>
      </c>
      <c r="F5" s="4">
        <f>TEXT(MONTH(DATE(YEAR(СтартМодели),MONTH(СтартМодели)+12,1)),"00")&amp;"."&amp;YEAR(DATE(YEAR(СтартМодели),MONTH(СтартМодели)+12,1))&amp;" – "&amp;TEXT(MONTH(DATE(YEAR(СтартМодели),MONTH(СтартМодели)+23,1)),"00")&amp;"."&amp;YEAR(DATE(YEAR(СтартМодели),MONTH(СтартМодели)+23,1))</f>
        <v/>
      </c>
      <c r="G5" s="4">
        <f>TEXT(MONTH(DATE(YEAR(СтартМодели),MONTH(СтартМодели)+24,1)),"00")&amp;"."&amp;YEAR(DATE(YEAR(СтартМодели),MONTH(СтартМодели)+24,1))&amp;" – "&amp;TEXT(MONTH(DATE(YEAR(СтартМодели),MONTH(СтартМодели)+35,1)),"00")&amp;"."&amp;YEAR(DATE(YEAR(СтартМодели),MONTH(СтартМодели)+35,1))</f>
        <v/>
      </c>
      <c r="H5" s="4">
        <f>TEXT(MONTH(DATE(YEAR(СтартМодели),MONTH(СтартМодели)+36,1)),"00")&amp;"."&amp;YEAR(DATE(YEAR(СтартМодели),MONTH(СтартМодели)+36,1))&amp;" – "&amp;TEXT(MONTH(DATE(YEAR(СтартМодели),MONTH(СтартМодели)+47,1)),"00")&amp;"."&amp;YEAR(DATE(YEAR(СтартМодели),MONTH(СтартМодели)+47,1))</f>
        <v/>
      </c>
      <c r="I5" s="4">
        <f>TEXT(MONTH(DATE(YEAR(СтартМодели),MONTH(СтартМодели)+48,1)),"00")&amp;"."&amp;YEAR(DATE(YEAR(СтартМодели),MONTH(СтартМодели)+48,1))&amp;" – "&amp;TEXT(MONTH(DATE(YEAR(СтартМодели),MONTH(СтартМодели)+59,1)),"00")&amp;"."&amp;YEAR(DATE(YEAR(СтартМодели),MONTH(СтартМодели)+59,1))</f>
        <v/>
      </c>
      <c r="J5" s="4">
        <f>TEXT(MONTH(DATE(YEAR(СтартМодели),MONTH(СтартМодели)+0,1)),"00")&amp;"."&amp;YEAR(DATE(YEAR(СтартМодели),MONTH(СтартМодели)+0,1))&amp;" – "&amp;TEXT(MONTH(DATE(YEAR(СтартМодели),MONTH(СтартМодели)+59,1)),"00")&amp;"."&amp;YEAR(DATE(YEAR(СтартМодели),MONTH(СтартМодели)+59,1))</f>
        <v/>
      </c>
      <c r="K5" s="4" t="n"/>
      <c r="L5" s="32">
        <f>DATE(YEAR(СтартМодели),MONTH(СтартМодели)+1-1,1)</f>
        <v/>
      </c>
      <c r="M5" s="32">
        <f>DATE(YEAR(СтартМодели),MONTH(СтартМодели)+2-1,1)</f>
        <v/>
      </c>
      <c r="N5" s="32">
        <f>DATE(YEAR(СтартМодели),MONTH(СтартМодели)+3-1,1)</f>
        <v/>
      </c>
      <c r="O5" s="32">
        <f>DATE(YEAR(СтартМодели),MONTH(СтартМодели)+4-1,1)</f>
        <v/>
      </c>
      <c r="P5" s="32">
        <f>DATE(YEAR(СтартМодели),MONTH(СтартМодели)+5-1,1)</f>
        <v/>
      </c>
      <c r="Q5" s="32">
        <f>DATE(YEAR(СтартМодели),MONTH(СтартМодели)+6-1,1)</f>
        <v/>
      </c>
      <c r="R5" s="32">
        <f>DATE(YEAR(СтартМодели),MONTH(СтартМодели)+7-1,1)</f>
        <v/>
      </c>
      <c r="S5" s="32">
        <f>DATE(YEAR(СтартМодели),MONTH(СтартМодели)+8-1,1)</f>
        <v/>
      </c>
      <c r="T5" s="32">
        <f>DATE(YEAR(СтартМодели),MONTH(СтартМодели)+9-1,1)</f>
        <v/>
      </c>
      <c r="U5" s="32">
        <f>DATE(YEAR(СтартМодели),MONTH(СтартМодели)+10-1,1)</f>
        <v/>
      </c>
      <c r="V5" s="32">
        <f>DATE(YEAR(СтартМодели),MONTH(СтартМодели)+11-1,1)</f>
        <v/>
      </c>
      <c r="W5" s="32">
        <f>DATE(YEAR(СтартМодели),MONTH(СтартМодели)+12-1,1)</f>
        <v/>
      </c>
      <c r="X5" s="32">
        <f>DATE(YEAR(СтартМодели),MONTH(СтартМодели)+13-1,1)</f>
        <v/>
      </c>
      <c r="Y5" s="32">
        <f>DATE(YEAR(СтартМодели),MONTH(СтартМодели)+14-1,1)</f>
        <v/>
      </c>
      <c r="Z5" s="32">
        <f>DATE(YEAR(СтартМодели),MONTH(СтартМодели)+15-1,1)</f>
        <v/>
      </c>
      <c r="AA5" s="32">
        <f>DATE(YEAR(СтартМодели),MONTH(СтартМодели)+16-1,1)</f>
        <v/>
      </c>
      <c r="AB5" s="32">
        <f>DATE(YEAR(СтартМодели),MONTH(СтартМодели)+17-1,1)</f>
        <v/>
      </c>
      <c r="AC5" s="32">
        <f>DATE(YEAR(СтартМодели),MONTH(СтартМодели)+18-1,1)</f>
        <v/>
      </c>
      <c r="AD5" s="32">
        <f>DATE(YEAR(СтартМодели),MONTH(СтартМодели)+19-1,1)</f>
        <v/>
      </c>
      <c r="AE5" s="32">
        <f>DATE(YEAR(СтартМодели),MONTH(СтартМодели)+20-1,1)</f>
        <v/>
      </c>
      <c r="AF5" s="32">
        <f>DATE(YEAR(СтартМодели),MONTH(СтартМодели)+21-1,1)</f>
        <v/>
      </c>
      <c r="AG5" s="32">
        <f>DATE(YEAR(СтартМодели),MONTH(СтартМодели)+22-1,1)</f>
        <v/>
      </c>
      <c r="AH5" s="32">
        <f>DATE(YEAR(СтартМодели),MONTH(СтартМодели)+23-1,1)</f>
        <v/>
      </c>
      <c r="AI5" s="32">
        <f>DATE(YEAR(СтартМодели),MONTH(СтартМодели)+24-1,1)</f>
        <v/>
      </c>
      <c r="AJ5" s="32">
        <f>DATE(YEAR(СтартМодели),MONTH(СтартМодели)+25-1,1)</f>
        <v/>
      </c>
      <c r="AK5" s="32">
        <f>DATE(YEAR(СтартМодели),MONTH(СтартМодели)+26-1,1)</f>
        <v/>
      </c>
      <c r="AL5" s="32">
        <f>DATE(YEAR(СтартМодели),MONTH(СтартМодели)+27-1,1)</f>
        <v/>
      </c>
      <c r="AM5" s="32">
        <f>DATE(YEAR(СтартМодели),MONTH(СтартМодели)+28-1,1)</f>
        <v/>
      </c>
      <c r="AN5" s="32">
        <f>DATE(YEAR(СтартМодели),MONTH(СтартМодели)+29-1,1)</f>
        <v/>
      </c>
      <c r="AO5" s="32">
        <f>DATE(YEAR(СтартМодели),MONTH(СтартМодели)+30-1,1)</f>
        <v/>
      </c>
      <c r="AP5" s="32">
        <f>DATE(YEAR(СтартМодели),MONTH(СтартМодели)+31-1,1)</f>
        <v/>
      </c>
      <c r="AQ5" s="32">
        <f>DATE(YEAR(СтартМодели),MONTH(СтартМодели)+32-1,1)</f>
        <v/>
      </c>
      <c r="AR5" s="32">
        <f>DATE(YEAR(СтартМодели),MONTH(СтартМодели)+33-1,1)</f>
        <v/>
      </c>
      <c r="AS5" s="32">
        <f>DATE(YEAR(СтартМодели),MONTH(СтартМодели)+34-1,1)</f>
        <v/>
      </c>
      <c r="AT5" s="32">
        <f>DATE(YEAR(СтартМодели),MONTH(СтартМодели)+35-1,1)</f>
        <v/>
      </c>
      <c r="AU5" s="32">
        <f>DATE(YEAR(СтартМодели),MONTH(СтартМодели)+36-1,1)</f>
        <v/>
      </c>
      <c r="AV5" s="32">
        <f>DATE(YEAR(СтартМодели),MONTH(СтартМодели)+37-1,1)</f>
        <v/>
      </c>
      <c r="AW5" s="32">
        <f>DATE(YEAR(СтартМодели),MONTH(СтартМодели)+38-1,1)</f>
        <v/>
      </c>
      <c r="AX5" s="32">
        <f>DATE(YEAR(СтартМодели),MONTH(СтартМодели)+39-1,1)</f>
        <v/>
      </c>
      <c r="AY5" s="32">
        <f>DATE(YEAR(СтартМодели),MONTH(СтартМодели)+40-1,1)</f>
        <v/>
      </c>
      <c r="AZ5" s="32">
        <f>DATE(YEAR(СтартМодели),MONTH(СтартМодели)+41-1,1)</f>
        <v/>
      </c>
      <c r="BA5" s="32">
        <f>DATE(YEAR(СтартМодели),MONTH(СтартМодели)+42-1,1)</f>
        <v/>
      </c>
      <c r="BB5" s="32">
        <f>DATE(YEAR(СтартМодели),MONTH(СтартМодели)+43-1,1)</f>
        <v/>
      </c>
      <c r="BC5" s="32">
        <f>DATE(YEAR(СтартМодели),MONTH(СтартМодели)+44-1,1)</f>
        <v/>
      </c>
      <c r="BD5" s="32">
        <f>DATE(YEAR(СтартМодели),MONTH(СтартМодели)+45-1,1)</f>
        <v/>
      </c>
      <c r="BE5" s="32">
        <f>DATE(YEAR(СтартМодели),MONTH(СтартМодели)+46-1,1)</f>
        <v/>
      </c>
      <c r="BF5" s="32">
        <f>DATE(YEAR(СтартМодели),MONTH(СтартМодели)+47-1,1)</f>
        <v/>
      </c>
      <c r="BG5" s="32">
        <f>DATE(YEAR(СтартМодели),MONTH(СтартМодели)+48-1,1)</f>
        <v/>
      </c>
      <c r="BH5" s="32">
        <f>DATE(YEAR(СтартМодели),MONTH(СтартМодели)+49-1,1)</f>
        <v/>
      </c>
      <c r="BI5" s="32">
        <f>DATE(YEAR(СтартМодели),MONTH(СтартМодели)+50-1,1)</f>
        <v/>
      </c>
      <c r="BJ5" s="32">
        <f>DATE(YEAR(СтартМодели),MONTH(СтартМодели)+51-1,1)</f>
        <v/>
      </c>
      <c r="BK5" s="32">
        <f>DATE(YEAR(СтартМодели),MONTH(СтартМодели)+52-1,1)</f>
        <v/>
      </c>
      <c r="BL5" s="32">
        <f>DATE(YEAR(СтартМодели),MONTH(СтартМодели)+53-1,1)</f>
        <v/>
      </c>
      <c r="BM5" s="32">
        <f>DATE(YEAR(СтартМодели),MONTH(СтартМодели)+54-1,1)</f>
        <v/>
      </c>
      <c r="BN5" s="32">
        <f>DATE(YEAR(СтартМодели),MONTH(СтартМодели)+55-1,1)</f>
        <v/>
      </c>
      <c r="BO5" s="32">
        <f>DATE(YEAR(СтартМодели),MONTH(СтартМодели)+56-1,1)</f>
        <v/>
      </c>
      <c r="BP5" s="32">
        <f>DATE(YEAR(СтартМодели),MONTH(СтартМодели)+57-1,1)</f>
        <v/>
      </c>
      <c r="BQ5" s="32">
        <f>DATE(YEAR(СтартМодели),MONTH(СтартМодели)+58-1,1)</f>
        <v/>
      </c>
      <c r="BR5" s="32">
        <f>DATE(YEAR(СтартМодели),MONTH(СтартМодели)+59-1,1)</f>
        <v/>
      </c>
      <c r="BS5" s="32">
        <f>DATE(YEAR(СтартМодели),MONTH(СтартМодели)+60-1,1)</f>
        <v/>
      </c>
      <c r="BT5" s="32">
        <f>DATE(YEAR(СтартМодели),MONTH(СтартМодели)+61-1,1)</f>
        <v/>
      </c>
      <c r="BU5" s="32">
        <f>DATE(YEAR(СтартМодели),MONTH(СтартМодели)+62-1,1)</f>
        <v/>
      </c>
      <c r="BV5" s="32">
        <f>DATE(YEAR(СтартМодели),MONTH(СтартМодели)+63-1,1)</f>
        <v/>
      </c>
      <c r="BW5" s="32">
        <f>DATE(YEAR(СтартМодели),MONTH(СтартМодели)+64-1,1)</f>
        <v/>
      </c>
      <c r="BX5" s="32">
        <f>DATE(YEAR(СтартМодели),MONTH(СтартМодели)+65-1,1)</f>
        <v/>
      </c>
      <c r="BY5" s="32">
        <f>DATE(YEAR(СтартМодели),MONTH(СтартМодели)+66-1,1)</f>
        <v/>
      </c>
    </row>
    <row r="6">
      <c r="B6" s="54" t="inlineStr">
        <is>
          <t>Календарь</t>
        </is>
      </c>
      <c r="C6" s="55" t="n"/>
      <c r="D6" s="55" t="n"/>
      <c r="E6" s="55" t="n"/>
      <c r="F6" s="55" t="n"/>
      <c r="G6" s="55" t="n"/>
      <c r="H6" s="55" t="n"/>
      <c r="I6" s="55" t="n"/>
      <c r="J6" s="55" t="n"/>
      <c r="K6" s="55" t="n"/>
      <c r="L6" s="55" t="n"/>
      <c r="M6" s="55" t="n"/>
      <c r="N6" s="55" t="n"/>
      <c r="O6" s="55" t="n"/>
      <c r="P6" s="55" t="n"/>
      <c r="Q6" s="55" t="n"/>
      <c r="R6" s="55" t="n"/>
      <c r="S6" s="55" t="n"/>
      <c r="T6" s="55" t="n"/>
      <c r="U6" s="55" t="n"/>
      <c r="V6" s="55" t="n"/>
      <c r="W6" s="55" t="n"/>
      <c r="X6" s="55" t="n"/>
      <c r="Y6" s="55" t="n"/>
      <c r="Z6" s="55" t="n"/>
      <c r="AA6" s="55" t="n"/>
      <c r="AB6" s="55" t="n"/>
      <c r="AC6" s="55" t="n"/>
      <c r="AD6" s="55" t="n"/>
      <c r="AE6" s="55" t="n"/>
      <c r="AF6" s="55" t="n"/>
      <c r="AG6" s="55" t="n"/>
      <c r="AH6" s="55" t="n"/>
      <c r="AI6" s="55" t="n"/>
      <c r="AJ6" s="55" t="n"/>
      <c r="AK6" s="55" t="n"/>
      <c r="AL6" s="55" t="n"/>
      <c r="AM6" s="55" t="n"/>
      <c r="AN6" s="55" t="n"/>
      <c r="AO6" s="55" t="n"/>
      <c r="AP6" s="55" t="n"/>
      <c r="AQ6" s="55" t="n"/>
      <c r="AR6" s="55" t="n"/>
      <c r="AS6" s="55" t="n"/>
      <c r="AT6" s="55" t="n"/>
      <c r="AU6" s="55" t="n"/>
      <c r="AV6" s="55" t="n"/>
      <c r="AW6" s="55" t="n"/>
      <c r="AX6" s="55" t="n"/>
      <c r="AY6" s="55" t="n"/>
      <c r="AZ6" s="55" t="n"/>
      <c r="BA6" s="55" t="n"/>
      <c r="BB6" s="55" t="n"/>
      <c r="BC6" s="55" t="n"/>
      <c r="BD6" s="55" t="n"/>
      <c r="BE6" s="55" t="n"/>
      <c r="BF6" s="55" t="n"/>
      <c r="BG6" s="55" t="n"/>
      <c r="BH6" s="55" t="n"/>
      <c r="BI6" s="55" t="n"/>
      <c r="BJ6" s="55" t="n"/>
      <c r="BK6" s="55" t="n"/>
      <c r="BL6" s="55" t="n"/>
      <c r="BM6" s="55" t="n"/>
      <c r="BN6" s="55" t="n"/>
      <c r="BO6" s="55" t="n"/>
      <c r="BP6" s="55" t="n"/>
      <c r="BQ6" s="55" t="n"/>
      <c r="BR6" s="55" t="n"/>
      <c r="BS6" s="55" t="n"/>
      <c r="BT6" s="55" t="n"/>
      <c r="BU6" s="55" t="n"/>
      <c r="BV6" s="55" t="n"/>
      <c r="BW6" s="55" t="n"/>
      <c r="BX6" s="55" t="n"/>
      <c r="BY6" s="55" t="n"/>
    </row>
    <row r="7">
      <c r="B7" s="56" t="inlineStr">
        <is>
          <t>Месяц</t>
        </is>
      </c>
      <c r="C7" s="56" t="inlineStr">
        <is>
          <t>дата</t>
        </is>
      </c>
      <c r="D7" s="57" t="inlineStr">
        <is>
          <t>Отсчёт от даты старта на листе вводных Внутренняя механика расчёта: годового итога у этой строки нет, смотрите итоговые строки блока ниже.</t>
        </is>
      </c>
      <c r="E7" s="58" t="n"/>
      <c r="F7" s="58" t="n"/>
      <c r="G7" s="58" t="n"/>
      <c r="H7" s="58" t="n"/>
      <c r="I7" s="58" t="n"/>
      <c r="L7" s="60">
        <f>DATE(YEAR(СтартМодели),MONTH(СтартМодели)+1-1,1)</f>
        <v/>
      </c>
      <c r="M7" s="60">
        <f>DATE(YEAR(СтартМодели),MONTH(СтартМодели)+2-1,1)</f>
        <v/>
      </c>
      <c r="N7" s="60">
        <f>DATE(YEAR(СтартМодели),MONTH(СтартМодели)+3-1,1)</f>
        <v/>
      </c>
      <c r="O7" s="60">
        <f>DATE(YEAR(СтартМодели),MONTH(СтартМодели)+4-1,1)</f>
        <v/>
      </c>
      <c r="P7" s="60">
        <f>DATE(YEAR(СтартМодели),MONTH(СтартМодели)+5-1,1)</f>
        <v/>
      </c>
      <c r="Q7" s="60">
        <f>DATE(YEAR(СтартМодели),MONTH(СтартМодели)+6-1,1)</f>
        <v/>
      </c>
      <c r="R7" s="60">
        <f>DATE(YEAR(СтартМодели),MONTH(СтартМодели)+7-1,1)</f>
        <v/>
      </c>
      <c r="S7" s="60">
        <f>DATE(YEAR(СтартМодели),MONTH(СтартМодели)+8-1,1)</f>
        <v/>
      </c>
      <c r="T7" s="60">
        <f>DATE(YEAR(СтартМодели),MONTH(СтартМодели)+9-1,1)</f>
        <v/>
      </c>
      <c r="U7" s="60">
        <f>DATE(YEAR(СтартМодели),MONTH(СтартМодели)+10-1,1)</f>
        <v/>
      </c>
      <c r="V7" s="60">
        <f>DATE(YEAR(СтартМодели),MONTH(СтартМодели)+11-1,1)</f>
        <v/>
      </c>
      <c r="W7" s="60">
        <f>DATE(YEAR(СтартМодели),MONTH(СтартМодели)+12-1,1)</f>
        <v/>
      </c>
      <c r="X7" s="60">
        <f>DATE(YEAR(СтартМодели),MONTH(СтартМодели)+13-1,1)</f>
        <v/>
      </c>
      <c r="Y7" s="60">
        <f>DATE(YEAR(СтартМодели),MONTH(СтартМодели)+14-1,1)</f>
        <v/>
      </c>
      <c r="Z7" s="60">
        <f>DATE(YEAR(СтартМодели),MONTH(СтартМодели)+15-1,1)</f>
        <v/>
      </c>
      <c r="AA7" s="60">
        <f>DATE(YEAR(СтартМодели),MONTH(СтартМодели)+16-1,1)</f>
        <v/>
      </c>
      <c r="AB7" s="60">
        <f>DATE(YEAR(СтартМодели),MONTH(СтартМодели)+17-1,1)</f>
        <v/>
      </c>
      <c r="AC7" s="60">
        <f>DATE(YEAR(СтартМодели),MONTH(СтартМодели)+18-1,1)</f>
        <v/>
      </c>
      <c r="AD7" s="60">
        <f>DATE(YEAR(СтартМодели),MONTH(СтартМодели)+19-1,1)</f>
        <v/>
      </c>
      <c r="AE7" s="60">
        <f>DATE(YEAR(СтартМодели),MONTH(СтартМодели)+20-1,1)</f>
        <v/>
      </c>
      <c r="AF7" s="60">
        <f>DATE(YEAR(СтартМодели),MONTH(СтартМодели)+21-1,1)</f>
        <v/>
      </c>
      <c r="AG7" s="60">
        <f>DATE(YEAR(СтартМодели),MONTH(СтартМодели)+22-1,1)</f>
        <v/>
      </c>
      <c r="AH7" s="60">
        <f>DATE(YEAR(СтартМодели),MONTH(СтартМодели)+23-1,1)</f>
        <v/>
      </c>
      <c r="AI7" s="60">
        <f>DATE(YEAR(СтартМодели),MONTH(СтартМодели)+24-1,1)</f>
        <v/>
      </c>
      <c r="AJ7" s="60">
        <f>DATE(YEAR(СтартМодели),MONTH(СтартМодели)+25-1,1)</f>
        <v/>
      </c>
      <c r="AK7" s="60">
        <f>DATE(YEAR(СтартМодели),MONTH(СтартМодели)+26-1,1)</f>
        <v/>
      </c>
      <c r="AL7" s="60">
        <f>DATE(YEAR(СтартМодели),MONTH(СтартМодели)+27-1,1)</f>
        <v/>
      </c>
      <c r="AM7" s="60">
        <f>DATE(YEAR(СтартМодели),MONTH(СтартМодели)+28-1,1)</f>
        <v/>
      </c>
      <c r="AN7" s="60">
        <f>DATE(YEAR(СтартМодели),MONTH(СтартМодели)+29-1,1)</f>
        <v/>
      </c>
      <c r="AO7" s="60">
        <f>DATE(YEAR(СтартМодели),MONTH(СтартМодели)+30-1,1)</f>
        <v/>
      </c>
      <c r="AP7" s="60">
        <f>DATE(YEAR(СтартМодели),MONTH(СтартМодели)+31-1,1)</f>
        <v/>
      </c>
      <c r="AQ7" s="60">
        <f>DATE(YEAR(СтартМодели),MONTH(СтартМодели)+32-1,1)</f>
        <v/>
      </c>
      <c r="AR7" s="60">
        <f>DATE(YEAR(СтартМодели),MONTH(СтартМодели)+33-1,1)</f>
        <v/>
      </c>
      <c r="AS7" s="60">
        <f>DATE(YEAR(СтартМодели),MONTH(СтартМодели)+34-1,1)</f>
        <v/>
      </c>
      <c r="AT7" s="60">
        <f>DATE(YEAR(СтартМодели),MONTH(СтартМодели)+35-1,1)</f>
        <v/>
      </c>
      <c r="AU7" s="60">
        <f>DATE(YEAR(СтартМодели),MONTH(СтартМодели)+36-1,1)</f>
        <v/>
      </c>
      <c r="AV7" s="60">
        <f>DATE(YEAR(СтартМодели),MONTH(СтартМодели)+37-1,1)</f>
        <v/>
      </c>
      <c r="AW7" s="60">
        <f>DATE(YEAR(СтартМодели),MONTH(СтартМодели)+38-1,1)</f>
        <v/>
      </c>
      <c r="AX7" s="60">
        <f>DATE(YEAR(СтартМодели),MONTH(СтартМодели)+39-1,1)</f>
        <v/>
      </c>
      <c r="AY7" s="60">
        <f>DATE(YEAR(СтартМодели),MONTH(СтартМодели)+40-1,1)</f>
        <v/>
      </c>
      <c r="AZ7" s="60">
        <f>DATE(YEAR(СтартМодели),MONTH(СтартМодели)+41-1,1)</f>
        <v/>
      </c>
      <c r="BA7" s="60">
        <f>DATE(YEAR(СтартМодели),MONTH(СтартМодели)+42-1,1)</f>
        <v/>
      </c>
      <c r="BB7" s="60">
        <f>DATE(YEAR(СтартМодели),MONTH(СтартМодели)+43-1,1)</f>
        <v/>
      </c>
      <c r="BC7" s="60">
        <f>DATE(YEAR(СтартМодели),MONTH(СтартМодели)+44-1,1)</f>
        <v/>
      </c>
      <c r="BD7" s="60">
        <f>DATE(YEAR(СтартМодели),MONTH(СтартМодели)+45-1,1)</f>
        <v/>
      </c>
      <c r="BE7" s="60">
        <f>DATE(YEAR(СтартМодели),MONTH(СтартМодели)+46-1,1)</f>
        <v/>
      </c>
      <c r="BF7" s="60">
        <f>DATE(YEAR(СтартМодели),MONTH(СтартМодели)+47-1,1)</f>
        <v/>
      </c>
      <c r="BG7" s="60">
        <f>DATE(YEAR(СтартМодели),MONTH(СтартМодели)+48-1,1)</f>
        <v/>
      </c>
      <c r="BH7" s="60">
        <f>DATE(YEAR(СтартМодели),MONTH(СтартМодели)+49-1,1)</f>
        <v/>
      </c>
      <c r="BI7" s="60">
        <f>DATE(YEAR(СтартМодели),MONTH(СтартМодели)+50-1,1)</f>
        <v/>
      </c>
      <c r="BJ7" s="60">
        <f>DATE(YEAR(СтартМодели),MONTH(СтартМодели)+51-1,1)</f>
        <v/>
      </c>
      <c r="BK7" s="60">
        <f>DATE(YEAR(СтартМодели),MONTH(СтартМодели)+52-1,1)</f>
        <v/>
      </c>
      <c r="BL7" s="60">
        <f>DATE(YEAR(СтартМодели),MONTH(СтартМодели)+53-1,1)</f>
        <v/>
      </c>
      <c r="BM7" s="60">
        <f>DATE(YEAR(СтартМодели),MONTH(СтартМодели)+54-1,1)</f>
        <v/>
      </c>
      <c r="BN7" s="60">
        <f>DATE(YEAR(СтартМодели),MONTH(СтартМодели)+55-1,1)</f>
        <v/>
      </c>
      <c r="BO7" s="60">
        <f>DATE(YEAR(СтартМодели),MONTH(СтартМодели)+56-1,1)</f>
        <v/>
      </c>
      <c r="BP7" s="60">
        <f>DATE(YEAR(СтартМодели),MONTH(СтартМодели)+57-1,1)</f>
        <v/>
      </c>
      <c r="BQ7" s="60">
        <f>DATE(YEAR(СтартМодели),MONTH(СтартМодели)+58-1,1)</f>
        <v/>
      </c>
      <c r="BR7" s="60">
        <f>DATE(YEAR(СтартМодели),MONTH(СтартМодели)+59-1,1)</f>
        <v/>
      </c>
      <c r="BS7" s="60">
        <f>DATE(YEAR(СтартМодели),MONTH(СтартМодели)+60-1,1)</f>
        <v/>
      </c>
      <c r="BT7" s="60">
        <f>DATE(YEAR(СтартМодели),MONTH(СтартМодели)+61-1,1)</f>
        <v/>
      </c>
      <c r="BU7" s="60">
        <f>DATE(YEAR(СтартМодели),MONTH(СтартМодели)+62-1,1)</f>
        <v/>
      </c>
      <c r="BV7" s="60">
        <f>DATE(YEAR(СтартМодели),MONTH(СтартМодели)+63-1,1)</f>
        <v/>
      </c>
      <c r="BW7" s="60">
        <f>DATE(YEAR(СтартМодели),MONTH(СтартМодели)+64-1,1)</f>
        <v/>
      </c>
      <c r="BX7" s="60">
        <f>DATE(YEAR(СтартМодели),MONTH(СтартМодели)+65-1,1)</f>
        <v/>
      </c>
      <c r="BY7" s="60">
        <f>DATE(YEAR(СтартМодели),MONTH(СтартМодели)+66-1,1)</f>
        <v/>
      </c>
    </row>
    <row r="8">
      <c r="B8" s="56" t="inlineStr">
        <is>
          <t>Год модели (сезон)</t>
        </is>
      </c>
      <c r="C8" s="56" t="inlineStr">
        <is>
          <t>№</t>
        </is>
      </c>
      <c r="D8" s="57" t="inlineStr">
        <is>
          <t>Сезон длится 12 месяцев от старта Внутренняя механика расчёта: годового итога у этой строки нет, смотрите итоговые строки блока ниже.</t>
        </is>
      </c>
      <c r="E8" s="58" t="n"/>
      <c r="F8" s="58" t="n"/>
      <c r="G8" s="58" t="n"/>
      <c r="H8" s="58" t="n"/>
      <c r="I8" s="58" t="n"/>
      <c r="L8" s="82">
        <f>INT((1-1)/12)+1</f>
        <v/>
      </c>
      <c r="M8" s="82">
        <f>INT((2-1)/12)+1</f>
        <v/>
      </c>
      <c r="N8" s="82">
        <f>INT((3-1)/12)+1</f>
        <v/>
      </c>
      <c r="O8" s="82">
        <f>INT((4-1)/12)+1</f>
        <v/>
      </c>
      <c r="P8" s="82">
        <f>INT((5-1)/12)+1</f>
        <v/>
      </c>
      <c r="Q8" s="82">
        <f>INT((6-1)/12)+1</f>
        <v/>
      </c>
      <c r="R8" s="82">
        <f>INT((7-1)/12)+1</f>
        <v/>
      </c>
      <c r="S8" s="82">
        <f>INT((8-1)/12)+1</f>
        <v/>
      </c>
      <c r="T8" s="82">
        <f>INT((9-1)/12)+1</f>
        <v/>
      </c>
      <c r="U8" s="82">
        <f>INT((10-1)/12)+1</f>
        <v/>
      </c>
      <c r="V8" s="82">
        <f>INT((11-1)/12)+1</f>
        <v/>
      </c>
      <c r="W8" s="82">
        <f>INT((12-1)/12)+1</f>
        <v/>
      </c>
      <c r="X8" s="82">
        <f>INT((13-1)/12)+1</f>
        <v/>
      </c>
      <c r="Y8" s="82">
        <f>INT((14-1)/12)+1</f>
        <v/>
      </c>
      <c r="Z8" s="82">
        <f>INT((15-1)/12)+1</f>
        <v/>
      </c>
      <c r="AA8" s="82">
        <f>INT((16-1)/12)+1</f>
        <v/>
      </c>
      <c r="AB8" s="82">
        <f>INT((17-1)/12)+1</f>
        <v/>
      </c>
      <c r="AC8" s="82">
        <f>INT((18-1)/12)+1</f>
        <v/>
      </c>
      <c r="AD8" s="82">
        <f>INT((19-1)/12)+1</f>
        <v/>
      </c>
      <c r="AE8" s="82">
        <f>INT((20-1)/12)+1</f>
        <v/>
      </c>
      <c r="AF8" s="82">
        <f>INT((21-1)/12)+1</f>
        <v/>
      </c>
      <c r="AG8" s="82">
        <f>INT((22-1)/12)+1</f>
        <v/>
      </c>
      <c r="AH8" s="82">
        <f>INT((23-1)/12)+1</f>
        <v/>
      </c>
      <c r="AI8" s="82">
        <f>INT((24-1)/12)+1</f>
        <v/>
      </c>
      <c r="AJ8" s="82">
        <f>INT((25-1)/12)+1</f>
        <v/>
      </c>
      <c r="AK8" s="82">
        <f>INT((26-1)/12)+1</f>
        <v/>
      </c>
      <c r="AL8" s="82">
        <f>INT((27-1)/12)+1</f>
        <v/>
      </c>
      <c r="AM8" s="82">
        <f>INT((28-1)/12)+1</f>
        <v/>
      </c>
      <c r="AN8" s="82">
        <f>INT((29-1)/12)+1</f>
        <v/>
      </c>
      <c r="AO8" s="82">
        <f>INT((30-1)/12)+1</f>
        <v/>
      </c>
      <c r="AP8" s="82">
        <f>INT((31-1)/12)+1</f>
        <v/>
      </c>
      <c r="AQ8" s="82">
        <f>INT((32-1)/12)+1</f>
        <v/>
      </c>
      <c r="AR8" s="82">
        <f>INT((33-1)/12)+1</f>
        <v/>
      </c>
      <c r="AS8" s="82">
        <f>INT((34-1)/12)+1</f>
        <v/>
      </c>
      <c r="AT8" s="82">
        <f>INT((35-1)/12)+1</f>
        <v/>
      </c>
      <c r="AU8" s="82">
        <f>INT((36-1)/12)+1</f>
        <v/>
      </c>
      <c r="AV8" s="82">
        <f>INT((37-1)/12)+1</f>
        <v/>
      </c>
      <c r="AW8" s="82">
        <f>INT((38-1)/12)+1</f>
        <v/>
      </c>
      <c r="AX8" s="82">
        <f>INT((39-1)/12)+1</f>
        <v/>
      </c>
      <c r="AY8" s="82">
        <f>INT((40-1)/12)+1</f>
        <v/>
      </c>
      <c r="AZ8" s="82">
        <f>INT((41-1)/12)+1</f>
        <v/>
      </c>
      <c r="BA8" s="82">
        <f>INT((42-1)/12)+1</f>
        <v/>
      </c>
      <c r="BB8" s="82">
        <f>INT((43-1)/12)+1</f>
        <v/>
      </c>
      <c r="BC8" s="82">
        <f>INT((44-1)/12)+1</f>
        <v/>
      </c>
      <c r="BD8" s="82">
        <f>INT((45-1)/12)+1</f>
        <v/>
      </c>
      <c r="BE8" s="82">
        <f>INT((46-1)/12)+1</f>
        <v/>
      </c>
      <c r="BF8" s="82">
        <f>INT((47-1)/12)+1</f>
        <v/>
      </c>
      <c r="BG8" s="82">
        <f>INT((48-1)/12)+1</f>
        <v/>
      </c>
      <c r="BH8" s="82">
        <f>INT((49-1)/12)+1</f>
        <v/>
      </c>
      <c r="BI8" s="82">
        <f>INT((50-1)/12)+1</f>
        <v/>
      </c>
      <c r="BJ8" s="82">
        <f>INT((51-1)/12)+1</f>
        <v/>
      </c>
      <c r="BK8" s="82">
        <f>INT((52-1)/12)+1</f>
        <v/>
      </c>
      <c r="BL8" s="82">
        <f>INT((53-1)/12)+1</f>
        <v/>
      </c>
      <c r="BM8" s="82">
        <f>INT((54-1)/12)+1</f>
        <v/>
      </c>
      <c r="BN8" s="82">
        <f>INT((55-1)/12)+1</f>
        <v/>
      </c>
      <c r="BO8" s="82">
        <f>INT((56-1)/12)+1</f>
        <v/>
      </c>
      <c r="BP8" s="82">
        <f>INT((57-1)/12)+1</f>
        <v/>
      </c>
      <c r="BQ8" s="82">
        <f>INT((58-1)/12)+1</f>
        <v/>
      </c>
      <c r="BR8" s="82">
        <f>INT((59-1)/12)+1</f>
        <v/>
      </c>
      <c r="BS8" s="82">
        <f>INT((60-1)/12)+1</f>
        <v/>
      </c>
      <c r="BT8" s="82">
        <f>INT((61-1)/12)+1</f>
        <v/>
      </c>
      <c r="BU8" s="82">
        <f>INT((62-1)/12)+1</f>
        <v/>
      </c>
      <c r="BV8" s="82">
        <f>INT((63-1)/12)+1</f>
        <v/>
      </c>
      <c r="BW8" s="82">
        <f>INT((64-1)/12)+1</f>
        <v/>
      </c>
      <c r="BX8" s="82">
        <f>INT((65-1)/12)+1</f>
        <v/>
      </c>
      <c r="BY8" s="82">
        <f>INT((66-1)/12)+1</f>
        <v/>
      </c>
    </row>
    <row r="9">
      <c r="B9" s="56" t="inlineStr">
        <is>
          <t>Месяц сезона</t>
        </is>
      </c>
      <c r="C9" s="56" t="inlineStr">
        <is>
          <t>№</t>
        </is>
      </c>
      <c r="D9" s="57" t="inlineStr">
        <is>
          <t>1 = первый месяц сезона от даты старта Внутренняя механика расчёта: годового итога у этой строки нет, смотрите итоговые строки блока ниже.</t>
        </is>
      </c>
      <c r="E9" s="58" t="n"/>
      <c r="F9" s="58" t="n"/>
      <c r="G9" s="58" t="n"/>
      <c r="H9" s="58" t="n"/>
      <c r="I9" s="58" t="n"/>
      <c r="L9" s="82">
        <f>MOD(1-1,12)+1</f>
        <v/>
      </c>
      <c r="M9" s="82">
        <f>MOD(2-1,12)+1</f>
        <v/>
      </c>
      <c r="N9" s="82">
        <f>MOD(3-1,12)+1</f>
        <v/>
      </c>
      <c r="O9" s="82">
        <f>MOD(4-1,12)+1</f>
        <v/>
      </c>
      <c r="P9" s="82">
        <f>MOD(5-1,12)+1</f>
        <v/>
      </c>
      <c r="Q9" s="82">
        <f>MOD(6-1,12)+1</f>
        <v/>
      </c>
      <c r="R9" s="82">
        <f>MOD(7-1,12)+1</f>
        <v/>
      </c>
      <c r="S9" s="82">
        <f>MOD(8-1,12)+1</f>
        <v/>
      </c>
      <c r="T9" s="82">
        <f>MOD(9-1,12)+1</f>
        <v/>
      </c>
      <c r="U9" s="82">
        <f>MOD(10-1,12)+1</f>
        <v/>
      </c>
      <c r="V9" s="82">
        <f>MOD(11-1,12)+1</f>
        <v/>
      </c>
      <c r="W9" s="82">
        <f>MOD(12-1,12)+1</f>
        <v/>
      </c>
      <c r="X9" s="82">
        <f>MOD(13-1,12)+1</f>
        <v/>
      </c>
      <c r="Y9" s="82">
        <f>MOD(14-1,12)+1</f>
        <v/>
      </c>
      <c r="Z9" s="82">
        <f>MOD(15-1,12)+1</f>
        <v/>
      </c>
      <c r="AA9" s="82">
        <f>MOD(16-1,12)+1</f>
        <v/>
      </c>
      <c r="AB9" s="82">
        <f>MOD(17-1,12)+1</f>
        <v/>
      </c>
      <c r="AC9" s="82">
        <f>MOD(18-1,12)+1</f>
        <v/>
      </c>
      <c r="AD9" s="82">
        <f>MOD(19-1,12)+1</f>
        <v/>
      </c>
      <c r="AE9" s="82">
        <f>MOD(20-1,12)+1</f>
        <v/>
      </c>
      <c r="AF9" s="82">
        <f>MOD(21-1,12)+1</f>
        <v/>
      </c>
      <c r="AG9" s="82">
        <f>MOD(22-1,12)+1</f>
        <v/>
      </c>
      <c r="AH9" s="82">
        <f>MOD(23-1,12)+1</f>
        <v/>
      </c>
      <c r="AI9" s="82">
        <f>MOD(24-1,12)+1</f>
        <v/>
      </c>
      <c r="AJ9" s="82">
        <f>MOD(25-1,12)+1</f>
        <v/>
      </c>
      <c r="AK9" s="82">
        <f>MOD(26-1,12)+1</f>
        <v/>
      </c>
      <c r="AL9" s="82">
        <f>MOD(27-1,12)+1</f>
        <v/>
      </c>
      <c r="AM9" s="82">
        <f>MOD(28-1,12)+1</f>
        <v/>
      </c>
      <c r="AN9" s="82">
        <f>MOD(29-1,12)+1</f>
        <v/>
      </c>
      <c r="AO9" s="82">
        <f>MOD(30-1,12)+1</f>
        <v/>
      </c>
      <c r="AP9" s="82">
        <f>MOD(31-1,12)+1</f>
        <v/>
      </c>
      <c r="AQ9" s="82">
        <f>MOD(32-1,12)+1</f>
        <v/>
      </c>
      <c r="AR9" s="82">
        <f>MOD(33-1,12)+1</f>
        <v/>
      </c>
      <c r="AS9" s="82">
        <f>MOD(34-1,12)+1</f>
        <v/>
      </c>
      <c r="AT9" s="82">
        <f>MOD(35-1,12)+1</f>
        <v/>
      </c>
      <c r="AU9" s="82">
        <f>MOD(36-1,12)+1</f>
        <v/>
      </c>
      <c r="AV9" s="82">
        <f>MOD(37-1,12)+1</f>
        <v/>
      </c>
      <c r="AW9" s="82">
        <f>MOD(38-1,12)+1</f>
        <v/>
      </c>
      <c r="AX9" s="82">
        <f>MOD(39-1,12)+1</f>
        <v/>
      </c>
      <c r="AY9" s="82">
        <f>MOD(40-1,12)+1</f>
        <v/>
      </c>
      <c r="AZ9" s="82">
        <f>MOD(41-1,12)+1</f>
        <v/>
      </c>
      <c r="BA9" s="82">
        <f>MOD(42-1,12)+1</f>
        <v/>
      </c>
      <c r="BB9" s="82">
        <f>MOD(43-1,12)+1</f>
        <v/>
      </c>
      <c r="BC9" s="82">
        <f>MOD(44-1,12)+1</f>
        <v/>
      </c>
      <c r="BD9" s="82">
        <f>MOD(45-1,12)+1</f>
        <v/>
      </c>
      <c r="BE9" s="82">
        <f>MOD(46-1,12)+1</f>
        <v/>
      </c>
      <c r="BF9" s="82">
        <f>MOD(47-1,12)+1</f>
        <v/>
      </c>
      <c r="BG9" s="82">
        <f>MOD(48-1,12)+1</f>
        <v/>
      </c>
      <c r="BH9" s="82">
        <f>MOD(49-1,12)+1</f>
        <v/>
      </c>
      <c r="BI9" s="82">
        <f>MOD(50-1,12)+1</f>
        <v/>
      </c>
      <c r="BJ9" s="82">
        <f>MOD(51-1,12)+1</f>
        <v/>
      </c>
      <c r="BK9" s="82">
        <f>MOD(52-1,12)+1</f>
        <v/>
      </c>
      <c r="BL9" s="82">
        <f>MOD(53-1,12)+1</f>
        <v/>
      </c>
      <c r="BM9" s="82">
        <f>MOD(54-1,12)+1</f>
        <v/>
      </c>
      <c r="BN9" s="82">
        <f>MOD(55-1,12)+1</f>
        <v/>
      </c>
      <c r="BO9" s="82">
        <f>MOD(56-1,12)+1</f>
        <v/>
      </c>
      <c r="BP9" s="82">
        <f>MOD(57-1,12)+1</f>
        <v/>
      </c>
      <c r="BQ9" s="82">
        <f>MOD(58-1,12)+1</f>
        <v/>
      </c>
      <c r="BR9" s="82">
        <f>MOD(59-1,12)+1</f>
        <v/>
      </c>
      <c r="BS9" s="82">
        <f>MOD(60-1,12)+1</f>
        <v/>
      </c>
      <c r="BT9" s="82">
        <f>MOD(61-1,12)+1</f>
        <v/>
      </c>
      <c r="BU9" s="82">
        <f>MOD(62-1,12)+1</f>
        <v/>
      </c>
      <c r="BV9" s="82">
        <f>MOD(63-1,12)+1</f>
        <v/>
      </c>
      <c r="BW9" s="82">
        <f>MOD(64-1,12)+1</f>
        <v/>
      </c>
      <c r="BX9" s="82">
        <f>MOD(65-1,12)+1</f>
        <v/>
      </c>
      <c r="BY9" s="82">
        <f>MOD(66-1,12)+1</f>
        <v/>
      </c>
    </row>
    <row r="10">
      <c r="B10" s="56" t="inlineStr">
        <is>
          <t>Сезонность посещаемости</t>
        </is>
      </c>
      <c r="C10" s="56" t="inlineStr">
        <is>
          <t>%</t>
        </is>
      </c>
      <c r="D10" s="57" t="inlineStr">
        <is>
          <t>Доля детей, посещающих занятия в этом календарном месяце В колонках лет — среднее за год, в «Итого» — среднее за все 60 месяцев.</t>
        </is>
      </c>
      <c r="E10" s="135">
        <f>AVERAGE(L10:W10)</f>
        <v/>
      </c>
      <c r="F10" s="135">
        <f>AVERAGE(X10:AI10)</f>
        <v/>
      </c>
      <c r="G10" s="135">
        <f>AVERAGE(AJ10:AU10)</f>
        <v/>
      </c>
      <c r="H10" s="135">
        <f>AVERAGE(AV10:BG10)</f>
        <v/>
      </c>
      <c r="I10" s="135">
        <f>AVERAGE(BH10:BS10)</f>
        <v/>
      </c>
      <c r="J10" s="138">
        <f>AVERAGE(L10:BS10)</f>
        <v/>
      </c>
      <c r="L10" s="141">
        <f t="array" ref="L10">INDEX('01_Вводные'!$B$44:$M$44,1,MONTH(L7))</f>
        <v/>
      </c>
      <c r="M10" s="141">
        <f t="array" ref="M10">INDEX('01_Вводные'!$B$44:$M$44,1,MONTH(M7))</f>
        <v/>
      </c>
      <c r="N10" s="141">
        <f t="array" ref="N10">INDEX('01_Вводные'!$B$44:$M$44,1,MONTH(N7))</f>
        <v/>
      </c>
      <c r="O10" s="141">
        <f t="array" ref="O10">INDEX('01_Вводные'!$B$44:$M$44,1,MONTH(O7))</f>
        <v/>
      </c>
      <c r="P10" s="141">
        <f t="array" ref="P10">INDEX('01_Вводные'!$B$44:$M$44,1,MONTH(P7))</f>
        <v/>
      </c>
      <c r="Q10" s="141">
        <f t="array" ref="Q10">INDEX('01_Вводные'!$B$44:$M$44,1,MONTH(Q7))</f>
        <v/>
      </c>
      <c r="R10" s="141">
        <f t="array" ref="R10">INDEX('01_Вводные'!$B$44:$M$44,1,MONTH(R7))</f>
        <v/>
      </c>
      <c r="S10" s="141">
        <f t="array" ref="S10">INDEX('01_Вводные'!$B$44:$M$44,1,MONTH(S7))</f>
        <v/>
      </c>
      <c r="T10" s="141">
        <f t="array" ref="T10">INDEX('01_Вводные'!$B$44:$M$44,1,MONTH(T7))</f>
        <v/>
      </c>
      <c r="U10" s="141">
        <f t="array" ref="U10">INDEX('01_Вводные'!$B$44:$M$44,1,MONTH(U7))</f>
        <v/>
      </c>
      <c r="V10" s="141">
        <f t="array" ref="V10">INDEX('01_Вводные'!$B$44:$M$44,1,MONTH(V7))</f>
        <v/>
      </c>
      <c r="W10" s="141">
        <f t="array" ref="W10">INDEX('01_Вводные'!$B$44:$M$44,1,MONTH(W7))</f>
        <v/>
      </c>
      <c r="X10" s="141">
        <f t="array" ref="X10">INDEX('01_Вводные'!$B$44:$M$44,1,MONTH(X7))</f>
        <v/>
      </c>
      <c r="Y10" s="141">
        <f t="array" ref="Y10">INDEX('01_Вводные'!$B$44:$M$44,1,MONTH(Y7))</f>
        <v/>
      </c>
      <c r="Z10" s="141">
        <f t="array" ref="Z10">INDEX('01_Вводные'!$B$44:$M$44,1,MONTH(Z7))</f>
        <v/>
      </c>
      <c r="AA10" s="141">
        <f t="array" ref="AA10">INDEX('01_Вводные'!$B$44:$M$44,1,MONTH(AA7))</f>
        <v/>
      </c>
      <c r="AB10" s="141">
        <f t="array" ref="AB10">INDEX('01_Вводные'!$B$44:$M$44,1,MONTH(AB7))</f>
        <v/>
      </c>
      <c r="AC10" s="141">
        <f t="array" ref="AC10">INDEX('01_Вводные'!$B$44:$M$44,1,MONTH(AC7))</f>
        <v/>
      </c>
      <c r="AD10" s="141">
        <f t="array" ref="AD10">INDEX('01_Вводные'!$B$44:$M$44,1,MONTH(AD7))</f>
        <v/>
      </c>
      <c r="AE10" s="141">
        <f t="array" ref="AE10">INDEX('01_Вводные'!$B$44:$M$44,1,MONTH(AE7))</f>
        <v/>
      </c>
      <c r="AF10" s="141">
        <f t="array" ref="AF10">INDEX('01_Вводные'!$B$44:$M$44,1,MONTH(AF7))</f>
        <v/>
      </c>
      <c r="AG10" s="141">
        <f t="array" ref="AG10">INDEX('01_Вводные'!$B$44:$M$44,1,MONTH(AG7))</f>
        <v/>
      </c>
      <c r="AH10" s="141">
        <f t="array" ref="AH10">INDEX('01_Вводные'!$B$44:$M$44,1,MONTH(AH7))</f>
        <v/>
      </c>
      <c r="AI10" s="141">
        <f t="array" ref="AI10">INDEX('01_Вводные'!$B$44:$M$44,1,MONTH(AI7))</f>
        <v/>
      </c>
      <c r="AJ10" s="141">
        <f t="array" ref="AJ10">INDEX('01_Вводные'!$B$44:$M$44,1,MONTH(AJ7))</f>
        <v/>
      </c>
      <c r="AK10" s="141">
        <f t="array" ref="AK10">INDEX('01_Вводные'!$B$44:$M$44,1,MONTH(AK7))</f>
        <v/>
      </c>
      <c r="AL10" s="141">
        <f t="array" ref="AL10">INDEX('01_Вводные'!$B$44:$M$44,1,MONTH(AL7))</f>
        <v/>
      </c>
      <c r="AM10" s="141">
        <f t="array" ref="AM10">INDEX('01_Вводные'!$B$44:$M$44,1,MONTH(AM7))</f>
        <v/>
      </c>
      <c r="AN10" s="141">
        <f t="array" ref="AN10">INDEX('01_Вводные'!$B$44:$M$44,1,MONTH(AN7))</f>
        <v/>
      </c>
      <c r="AO10" s="141">
        <f t="array" ref="AO10">INDEX('01_Вводные'!$B$44:$M$44,1,MONTH(AO7))</f>
        <v/>
      </c>
      <c r="AP10" s="141">
        <f t="array" ref="AP10">INDEX('01_Вводные'!$B$44:$M$44,1,MONTH(AP7))</f>
        <v/>
      </c>
      <c r="AQ10" s="141">
        <f t="array" ref="AQ10">INDEX('01_Вводные'!$B$44:$M$44,1,MONTH(AQ7))</f>
        <v/>
      </c>
      <c r="AR10" s="141">
        <f t="array" ref="AR10">INDEX('01_Вводные'!$B$44:$M$44,1,MONTH(AR7))</f>
        <v/>
      </c>
      <c r="AS10" s="141">
        <f t="array" ref="AS10">INDEX('01_Вводные'!$B$44:$M$44,1,MONTH(AS7))</f>
        <v/>
      </c>
      <c r="AT10" s="141">
        <f t="array" ref="AT10">INDEX('01_Вводные'!$B$44:$M$44,1,MONTH(AT7))</f>
        <v/>
      </c>
      <c r="AU10" s="141">
        <f t="array" ref="AU10">INDEX('01_Вводные'!$B$44:$M$44,1,MONTH(AU7))</f>
        <v/>
      </c>
      <c r="AV10" s="141">
        <f t="array" ref="AV10">INDEX('01_Вводные'!$B$44:$M$44,1,MONTH(AV7))</f>
        <v/>
      </c>
      <c r="AW10" s="141">
        <f t="array" ref="AW10">INDEX('01_Вводные'!$B$44:$M$44,1,MONTH(AW7))</f>
        <v/>
      </c>
      <c r="AX10" s="141">
        <f t="array" ref="AX10">INDEX('01_Вводные'!$B$44:$M$44,1,MONTH(AX7))</f>
        <v/>
      </c>
      <c r="AY10" s="141">
        <f t="array" ref="AY10">INDEX('01_Вводные'!$B$44:$M$44,1,MONTH(AY7))</f>
        <v/>
      </c>
      <c r="AZ10" s="141">
        <f t="array" ref="AZ10">INDEX('01_Вводные'!$B$44:$M$44,1,MONTH(AZ7))</f>
        <v/>
      </c>
      <c r="BA10" s="141">
        <f t="array" ref="BA10">INDEX('01_Вводные'!$B$44:$M$44,1,MONTH(BA7))</f>
        <v/>
      </c>
      <c r="BB10" s="141">
        <f t="array" ref="BB10">INDEX('01_Вводные'!$B$44:$M$44,1,MONTH(BB7))</f>
        <v/>
      </c>
      <c r="BC10" s="141">
        <f t="array" ref="BC10">INDEX('01_Вводные'!$B$44:$M$44,1,MONTH(BC7))</f>
        <v/>
      </c>
      <c r="BD10" s="141">
        <f t="array" ref="BD10">INDEX('01_Вводные'!$B$44:$M$44,1,MONTH(BD7))</f>
        <v/>
      </c>
      <c r="BE10" s="141">
        <f t="array" ref="BE10">INDEX('01_Вводные'!$B$44:$M$44,1,MONTH(BE7))</f>
        <v/>
      </c>
      <c r="BF10" s="141">
        <f t="array" ref="BF10">INDEX('01_Вводные'!$B$44:$M$44,1,MONTH(BF7))</f>
        <v/>
      </c>
      <c r="BG10" s="141">
        <f t="array" ref="BG10">INDEX('01_Вводные'!$B$44:$M$44,1,MONTH(BG7))</f>
        <v/>
      </c>
      <c r="BH10" s="141">
        <f t="array" ref="BH10">INDEX('01_Вводные'!$B$44:$M$44,1,MONTH(BH7))</f>
        <v/>
      </c>
      <c r="BI10" s="141">
        <f t="array" ref="BI10">INDEX('01_Вводные'!$B$44:$M$44,1,MONTH(BI7))</f>
        <v/>
      </c>
      <c r="BJ10" s="141">
        <f t="array" ref="BJ10">INDEX('01_Вводные'!$B$44:$M$44,1,MONTH(BJ7))</f>
        <v/>
      </c>
      <c r="BK10" s="141">
        <f t="array" ref="BK10">INDEX('01_Вводные'!$B$44:$M$44,1,MONTH(BK7))</f>
        <v/>
      </c>
      <c r="BL10" s="141">
        <f t="array" ref="BL10">INDEX('01_Вводные'!$B$44:$M$44,1,MONTH(BL7))</f>
        <v/>
      </c>
      <c r="BM10" s="141">
        <f t="array" ref="BM10">INDEX('01_Вводные'!$B$44:$M$44,1,MONTH(BM7))</f>
        <v/>
      </c>
      <c r="BN10" s="141">
        <f t="array" ref="BN10">INDEX('01_Вводные'!$B$44:$M$44,1,MONTH(BN7))</f>
        <v/>
      </c>
      <c r="BO10" s="141">
        <f t="array" ref="BO10">INDEX('01_Вводные'!$B$44:$M$44,1,MONTH(BO7))</f>
        <v/>
      </c>
      <c r="BP10" s="141">
        <f t="array" ref="BP10">INDEX('01_Вводные'!$B$44:$M$44,1,MONTH(BP7))</f>
        <v/>
      </c>
      <c r="BQ10" s="141">
        <f t="array" ref="BQ10">INDEX('01_Вводные'!$B$44:$M$44,1,MONTH(BQ7))</f>
        <v/>
      </c>
      <c r="BR10" s="141">
        <f t="array" ref="BR10">INDEX('01_Вводные'!$B$44:$M$44,1,MONTH(BR7))</f>
        <v/>
      </c>
      <c r="BS10" s="141">
        <f t="array" ref="BS10">INDEX('01_Вводные'!$B$44:$M$44,1,MONTH(BS7))</f>
        <v/>
      </c>
      <c r="BT10" s="141">
        <f t="array" ref="BT10">INDEX('01_Вводные'!$B$44:$M$44,1,MONTH(BT7))</f>
        <v/>
      </c>
      <c r="BU10" s="141">
        <f t="array" ref="BU10">INDEX('01_Вводные'!$B$44:$M$44,1,MONTH(BU7))</f>
        <v/>
      </c>
      <c r="BV10" s="141">
        <f t="array" ref="BV10">INDEX('01_Вводные'!$B$44:$M$44,1,MONTH(BV7))</f>
        <v/>
      </c>
      <c r="BW10" s="141">
        <f t="array" ref="BW10">INDEX('01_Вводные'!$B$44:$M$44,1,MONTH(BW7))</f>
        <v/>
      </c>
      <c r="BX10" s="141">
        <f t="array" ref="BX10">INDEX('01_Вводные'!$B$44:$M$44,1,MONTH(BX7))</f>
        <v/>
      </c>
      <c r="BY10" s="141">
        <f t="array" ref="BY10">INDEX('01_Вводные'!$B$44:$M$44,1,MONTH(BY7))</f>
        <v/>
      </c>
    </row>
    <row r="12">
      <c r="B12" s="54" t="inlineStr">
        <is>
          <t>Продажи франшиз и открытия</t>
        </is>
      </c>
      <c r="C12" s="55" t="n"/>
      <c r="D12" s="55" t="n"/>
      <c r="E12" s="55" t="n"/>
      <c r="F12" s="55" t="n"/>
      <c r="G12" s="55" t="n"/>
      <c r="H12" s="55" t="n"/>
      <c r="I12" s="55" t="n"/>
      <c r="J12" s="55" t="n"/>
      <c r="K12" s="55" t="n"/>
      <c r="L12" s="55" t="n"/>
      <c r="M12" s="55" t="n"/>
      <c r="N12" s="55" t="n"/>
      <c r="O12" s="55" t="n"/>
      <c r="P12" s="55" t="n"/>
      <c r="Q12" s="55" t="n"/>
      <c r="R12" s="55" t="n"/>
      <c r="S12" s="55" t="n"/>
      <c r="T12" s="55" t="n"/>
      <c r="U12" s="55" t="n"/>
      <c r="V12" s="55" t="n"/>
      <c r="W12" s="55" t="n"/>
      <c r="X12" s="55" t="n"/>
      <c r="Y12" s="55" t="n"/>
      <c r="Z12" s="55" t="n"/>
      <c r="AA12" s="55" t="n"/>
      <c r="AB12" s="55" t="n"/>
      <c r="AC12" s="55" t="n"/>
      <c r="AD12" s="55" t="n"/>
      <c r="AE12" s="55" t="n"/>
      <c r="AF12" s="55" t="n"/>
      <c r="AG12" s="55" t="n"/>
      <c r="AH12" s="55" t="n"/>
      <c r="AI12" s="55" t="n"/>
      <c r="AJ12" s="55" t="n"/>
      <c r="AK12" s="55" t="n"/>
      <c r="AL12" s="55" t="n"/>
      <c r="AM12" s="55" t="n"/>
      <c r="AN12" s="55" t="n"/>
      <c r="AO12" s="55" t="n"/>
      <c r="AP12" s="55" t="n"/>
      <c r="AQ12" s="55" t="n"/>
      <c r="AR12" s="55" t="n"/>
      <c r="AS12" s="55" t="n"/>
      <c r="AT12" s="55" t="n"/>
      <c r="AU12" s="55" t="n"/>
      <c r="AV12" s="55" t="n"/>
      <c r="AW12" s="55" t="n"/>
      <c r="AX12" s="55" t="n"/>
      <c r="AY12" s="55" t="n"/>
      <c r="AZ12" s="55" t="n"/>
      <c r="BA12" s="55" t="n"/>
      <c r="BB12" s="55" t="n"/>
      <c r="BC12" s="55" t="n"/>
      <c r="BD12" s="55" t="n"/>
      <c r="BE12" s="55" t="n"/>
      <c r="BF12" s="55" t="n"/>
      <c r="BG12" s="55" t="n"/>
      <c r="BH12" s="55" t="n"/>
      <c r="BI12" s="55" t="n"/>
      <c r="BJ12" s="55" t="n"/>
      <c r="BK12" s="55" t="n"/>
      <c r="BL12" s="55" t="n"/>
      <c r="BM12" s="55" t="n"/>
      <c r="BN12" s="55" t="n"/>
      <c r="BO12" s="55" t="n"/>
      <c r="BP12" s="55" t="n"/>
      <c r="BQ12" s="55" t="n"/>
      <c r="BR12" s="55" t="n"/>
      <c r="BS12" s="55" t="n"/>
      <c r="BT12" s="55" t="n"/>
      <c r="BU12" s="55" t="n"/>
      <c r="BV12" s="55" t="n"/>
      <c r="BW12" s="55" t="n"/>
      <c r="BX12" s="55" t="n"/>
      <c r="BY12" s="55" t="n"/>
    </row>
    <row r="13">
      <c r="B13" s="56" t="inlineStr">
        <is>
          <t>Продажи франшиз, план</t>
        </is>
      </c>
      <c r="C13" s="56" t="inlineStr">
        <is>
          <t>шт.</t>
        </is>
      </c>
      <c r="D13" s="57" t="inlineStr">
        <is>
          <t>Годовой план сезона, разложенный по календарным месяцам весами из таблицы планов. Первый месяц — без продаж. За горизонтом продаж нет: технические месяцы нужны только для склада</t>
        </is>
      </c>
      <c r="E13" s="59">
        <f>SUM(L13:W13)</f>
        <v/>
      </c>
      <c r="F13" s="59">
        <f>SUM(X13:AI13)</f>
        <v/>
      </c>
      <c r="G13" s="59">
        <f>SUM(AJ13:AU13)</f>
        <v/>
      </c>
      <c r="H13" s="59">
        <f>SUM(AV13:BG13)</f>
        <v/>
      </c>
      <c r="I13" s="59">
        <f>SUM(BH13:BS13)</f>
        <v/>
      </c>
      <c r="J13" s="61">
        <f>SUM(L13:BS13)</f>
        <v/>
      </c>
      <c r="L13" s="62">
        <f t="array" ref="L13">IF(OR(1&gt;60,1=1),0,INDEX('01_Вводные'!$B$36:$B$40,L8)*INDEX('01_Вводные'!$C$36:$N$40,L8,MOD(MONTH(L7)-9,12)+1)/(SUM(INDEX('01_Вводные'!$C$36:$N$40,L8,0))-IF(1&lt;=12,INDEX('01_Вводные'!$C$36:$N$40,L8,MOD(MONTH(СтартМодели)-9,12)+1),0)))</f>
        <v/>
      </c>
      <c r="M13" s="62">
        <f t="array" ref="M13">IF(OR(2&gt;60,2=1),0,INDEX('01_Вводные'!$B$36:$B$40,M8)*INDEX('01_Вводные'!$C$36:$N$40,M8,MOD(MONTH(M7)-9,12)+1)/(SUM(INDEX('01_Вводные'!$C$36:$N$40,M8,0))-IF(2&lt;=12,INDEX('01_Вводные'!$C$36:$N$40,M8,MOD(MONTH(СтартМодели)-9,12)+1),0)))</f>
        <v/>
      </c>
      <c r="N13" s="62">
        <f t="array" ref="N13">IF(OR(3&gt;60,3=1),0,INDEX('01_Вводные'!$B$36:$B$40,N8)*INDEX('01_Вводные'!$C$36:$N$40,N8,MOD(MONTH(N7)-9,12)+1)/(SUM(INDEX('01_Вводные'!$C$36:$N$40,N8,0))-IF(3&lt;=12,INDEX('01_Вводные'!$C$36:$N$40,N8,MOD(MONTH(СтартМодели)-9,12)+1),0)))</f>
        <v/>
      </c>
      <c r="O13" s="62">
        <f t="array" ref="O13">IF(OR(4&gt;60,4=1),0,INDEX('01_Вводные'!$B$36:$B$40,O8)*INDEX('01_Вводные'!$C$36:$N$40,O8,MOD(MONTH(O7)-9,12)+1)/(SUM(INDEX('01_Вводные'!$C$36:$N$40,O8,0))-IF(4&lt;=12,INDEX('01_Вводные'!$C$36:$N$40,O8,MOD(MONTH(СтартМодели)-9,12)+1),0)))</f>
        <v/>
      </c>
      <c r="P13" s="62">
        <f t="array" ref="P13">IF(OR(5&gt;60,5=1),0,INDEX('01_Вводные'!$B$36:$B$40,P8)*INDEX('01_Вводные'!$C$36:$N$40,P8,MOD(MONTH(P7)-9,12)+1)/(SUM(INDEX('01_Вводные'!$C$36:$N$40,P8,0))-IF(5&lt;=12,INDEX('01_Вводные'!$C$36:$N$40,P8,MOD(MONTH(СтартМодели)-9,12)+1),0)))</f>
        <v/>
      </c>
      <c r="Q13" s="62">
        <f t="array" ref="Q13">IF(OR(6&gt;60,6=1),0,INDEX('01_Вводные'!$B$36:$B$40,Q8)*INDEX('01_Вводные'!$C$36:$N$40,Q8,MOD(MONTH(Q7)-9,12)+1)/(SUM(INDEX('01_Вводные'!$C$36:$N$40,Q8,0))-IF(6&lt;=12,INDEX('01_Вводные'!$C$36:$N$40,Q8,MOD(MONTH(СтартМодели)-9,12)+1),0)))</f>
        <v/>
      </c>
      <c r="R13" s="62">
        <f t="array" ref="R13">IF(OR(7&gt;60,7=1),0,INDEX('01_Вводные'!$B$36:$B$40,R8)*INDEX('01_Вводные'!$C$36:$N$40,R8,MOD(MONTH(R7)-9,12)+1)/(SUM(INDEX('01_Вводные'!$C$36:$N$40,R8,0))-IF(7&lt;=12,INDEX('01_Вводные'!$C$36:$N$40,R8,MOD(MONTH(СтартМодели)-9,12)+1),0)))</f>
        <v/>
      </c>
      <c r="S13" s="62">
        <f t="array" ref="S13">IF(OR(8&gt;60,8=1),0,INDEX('01_Вводные'!$B$36:$B$40,S8)*INDEX('01_Вводные'!$C$36:$N$40,S8,MOD(MONTH(S7)-9,12)+1)/(SUM(INDEX('01_Вводные'!$C$36:$N$40,S8,0))-IF(8&lt;=12,INDEX('01_Вводные'!$C$36:$N$40,S8,MOD(MONTH(СтартМодели)-9,12)+1),0)))</f>
        <v/>
      </c>
      <c r="T13" s="62">
        <f t="array" ref="T13">IF(OR(9&gt;60,9=1),0,INDEX('01_Вводные'!$B$36:$B$40,T8)*INDEX('01_Вводные'!$C$36:$N$40,T8,MOD(MONTH(T7)-9,12)+1)/(SUM(INDEX('01_Вводные'!$C$36:$N$40,T8,0))-IF(9&lt;=12,INDEX('01_Вводные'!$C$36:$N$40,T8,MOD(MONTH(СтартМодели)-9,12)+1),0)))</f>
        <v/>
      </c>
      <c r="U13" s="62">
        <f t="array" ref="U13">IF(OR(10&gt;60,10=1),0,INDEX('01_Вводные'!$B$36:$B$40,U8)*INDEX('01_Вводные'!$C$36:$N$40,U8,MOD(MONTH(U7)-9,12)+1)/(SUM(INDEX('01_Вводные'!$C$36:$N$40,U8,0))-IF(10&lt;=12,INDEX('01_Вводные'!$C$36:$N$40,U8,MOD(MONTH(СтартМодели)-9,12)+1),0)))</f>
        <v/>
      </c>
      <c r="V13" s="62">
        <f t="array" ref="V13">IF(OR(11&gt;60,11=1),0,INDEX('01_Вводные'!$B$36:$B$40,V8)*INDEX('01_Вводные'!$C$36:$N$40,V8,MOD(MONTH(V7)-9,12)+1)/(SUM(INDEX('01_Вводные'!$C$36:$N$40,V8,0))-IF(11&lt;=12,INDEX('01_Вводные'!$C$36:$N$40,V8,MOD(MONTH(СтартМодели)-9,12)+1),0)))</f>
        <v/>
      </c>
      <c r="W13" s="62">
        <f t="array" ref="W13">IF(OR(12&gt;60,12=1),0,INDEX('01_Вводные'!$B$36:$B$40,W8)*INDEX('01_Вводные'!$C$36:$N$40,W8,MOD(MONTH(W7)-9,12)+1)/(SUM(INDEX('01_Вводные'!$C$36:$N$40,W8,0))-IF(12&lt;=12,INDEX('01_Вводные'!$C$36:$N$40,W8,MOD(MONTH(СтартМодели)-9,12)+1),0)))</f>
        <v/>
      </c>
      <c r="X13" s="62">
        <f t="array" ref="X13">IF(OR(13&gt;60,13=1),0,INDEX('01_Вводные'!$B$36:$B$40,X8)*INDEX('01_Вводные'!$C$36:$N$40,X8,MOD(MONTH(X7)-9,12)+1)/(SUM(INDEX('01_Вводные'!$C$36:$N$40,X8,0))-IF(13&lt;=12,INDEX('01_Вводные'!$C$36:$N$40,X8,MOD(MONTH(СтартМодели)-9,12)+1),0)))</f>
        <v/>
      </c>
      <c r="Y13" s="62">
        <f t="array" ref="Y13">IF(OR(14&gt;60,14=1),0,INDEX('01_Вводные'!$B$36:$B$40,Y8)*INDEX('01_Вводные'!$C$36:$N$40,Y8,MOD(MONTH(Y7)-9,12)+1)/(SUM(INDEX('01_Вводные'!$C$36:$N$40,Y8,0))-IF(14&lt;=12,INDEX('01_Вводные'!$C$36:$N$40,Y8,MOD(MONTH(СтартМодели)-9,12)+1),0)))</f>
        <v/>
      </c>
      <c r="Z13" s="62">
        <f t="array" ref="Z13">IF(OR(15&gt;60,15=1),0,INDEX('01_Вводные'!$B$36:$B$40,Z8)*INDEX('01_Вводные'!$C$36:$N$40,Z8,MOD(MONTH(Z7)-9,12)+1)/(SUM(INDEX('01_Вводные'!$C$36:$N$40,Z8,0))-IF(15&lt;=12,INDEX('01_Вводные'!$C$36:$N$40,Z8,MOD(MONTH(СтартМодели)-9,12)+1),0)))</f>
        <v/>
      </c>
      <c r="AA13" s="62">
        <f t="array" ref="AA13">IF(OR(16&gt;60,16=1),0,INDEX('01_Вводные'!$B$36:$B$40,AA8)*INDEX('01_Вводные'!$C$36:$N$40,AA8,MOD(MONTH(AA7)-9,12)+1)/(SUM(INDEX('01_Вводные'!$C$36:$N$40,AA8,0))-IF(16&lt;=12,INDEX('01_Вводные'!$C$36:$N$40,AA8,MOD(MONTH(СтартМодели)-9,12)+1),0)))</f>
        <v/>
      </c>
      <c r="AB13" s="62">
        <f t="array" ref="AB13">IF(OR(17&gt;60,17=1),0,INDEX('01_Вводные'!$B$36:$B$40,AB8)*INDEX('01_Вводные'!$C$36:$N$40,AB8,MOD(MONTH(AB7)-9,12)+1)/(SUM(INDEX('01_Вводные'!$C$36:$N$40,AB8,0))-IF(17&lt;=12,INDEX('01_Вводные'!$C$36:$N$40,AB8,MOD(MONTH(СтартМодели)-9,12)+1),0)))</f>
        <v/>
      </c>
      <c r="AC13" s="62">
        <f t="array" ref="AC13">IF(OR(18&gt;60,18=1),0,INDEX('01_Вводные'!$B$36:$B$40,AC8)*INDEX('01_Вводные'!$C$36:$N$40,AC8,MOD(MONTH(AC7)-9,12)+1)/(SUM(INDEX('01_Вводные'!$C$36:$N$40,AC8,0))-IF(18&lt;=12,INDEX('01_Вводные'!$C$36:$N$40,AC8,MOD(MONTH(СтартМодели)-9,12)+1),0)))</f>
        <v/>
      </c>
      <c r="AD13" s="62">
        <f t="array" ref="AD13">IF(OR(19&gt;60,19=1),0,INDEX('01_Вводные'!$B$36:$B$40,AD8)*INDEX('01_Вводные'!$C$36:$N$40,AD8,MOD(MONTH(AD7)-9,12)+1)/(SUM(INDEX('01_Вводные'!$C$36:$N$40,AD8,0))-IF(19&lt;=12,INDEX('01_Вводные'!$C$36:$N$40,AD8,MOD(MONTH(СтартМодели)-9,12)+1),0)))</f>
        <v/>
      </c>
      <c r="AE13" s="62">
        <f t="array" ref="AE13">IF(OR(20&gt;60,20=1),0,INDEX('01_Вводные'!$B$36:$B$40,AE8)*INDEX('01_Вводные'!$C$36:$N$40,AE8,MOD(MONTH(AE7)-9,12)+1)/(SUM(INDEX('01_Вводные'!$C$36:$N$40,AE8,0))-IF(20&lt;=12,INDEX('01_Вводные'!$C$36:$N$40,AE8,MOD(MONTH(СтартМодели)-9,12)+1),0)))</f>
        <v/>
      </c>
      <c r="AF13" s="62">
        <f t="array" ref="AF13">IF(OR(21&gt;60,21=1),0,INDEX('01_Вводные'!$B$36:$B$40,AF8)*INDEX('01_Вводные'!$C$36:$N$40,AF8,MOD(MONTH(AF7)-9,12)+1)/(SUM(INDEX('01_Вводные'!$C$36:$N$40,AF8,0))-IF(21&lt;=12,INDEX('01_Вводные'!$C$36:$N$40,AF8,MOD(MONTH(СтартМодели)-9,12)+1),0)))</f>
        <v/>
      </c>
      <c r="AG13" s="62">
        <f t="array" ref="AG13">IF(OR(22&gt;60,22=1),0,INDEX('01_Вводные'!$B$36:$B$40,AG8)*INDEX('01_Вводные'!$C$36:$N$40,AG8,MOD(MONTH(AG7)-9,12)+1)/(SUM(INDEX('01_Вводные'!$C$36:$N$40,AG8,0))-IF(22&lt;=12,INDEX('01_Вводные'!$C$36:$N$40,AG8,MOD(MONTH(СтартМодели)-9,12)+1),0)))</f>
        <v/>
      </c>
      <c r="AH13" s="62">
        <f t="array" ref="AH13">IF(OR(23&gt;60,23=1),0,INDEX('01_Вводные'!$B$36:$B$40,AH8)*INDEX('01_Вводные'!$C$36:$N$40,AH8,MOD(MONTH(AH7)-9,12)+1)/(SUM(INDEX('01_Вводные'!$C$36:$N$40,AH8,0))-IF(23&lt;=12,INDEX('01_Вводные'!$C$36:$N$40,AH8,MOD(MONTH(СтартМодели)-9,12)+1),0)))</f>
        <v/>
      </c>
      <c r="AI13" s="62">
        <f t="array" ref="AI13">IF(OR(24&gt;60,24=1),0,INDEX('01_Вводные'!$B$36:$B$40,AI8)*INDEX('01_Вводные'!$C$36:$N$40,AI8,MOD(MONTH(AI7)-9,12)+1)/(SUM(INDEX('01_Вводные'!$C$36:$N$40,AI8,0))-IF(24&lt;=12,INDEX('01_Вводные'!$C$36:$N$40,AI8,MOD(MONTH(СтартМодели)-9,12)+1),0)))</f>
        <v/>
      </c>
      <c r="AJ13" s="62">
        <f t="array" ref="AJ13">IF(OR(25&gt;60,25=1),0,INDEX('01_Вводные'!$B$36:$B$40,AJ8)*INDEX('01_Вводные'!$C$36:$N$40,AJ8,MOD(MONTH(AJ7)-9,12)+1)/(SUM(INDEX('01_Вводные'!$C$36:$N$40,AJ8,0))-IF(25&lt;=12,INDEX('01_Вводные'!$C$36:$N$40,AJ8,MOD(MONTH(СтартМодели)-9,12)+1),0)))</f>
        <v/>
      </c>
      <c r="AK13" s="62">
        <f t="array" ref="AK13">IF(OR(26&gt;60,26=1),0,INDEX('01_Вводные'!$B$36:$B$40,AK8)*INDEX('01_Вводные'!$C$36:$N$40,AK8,MOD(MONTH(AK7)-9,12)+1)/(SUM(INDEX('01_Вводные'!$C$36:$N$40,AK8,0))-IF(26&lt;=12,INDEX('01_Вводные'!$C$36:$N$40,AK8,MOD(MONTH(СтартМодели)-9,12)+1),0)))</f>
        <v/>
      </c>
      <c r="AL13" s="62">
        <f t="array" ref="AL13">IF(OR(27&gt;60,27=1),0,INDEX('01_Вводные'!$B$36:$B$40,AL8)*INDEX('01_Вводные'!$C$36:$N$40,AL8,MOD(MONTH(AL7)-9,12)+1)/(SUM(INDEX('01_Вводные'!$C$36:$N$40,AL8,0))-IF(27&lt;=12,INDEX('01_Вводные'!$C$36:$N$40,AL8,MOD(MONTH(СтартМодели)-9,12)+1),0)))</f>
        <v/>
      </c>
      <c r="AM13" s="62">
        <f t="array" ref="AM13">IF(OR(28&gt;60,28=1),0,INDEX('01_Вводные'!$B$36:$B$40,AM8)*INDEX('01_Вводные'!$C$36:$N$40,AM8,MOD(MONTH(AM7)-9,12)+1)/(SUM(INDEX('01_Вводные'!$C$36:$N$40,AM8,0))-IF(28&lt;=12,INDEX('01_Вводные'!$C$36:$N$40,AM8,MOD(MONTH(СтартМодели)-9,12)+1),0)))</f>
        <v/>
      </c>
      <c r="AN13" s="62">
        <f t="array" ref="AN13">IF(OR(29&gt;60,29=1),0,INDEX('01_Вводные'!$B$36:$B$40,AN8)*INDEX('01_Вводные'!$C$36:$N$40,AN8,MOD(MONTH(AN7)-9,12)+1)/(SUM(INDEX('01_Вводные'!$C$36:$N$40,AN8,0))-IF(29&lt;=12,INDEX('01_Вводные'!$C$36:$N$40,AN8,MOD(MONTH(СтартМодели)-9,12)+1),0)))</f>
        <v/>
      </c>
      <c r="AO13" s="62">
        <f t="array" ref="AO13">IF(OR(30&gt;60,30=1),0,INDEX('01_Вводные'!$B$36:$B$40,AO8)*INDEX('01_Вводные'!$C$36:$N$40,AO8,MOD(MONTH(AO7)-9,12)+1)/(SUM(INDEX('01_Вводные'!$C$36:$N$40,AO8,0))-IF(30&lt;=12,INDEX('01_Вводные'!$C$36:$N$40,AO8,MOD(MONTH(СтартМодели)-9,12)+1),0)))</f>
        <v/>
      </c>
      <c r="AP13" s="62">
        <f t="array" ref="AP13">IF(OR(31&gt;60,31=1),0,INDEX('01_Вводные'!$B$36:$B$40,AP8)*INDEX('01_Вводные'!$C$36:$N$40,AP8,MOD(MONTH(AP7)-9,12)+1)/(SUM(INDEX('01_Вводные'!$C$36:$N$40,AP8,0))-IF(31&lt;=12,INDEX('01_Вводные'!$C$36:$N$40,AP8,MOD(MONTH(СтартМодели)-9,12)+1),0)))</f>
        <v/>
      </c>
      <c r="AQ13" s="62">
        <f t="array" ref="AQ13">IF(OR(32&gt;60,32=1),0,INDEX('01_Вводные'!$B$36:$B$40,AQ8)*INDEX('01_Вводные'!$C$36:$N$40,AQ8,MOD(MONTH(AQ7)-9,12)+1)/(SUM(INDEX('01_Вводные'!$C$36:$N$40,AQ8,0))-IF(32&lt;=12,INDEX('01_Вводные'!$C$36:$N$40,AQ8,MOD(MONTH(СтартМодели)-9,12)+1),0)))</f>
        <v/>
      </c>
      <c r="AR13" s="62">
        <f t="array" ref="AR13">IF(OR(33&gt;60,33=1),0,INDEX('01_Вводные'!$B$36:$B$40,AR8)*INDEX('01_Вводные'!$C$36:$N$40,AR8,MOD(MONTH(AR7)-9,12)+1)/(SUM(INDEX('01_Вводные'!$C$36:$N$40,AR8,0))-IF(33&lt;=12,INDEX('01_Вводные'!$C$36:$N$40,AR8,MOD(MONTH(СтартМодели)-9,12)+1),0)))</f>
        <v/>
      </c>
      <c r="AS13" s="62">
        <f t="array" ref="AS13">IF(OR(34&gt;60,34=1),0,INDEX('01_Вводные'!$B$36:$B$40,AS8)*INDEX('01_Вводные'!$C$36:$N$40,AS8,MOD(MONTH(AS7)-9,12)+1)/(SUM(INDEX('01_Вводные'!$C$36:$N$40,AS8,0))-IF(34&lt;=12,INDEX('01_Вводные'!$C$36:$N$40,AS8,MOD(MONTH(СтартМодели)-9,12)+1),0)))</f>
        <v/>
      </c>
      <c r="AT13" s="62">
        <f t="array" ref="AT13">IF(OR(35&gt;60,35=1),0,INDEX('01_Вводные'!$B$36:$B$40,AT8)*INDEX('01_Вводные'!$C$36:$N$40,AT8,MOD(MONTH(AT7)-9,12)+1)/(SUM(INDEX('01_Вводные'!$C$36:$N$40,AT8,0))-IF(35&lt;=12,INDEX('01_Вводные'!$C$36:$N$40,AT8,MOD(MONTH(СтартМодели)-9,12)+1),0)))</f>
        <v/>
      </c>
      <c r="AU13" s="62">
        <f t="array" ref="AU13">IF(OR(36&gt;60,36=1),0,INDEX('01_Вводные'!$B$36:$B$40,AU8)*INDEX('01_Вводные'!$C$36:$N$40,AU8,MOD(MONTH(AU7)-9,12)+1)/(SUM(INDEX('01_Вводные'!$C$36:$N$40,AU8,0))-IF(36&lt;=12,INDEX('01_Вводные'!$C$36:$N$40,AU8,MOD(MONTH(СтартМодели)-9,12)+1),0)))</f>
        <v/>
      </c>
      <c r="AV13" s="62">
        <f t="array" ref="AV13">IF(OR(37&gt;60,37=1),0,INDEX('01_Вводные'!$B$36:$B$40,AV8)*INDEX('01_Вводные'!$C$36:$N$40,AV8,MOD(MONTH(AV7)-9,12)+1)/(SUM(INDEX('01_Вводные'!$C$36:$N$40,AV8,0))-IF(37&lt;=12,INDEX('01_Вводные'!$C$36:$N$40,AV8,MOD(MONTH(СтартМодели)-9,12)+1),0)))</f>
        <v/>
      </c>
      <c r="AW13" s="62">
        <f t="array" ref="AW13">IF(OR(38&gt;60,38=1),0,INDEX('01_Вводные'!$B$36:$B$40,AW8)*INDEX('01_Вводные'!$C$36:$N$40,AW8,MOD(MONTH(AW7)-9,12)+1)/(SUM(INDEX('01_Вводные'!$C$36:$N$40,AW8,0))-IF(38&lt;=12,INDEX('01_Вводные'!$C$36:$N$40,AW8,MOD(MONTH(СтартМодели)-9,12)+1),0)))</f>
        <v/>
      </c>
      <c r="AX13" s="62">
        <f t="array" ref="AX13">IF(OR(39&gt;60,39=1),0,INDEX('01_Вводные'!$B$36:$B$40,AX8)*INDEX('01_Вводные'!$C$36:$N$40,AX8,MOD(MONTH(AX7)-9,12)+1)/(SUM(INDEX('01_Вводные'!$C$36:$N$40,AX8,0))-IF(39&lt;=12,INDEX('01_Вводные'!$C$36:$N$40,AX8,MOD(MONTH(СтартМодели)-9,12)+1),0)))</f>
        <v/>
      </c>
      <c r="AY13" s="62">
        <f t="array" ref="AY13">IF(OR(40&gt;60,40=1),0,INDEX('01_Вводные'!$B$36:$B$40,AY8)*INDEX('01_Вводные'!$C$36:$N$40,AY8,MOD(MONTH(AY7)-9,12)+1)/(SUM(INDEX('01_Вводные'!$C$36:$N$40,AY8,0))-IF(40&lt;=12,INDEX('01_Вводные'!$C$36:$N$40,AY8,MOD(MONTH(СтартМодели)-9,12)+1),0)))</f>
        <v/>
      </c>
      <c r="AZ13" s="62">
        <f t="array" ref="AZ13">IF(OR(41&gt;60,41=1),0,INDEX('01_Вводные'!$B$36:$B$40,AZ8)*INDEX('01_Вводные'!$C$36:$N$40,AZ8,MOD(MONTH(AZ7)-9,12)+1)/(SUM(INDEX('01_Вводные'!$C$36:$N$40,AZ8,0))-IF(41&lt;=12,INDEX('01_Вводные'!$C$36:$N$40,AZ8,MOD(MONTH(СтартМодели)-9,12)+1),0)))</f>
        <v/>
      </c>
      <c r="BA13" s="62">
        <f t="array" ref="BA13">IF(OR(42&gt;60,42=1),0,INDEX('01_Вводные'!$B$36:$B$40,BA8)*INDEX('01_Вводные'!$C$36:$N$40,BA8,MOD(MONTH(BA7)-9,12)+1)/(SUM(INDEX('01_Вводные'!$C$36:$N$40,BA8,0))-IF(42&lt;=12,INDEX('01_Вводные'!$C$36:$N$40,BA8,MOD(MONTH(СтартМодели)-9,12)+1),0)))</f>
        <v/>
      </c>
      <c r="BB13" s="62">
        <f t="array" ref="BB13">IF(OR(43&gt;60,43=1),0,INDEX('01_Вводные'!$B$36:$B$40,BB8)*INDEX('01_Вводные'!$C$36:$N$40,BB8,MOD(MONTH(BB7)-9,12)+1)/(SUM(INDEX('01_Вводные'!$C$36:$N$40,BB8,0))-IF(43&lt;=12,INDEX('01_Вводные'!$C$36:$N$40,BB8,MOD(MONTH(СтартМодели)-9,12)+1),0)))</f>
        <v/>
      </c>
      <c r="BC13" s="62">
        <f t="array" ref="BC13">IF(OR(44&gt;60,44=1),0,INDEX('01_Вводные'!$B$36:$B$40,BC8)*INDEX('01_Вводные'!$C$36:$N$40,BC8,MOD(MONTH(BC7)-9,12)+1)/(SUM(INDEX('01_Вводные'!$C$36:$N$40,BC8,0))-IF(44&lt;=12,INDEX('01_Вводные'!$C$36:$N$40,BC8,MOD(MONTH(СтартМодели)-9,12)+1),0)))</f>
        <v/>
      </c>
      <c r="BD13" s="62">
        <f t="array" ref="BD13">IF(OR(45&gt;60,45=1),0,INDEX('01_Вводные'!$B$36:$B$40,BD8)*INDEX('01_Вводные'!$C$36:$N$40,BD8,MOD(MONTH(BD7)-9,12)+1)/(SUM(INDEX('01_Вводные'!$C$36:$N$40,BD8,0))-IF(45&lt;=12,INDEX('01_Вводные'!$C$36:$N$40,BD8,MOD(MONTH(СтартМодели)-9,12)+1),0)))</f>
        <v/>
      </c>
      <c r="BE13" s="62">
        <f t="array" ref="BE13">IF(OR(46&gt;60,46=1),0,INDEX('01_Вводные'!$B$36:$B$40,BE8)*INDEX('01_Вводные'!$C$36:$N$40,BE8,MOD(MONTH(BE7)-9,12)+1)/(SUM(INDEX('01_Вводные'!$C$36:$N$40,BE8,0))-IF(46&lt;=12,INDEX('01_Вводные'!$C$36:$N$40,BE8,MOD(MONTH(СтартМодели)-9,12)+1),0)))</f>
        <v/>
      </c>
      <c r="BF13" s="62">
        <f t="array" ref="BF13">IF(OR(47&gt;60,47=1),0,INDEX('01_Вводные'!$B$36:$B$40,BF8)*INDEX('01_Вводные'!$C$36:$N$40,BF8,MOD(MONTH(BF7)-9,12)+1)/(SUM(INDEX('01_Вводные'!$C$36:$N$40,BF8,0))-IF(47&lt;=12,INDEX('01_Вводные'!$C$36:$N$40,BF8,MOD(MONTH(СтартМодели)-9,12)+1),0)))</f>
        <v/>
      </c>
      <c r="BG13" s="62">
        <f t="array" ref="BG13">IF(OR(48&gt;60,48=1),0,INDEX('01_Вводные'!$B$36:$B$40,BG8)*INDEX('01_Вводные'!$C$36:$N$40,BG8,MOD(MONTH(BG7)-9,12)+1)/(SUM(INDEX('01_Вводные'!$C$36:$N$40,BG8,0))-IF(48&lt;=12,INDEX('01_Вводные'!$C$36:$N$40,BG8,MOD(MONTH(СтартМодели)-9,12)+1),0)))</f>
        <v/>
      </c>
      <c r="BH13" s="62">
        <f t="array" ref="BH13">IF(OR(49&gt;60,49=1),0,INDEX('01_Вводные'!$B$36:$B$40,BH8)*INDEX('01_Вводные'!$C$36:$N$40,BH8,MOD(MONTH(BH7)-9,12)+1)/(SUM(INDEX('01_Вводные'!$C$36:$N$40,BH8,0))-IF(49&lt;=12,INDEX('01_Вводные'!$C$36:$N$40,BH8,MOD(MONTH(СтартМодели)-9,12)+1),0)))</f>
        <v/>
      </c>
      <c r="BI13" s="62">
        <f t="array" ref="BI13">IF(OR(50&gt;60,50=1),0,INDEX('01_Вводные'!$B$36:$B$40,BI8)*INDEX('01_Вводные'!$C$36:$N$40,BI8,MOD(MONTH(BI7)-9,12)+1)/(SUM(INDEX('01_Вводные'!$C$36:$N$40,BI8,0))-IF(50&lt;=12,INDEX('01_Вводные'!$C$36:$N$40,BI8,MOD(MONTH(СтартМодели)-9,12)+1),0)))</f>
        <v/>
      </c>
      <c r="BJ13" s="62">
        <f t="array" ref="BJ13">IF(OR(51&gt;60,51=1),0,INDEX('01_Вводные'!$B$36:$B$40,BJ8)*INDEX('01_Вводные'!$C$36:$N$40,BJ8,MOD(MONTH(BJ7)-9,12)+1)/(SUM(INDEX('01_Вводные'!$C$36:$N$40,BJ8,0))-IF(51&lt;=12,INDEX('01_Вводные'!$C$36:$N$40,BJ8,MOD(MONTH(СтартМодели)-9,12)+1),0)))</f>
        <v/>
      </c>
      <c r="BK13" s="62">
        <f t="array" ref="BK13">IF(OR(52&gt;60,52=1),0,INDEX('01_Вводные'!$B$36:$B$40,BK8)*INDEX('01_Вводные'!$C$36:$N$40,BK8,MOD(MONTH(BK7)-9,12)+1)/(SUM(INDEX('01_Вводные'!$C$36:$N$40,BK8,0))-IF(52&lt;=12,INDEX('01_Вводные'!$C$36:$N$40,BK8,MOD(MONTH(СтартМодели)-9,12)+1),0)))</f>
        <v/>
      </c>
      <c r="BL13" s="62">
        <f t="array" ref="BL13">IF(OR(53&gt;60,53=1),0,INDEX('01_Вводные'!$B$36:$B$40,BL8)*INDEX('01_Вводные'!$C$36:$N$40,BL8,MOD(MONTH(BL7)-9,12)+1)/(SUM(INDEX('01_Вводные'!$C$36:$N$40,BL8,0))-IF(53&lt;=12,INDEX('01_Вводные'!$C$36:$N$40,BL8,MOD(MONTH(СтартМодели)-9,12)+1),0)))</f>
        <v/>
      </c>
      <c r="BM13" s="62">
        <f t="array" ref="BM13">IF(OR(54&gt;60,54=1),0,INDEX('01_Вводные'!$B$36:$B$40,BM8)*INDEX('01_Вводные'!$C$36:$N$40,BM8,MOD(MONTH(BM7)-9,12)+1)/(SUM(INDEX('01_Вводные'!$C$36:$N$40,BM8,0))-IF(54&lt;=12,INDEX('01_Вводные'!$C$36:$N$40,BM8,MOD(MONTH(СтартМодели)-9,12)+1),0)))</f>
        <v/>
      </c>
      <c r="BN13" s="62">
        <f t="array" ref="BN13">IF(OR(55&gt;60,55=1),0,INDEX('01_Вводные'!$B$36:$B$40,BN8)*INDEX('01_Вводные'!$C$36:$N$40,BN8,MOD(MONTH(BN7)-9,12)+1)/(SUM(INDEX('01_Вводные'!$C$36:$N$40,BN8,0))-IF(55&lt;=12,INDEX('01_Вводные'!$C$36:$N$40,BN8,MOD(MONTH(СтартМодели)-9,12)+1),0)))</f>
        <v/>
      </c>
      <c r="BO13" s="62">
        <f t="array" ref="BO13">IF(OR(56&gt;60,56=1),0,INDEX('01_Вводные'!$B$36:$B$40,BO8)*INDEX('01_Вводные'!$C$36:$N$40,BO8,MOD(MONTH(BO7)-9,12)+1)/(SUM(INDEX('01_Вводные'!$C$36:$N$40,BO8,0))-IF(56&lt;=12,INDEX('01_Вводные'!$C$36:$N$40,BO8,MOD(MONTH(СтартМодели)-9,12)+1),0)))</f>
        <v/>
      </c>
      <c r="BP13" s="62">
        <f t="array" ref="BP13">IF(OR(57&gt;60,57=1),0,INDEX('01_Вводные'!$B$36:$B$40,BP8)*INDEX('01_Вводные'!$C$36:$N$40,BP8,MOD(MONTH(BP7)-9,12)+1)/(SUM(INDEX('01_Вводные'!$C$36:$N$40,BP8,0))-IF(57&lt;=12,INDEX('01_Вводные'!$C$36:$N$40,BP8,MOD(MONTH(СтартМодели)-9,12)+1),0)))</f>
        <v/>
      </c>
      <c r="BQ13" s="62">
        <f t="array" ref="BQ13">IF(OR(58&gt;60,58=1),0,INDEX('01_Вводные'!$B$36:$B$40,BQ8)*INDEX('01_Вводные'!$C$36:$N$40,BQ8,MOD(MONTH(BQ7)-9,12)+1)/(SUM(INDEX('01_Вводные'!$C$36:$N$40,BQ8,0))-IF(58&lt;=12,INDEX('01_Вводные'!$C$36:$N$40,BQ8,MOD(MONTH(СтартМодели)-9,12)+1),0)))</f>
        <v/>
      </c>
      <c r="BR13" s="62">
        <f t="array" ref="BR13">IF(OR(59&gt;60,59=1),0,INDEX('01_Вводные'!$B$36:$B$40,BR8)*INDEX('01_Вводные'!$C$36:$N$40,BR8,MOD(MONTH(BR7)-9,12)+1)/(SUM(INDEX('01_Вводные'!$C$36:$N$40,BR8,0))-IF(59&lt;=12,INDEX('01_Вводные'!$C$36:$N$40,BR8,MOD(MONTH(СтартМодели)-9,12)+1),0)))</f>
        <v/>
      </c>
      <c r="BS13" s="62">
        <f t="array" ref="BS13">IF(OR(60&gt;60,60=1),0,INDEX('01_Вводные'!$B$36:$B$40,BS8)*INDEX('01_Вводные'!$C$36:$N$40,BS8,MOD(MONTH(BS7)-9,12)+1)/(SUM(INDEX('01_Вводные'!$C$36:$N$40,BS8,0))-IF(60&lt;=12,INDEX('01_Вводные'!$C$36:$N$40,BS8,MOD(MONTH(СтартМодели)-9,12)+1),0)))</f>
        <v/>
      </c>
      <c r="BT13" s="62">
        <f t="array" ref="BT13">IF(OR(61&gt;60,61=1),0,INDEX('01_Вводные'!$B$36:$B$40,BT8)*INDEX('01_Вводные'!$C$36:$N$40,BT8,MOD(MONTH(BT7)-9,12)+1)/(SUM(INDEX('01_Вводные'!$C$36:$N$40,BT8,0))-IF(61&lt;=12,INDEX('01_Вводные'!$C$36:$N$40,BT8,MOD(MONTH(СтартМодели)-9,12)+1),0)))</f>
        <v/>
      </c>
      <c r="BU13" s="62">
        <f t="array" ref="BU13">IF(OR(62&gt;60,62=1),0,INDEX('01_Вводные'!$B$36:$B$40,BU8)*INDEX('01_Вводные'!$C$36:$N$40,BU8,MOD(MONTH(BU7)-9,12)+1)/(SUM(INDEX('01_Вводные'!$C$36:$N$40,BU8,0))-IF(62&lt;=12,INDEX('01_Вводные'!$C$36:$N$40,BU8,MOD(MONTH(СтартМодели)-9,12)+1),0)))</f>
        <v/>
      </c>
      <c r="BV13" s="62">
        <f t="array" ref="BV13">IF(OR(63&gt;60,63=1),0,INDEX('01_Вводные'!$B$36:$B$40,BV8)*INDEX('01_Вводные'!$C$36:$N$40,BV8,MOD(MONTH(BV7)-9,12)+1)/(SUM(INDEX('01_Вводные'!$C$36:$N$40,BV8,0))-IF(63&lt;=12,INDEX('01_Вводные'!$C$36:$N$40,BV8,MOD(MONTH(СтартМодели)-9,12)+1),0)))</f>
        <v/>
      </c>
      <c r="BW13" s="62">
        <f t="array" ref="BW13">IF(OR(64&gt;60,64=1),0,INDEX('01_Вводные'!$B$36:$B$40,BW8)*INDEX('01_Вводные'!$C$36:$N$40,BW8,MOD(MONTH(BW7)-9,12)+1)/(SUM(INDEX('01_Вводные'!$C$36:$N$40,BW8,0))-IF(64&lt;=12,INDEX('01_Вводные'!$C$36:$N$40,BW8,MOD(MONTH(СтартМодели)-9,12)+1),0)))</f>
        <v/>
      </c>
      <c r="BX13" s="62">
        <f t="array" ref="BX13">IF(OR(65&gt;60,65=1),0,INDEX('01_Вводные'!$B$36:$B$40,BX8)*INDEX('01_Вводные'!$C$36:$N$40,BX8,MOD(MONTH(BX7)-9,12)+1)/(SUM(INDEX('01_Вводные'!$C$36:$N$40,BX8,0))-IF(65&lt;=12,INDEX('01_Вводные'!$C$36:$N$40,BX8,MOD(MONTH(СтартМодели)-9,12)+1),0)))</f>
        <v/>
      </c>
      <c r="BY13" s="62">
        <f t="array" ref="BY13">IF(OR(66&gt;60,66=1),0,INDEX('01_Вводные'!$B$36:$B$40,BY8)*INDEX('01_Вводные'!$C$36:$N$40,BY8,MOD(MONTH(BY7)-9,12)+1)/(SUM(INDEX('01_Вводные'!$C$36:$N$40,BY8,0))-IF(66&lt;=12,INDEX('01_Вводные'!$C$36:$N$40,BY8,MOD(MONTH(СтартМодели)-9,12)+1),0)))</f>
        <v/>
      </c>
    </row>
    <row r="14">
      <c r="B14" s="56" t="inlineStr">
        <is>
          <t>Открытия школ</t>
        </is>
      </c>
      <c r="C14" s="56" t="inlineStr">
        <is>
          <t>шт.</t>
        </is>
      </c>
      <c r="D14" s="57" t="inlineStr">
        <is>
          <t>Первая школа партнёра — через лаг открытия, следующие — ещё через лаг B311. Обе ветки с поправкой на конверсию продажи в открытие</t>
        </is>
      </c>
      <c r="E14" s="59">
        <f>SUM(L14:W14)</f>
        <v/>
      </c>
      <c r="F14" s="59">
        <f>SUM(X14:AI14)</f>
        <v/>
      </c>
      <c r="G14" s="59">
        <f>SUM(AJ14:AU14)</f>
        <v/>
      </c>
      <c r="H14" s="59">
        <f>SUM(AV14:BG14)</f>
        <v/>
      </c>
      <c r="I14" s="59">
        <f>SUM(BH14:BS14)</f>
        <v/>
      </c>
      <c r="J14" s="61">
        <f>SUM(L14:BS14)</f>
        <v/>
      </c>
      <c r="L14" s="62">
        <f t="array" ref="L14">IF(1-ЛагОткрытия&lt;1,0,INDEX($L13:$BY13,1,1-ЛагОткрытия))*КонверсияОткрытия*MIN(1,ШколНаПродажу)+IF(1-(ЛагОткрытия+ЛагСледующихШкол)&lt;1,0,INDEX($L13:$BY13,1,1-(ЛагОткрытия+ЛагСледующихШкол)))*КонверсияОткрытия*MAX(0,ШколНаПродажу-1)</f>
        <v/>
      </c>
      <c r="M14" s="62">
        <f t="array" ref="M14">IF(2-ЛагОткрытия&lt;1,0,INDEX($L13:$BY13,1,2-ЛагОткрытия))*КонверсияОткрытия*MIN(1,ШколНаПродажу)+IF(2-(ЛагОткрытия+ЛагСледующихШкол)&lt;1,0,INDEX($L13:$BY13,1,2-(ЛагОткрытия+ЛагСледующихШкол)))*КонверсияОткрытия*MAX(0,ШколНаПродажу-1)</f>
        <v/>
      </c>
      <c r="N14" s="62">
        <f t="array" ref="N14">IF(3-ЛагОткрытия&lt;1,0,INDEX($L13:$BY13,1,3-ЛагОткрытия))*КонверсияОткрытия*MIN(1,ШколНаПродажу)+IF(3-(ЛагОткрытия+ЛагСледующихШкол)&lt;1,0,INDEX($L13:$BY13,1,3-(ЛагОткрытия+ЛагСледующихШкол)))*КонверсияОткрытия*MAX(0,ШколНаПродажу-1)</f>
        <v/>
      </c>
      <c r="O14" s="62">
        <f t="array" ref="O14">IF(4-ЛагОткрытия&lt;1,0,INDEX($L13:$BY13,1,4-ЛагОткрытия))*КонверсияОткрытия*MIN(1,ШколНаПродажу)+IF(4-(ЛагОткрытия+ЛагСледующихШкол)&lt;1,0,INDEX($L13:$BY13,1,4-(ЛагОткрытия+ЛагСледующихШкол)))*КонверсияОткрытия*MAX(0,ШколНаПродажу-1)</f>
        <v/>
      </c>
      <c r="P14" s="62">
        <f t="array" ref="P14">IF(5-ЛагОткрытия&lt;1,0,INDEX($L13:$BY13,1,5-ЛагОткрытия))*КонверсияОткрытия*MIN(1,ШколНаПродажу)+IF(5-(ЛагОткрытия+ЛагСледующихШкол)&lt;1,0,INDEX($L13:$BY13,1,5-(ЛагОткрытия+ЛагСледующихШкол)))*КонверсияОткрытия*MAX(0,ШколНаПродажу-1)</f>
        <v/>
      </c>
      <c r="Q14" s="62">
        <f t="array" ref="Q14">IF(6-ЛагОткрытия&lt;1,0,INDEX($L13:$BY13,1,6-ЛагОткрытия))*КонверсияОткрытия*MIN(1,ШколНаПродажу)+IF(6-(ЛагОткрытия+ЛагСледующихШкол)&lt;1,0,INDEX($L13:$BY13,1,6-(ЛагОткрытия+ЛагСледующихШкол)))*КонверсияОткрытия*MAX(0,ШколНаПродажу-1)</f>
        <v/>
      </c>
      <c r="R14" s="62">
        <f t="array" ref="R14">IF(7-ЛагОткрытия&lt;1,0,INDEX($L13:$BY13,1,7-ЛагОткрытия))*КонверсияОткрытия*MIN(1,ШколНаПродажу)+IF(7-(ЛагОткрытия+ЛагСледующихШкол)&lt;1,0,INDEX($L13:$BY13,1,7-(ЛагОткрытия+ЛагСледующихШкол)))*КонверсияОткрытия*MAX(0,ШколНаПродажу-1)</f>
        <v/>
      </c>
      <c r="S14" s="62">
        <f t="array" ref="S14">IF(8-ЛагОткрытия&lt;1,0,INDEX($L13:$BY13,1,8-ЛагОткрытия))*КонверсияОткрытия*MIN(1,ШколНаПродажу)+IF(8-(ЛагОткрытия+ЛагСледующихШкол)&lt;1,0,INDEX($L13:$BY13,1,8-(ЛагОткрытия+ЛагСледующихШкол)))*КонверсияОткрытия*MAX(0,ШколНаПродажу-1)</f>
        <v/>
      </c>
      <c r="T14" s="62">
        <f t="array" ref="T14">IF(9-ЛагОткрытия&lt;1,0,INDEX($L13:$BY13,1,9-ЛагОткрытия))*КонверсияОткрытия*MIN(1,ШколНаПродажу)+IF(9-(ЛагОткрытия+ЛагСледующихШкол)&lt;1,0,INDEX($L13:$BY13,1,9-(ЛагОткрытия+ЛагСледующихШкол)))*КонверсияОткрытия*MAX(0,ШколНаПродажу-1)</f>
        <v/>
      </c>
      <c r="U14" s="62">
        <f t="array" ref="U14">IF(10-ЛагОткрытия&lt;1,0,INDEX($L13:$BY13,1,10-ЛагОткрытия))*КонверсияОткрытия*MIN(1,ШколНаПродажу)+IF(10-(ЛагОткрытия+ЛагСледующихШкол)&lt;1,0,INDEX($L13:$BY13,1,10-(ЛагОткрытия+ЛагСледующихШкол)))*КонверсияОткрытия*MAX(0,ШколНаПродажу-1)</f>
        <v/>
      </c>
      <c r="V14" s="62">
        <f t="array" ref="V14">IF(11-ЛагОткрытия&lt;1,0,INDEX($L13:$BY13,1,11-ЛагОткрытия))*КонверсияОткрытия*MIN(1,ШколНаПродажу)+IF(11-(ЛагОткрытия+ЛагСледующихШкол)&lt;1,0,INDEX($L13:$BY13,1,11-(ЛагОткрытия+ЛагСледующихШкол)))*КонверсияОткрытия*MAX(0,ШколНаПродажу-1)</f>
        <v/>
      </c>
      <c r="W14" s="62">
        <f t="array" ref="W14">IF(12-ЛагОткрытия&lt;1,0,INDEX($L13:$BY13,1,12-ЛагОткрытия))*КонверсияОткрытия*MIN(1,ШколНаПродажу)+IF(12-(ЛагОткрытия+ЛагСледующихШкол)&lt;1,0,INDEX($L13:$BY13,1,12-(ЛагОткрытия+ЛагСледующихШкол)))*КонверсияОткрытия*MAX(0,ШколНаПродажу-1)</f>
        <v/>
      </c>
      <c r="X14" s="62">
        <f t="array" ref="X14">IF(13-ЛагОткрытия&lt;1,0,INDEX($L13:$BY13,1,13-ЛагОткрытия))*КонверсияОткрытия*MIN(1,ШколНаПродажу)+IF(13-(ЛагОткрытия+ЛагСледующихШкол)&lt;1,0,INDEX($L13:$BY13,1,13-(ЛагОткрытия+ЛагСледующихШкол)))*КонверсияОткрытия*MAX(0,ШколНаПродажу-1)</f>
        <v/>
      </c>
      <c r="Y14" s="62">
        <f t="array" ref="Y14">IF(14-ЛагОткрытия&lt;1,0,INDEX($L13:$BY13,1,14-ЛагОткрытия))*КонверсияОткрытия*MIN(1,ШколНаПродажу)+IF(14-(ЛагОткрытия+ЛагСледующихШкол)&lt;1,0,INDEX($L13:$BY13,1,14-(ЛагОткрытия+ЛагСледующихШкол)))*КонверсияОткрытия*MAX(0,ШколНаПродажу-1)</f>
        <v/>
      </c>
      <c r="Z14" s="62">
        <f t="array" ref="Z14">IF(15-ЛагОткрытия&lt;1,0,INDEX($L13:$BY13,1,15-ЛагОткрытия))*КонверсияОткрытия*MIN(1,ШколНаПродажу)+IF(15-(ЛагОткрытия+ЛагСледующихШкол)&lt;1,0,INDEX($L13:$BY13,1,15-(ЛагОткрытия+ЛагСледующихШкол)))*КонверсияОткрытия*MAX(0,ШколНаПродажу-1)</f>
        <v/>
      </c>
      <c r="AA14" s="62">
        <f t="array" ref="AA14">IF(16-ЛагОткрытия&lt;1,0,INDEX($L13:$BY13,1,16-ЛагОткрытия))*КонверсияОткрытия*MIN(1,ШколНаПродажу)+IF(16-(ЛагОткрытия+ЛагСледующихШкол)&lt;1,0,INDEX($L13:$BY13,1,16-(ЛагОткрытия+ЛагСледующихШкол)))*КонверсияОткрытия*MAX(0,ШколНаПродажу-1)</f>
        <v/>
      </c>
      <c r="AB14" s="62">
        <f t="array" ref="AB14">IF(17-ЛагОткрытия&lt;1,0,INDEX($L13:$BY13,1,17-ЛагОткрытия))*КонверсияОткрытия*MIN(1,ШколНаПродажу)+IF(17-(ЛагОткрытия+ЛагСледующихШкол)&lt;1,0,INDEX($L13:$BY13,1,17-(ЛагОткрытия+ЛагСледующихШкол)))*КонверсияОткрытия*MAX(0,ШколНаПродажу-1)</f>
        <v/>
      </c>
      <c r="AC14" s="62">
        <f t="array" ref="AC14">IF(18-ЛагОткрытия&lt;1,0,INDEX($L13:$BY13,1,18-ЛагОткрытия))*КонверсияОткрытия*MIN(1,ШколНаПродажу)+IF(18-(ЛагОткрытия+ЛагСледующихШкол)&lt;1,0,INDEX($L13:$BY13,1,18-(ЛагОткрытия+ЛагСледующихШкол)))*КонверсияОткрытия*MAX(0,ШколНаПродажу-1)</f>
        <v/>
      </c>
      <c r="AD14" s="62">
        <f t="array" ref="AD14">IF(19-ЛагОткрытия&lt;1,0,INDEX($L13:$BY13,1,19-ЛагОткрытия))*КонверсияОткрытия*MIN(1,ШколНаПродажу)+IF(19-(ЛагОткрытия+ЛагСледующихШкол)&lt;1,0,INDEX($L13:$BY13,1,19-(ЛагОткрытия+ЛагСледующихШкол)))*КонверсияОткрытия*MAX(0,ШколНаПродажу-1)</f>
        <v/>
      </c>
      <c r="AE14" s="62">
        <f t="array" ref="AE14">IF(20-ЛагОткрытия&lt;1,0,INDEX($L13:$BY13,1,20-ЛагОткрытия))*КонверсияОткрытия*MIN(1,ШколНаПродажу)+IF(20-(ЛагОткрытия+ЛагСледующихШкол)&lt;1,0,INDEX($L13:$BY13,1,20-(ЛагОткрытия+ЛагСледующихШкол)))*КонверсияОткрытия*MAX(0,ШколНаПродажу-1)</f>
        <v/>
      </c>
      <c r="AF14" s="62">
        <f t="array" ref="AF14">IF(21-ЛагОткрытия&lt;1,0,INDEX($L13:$BY13,1,21-ЛагОткрытия))*КонверсияОткрытия*MIN(1,ШколНаПродажу)+IF(21-(ЛагОткрытия+ЛагСледующихШкол)&lt;1,0,INDEX($L13:$BY13,1,21-(ЛагОткрытия+ЛагСледующихШкол)))*КонверсияОткрытия*MAX(0,ШколНаПродажу-1)</f>
        <v/>
      </c>
      <c r="AG14" s="62">
        <f t="array" ref="AG14">IF(22-ЛагОткрытия&lt;1,0,INDEX($L13:$BY13,1,22-ЛагОткрытия))*КонверсияОткрытия*MIN(1,ШколНаПродажу)+IF(22-(ЛагОткрытия+ЛагСледующихШкол)&lt;1,0,INDEX($L13:$BY13,1,22-(ЛагОткрытия+ЛагСледующихШкол)))*КонверсияОткрытия*MAX(0,ШколНаПродажу-1)</f>
        <v/>
      </c>
      <c r="AH14" s="62">
        <f t="array" ref="AH14">IF(23-ЛагОткрытия&lt;1,0,INDEX($L13:$BY13,1,23-ЛагОткрытия))*КонверсияОткрытия*MIN(1,ШколНаПродажу)+IF(23-(ЛагОткрытия+ЛагСледующихШкол)&lt;1,0,INDEX($L13:$BY13,1,23-(ЛагОткрытия+ЛагСледующихШкол)))*КонверсияОткрытия*MAX(0,ШколНаПродажу-1)</f>
        <v/>
      </c>
      <c r="AI14" s="62">
        <f t="array" ref="AI14">IF(24-ЛагОткрытия&lt;1,0,INDEX($L13:$BY13,1,24-ЛагОткрытия))*КонверсияОткрытия*MIN(1,ШколНаПродажу)+IF(24-(ЛагОткрытия+ЛагСледующихШкол)&lt;1,0,INDEX($L13:$BY13,1,24-(ЛагОткрытия+ЛагСледующихШкол)))*КонверсияОткрытия*MAX(0,ШколНаПродажу-1)</f>
        <v/>
      </c>
      <c r="AJ14" s="62">
        <f t="array" ref="AJ14">IF(25-ЛагОткрытия&lt;1,0,INDEX($L13:$BY13,1,25-ЛагОткрытия))*КонверсияОткрытия*MIN(1,ШколНаПродажу)+IF(25-(ЛагОткрытия+ЛагСледующихШкол)&lt;1,0,INDEX($L13:$BY13,1,25-(ЛагОткрытия+ЛагСледующихШкол)))*КонверсияОткрытия*MAX(0,ШколНаПродажу-1)</f>
        <v/>
      </c>
      <c r="AK14" s="62">
        <f t="array" ref="AK14">IF(26-ЛагОткрытия&lt;1,0,INDEX($L13:$BY13,1,26-ЛагОткрытия))*КонверсияОткрытия*MIN(1,ШколНаПродажу)+IF(26-(ЛагОткрытия+ЛагСледующихШкол)&lt;1,0,INDEX($L13:$BY13,1,26-(ЛагОткрытия+ЛагСледующихШкол)))*КонверсияОткрытия*MAX(0,ШколНаПродажу-1)</f>
        <v/>
      </c>
      <c r="AL14" s="62">
        <f t="array" ref="AL14">IF(27-ЛагОткрытия&lt;1,0,INDEX($L13:$BY13,1,27-ЛагОткрытия))*КонверсияОткрытия*MIN(1,ШколНаПродажу)+IF(27-(ЛагОткрытия+ЛагСледующихШкол)&lt;1,0,INDEX($L13:$BY13,1,27-(ЛагОткрытия+ЛагСледующихШкол)))*КонверсияОткрытия*MAX(0,ШколНаПродажу-1)</f>
        <v/>
      </c>
      <c r="AM14" s="62">
        <f t="array" ref="AM14">IF(28-ЛагОткрытия&lt;1,0,INDEX($L13:$BY13,1,28-ЛагОткрытия))*КонверсияОткрытия*MIN(1,ШколНаПродажу)+IF(28-(ЛагОткрытия+ЛагСледующихШкол)&lt;1,0,INDEX($L13:$BY13,1,28-(ЛагОткрытия+ЛагСледующихШкол)))*КонверсияОткрытия*MAX(0,ШколНаПродажу-1)</f>
        <v/>
      </c>
      <c r="AN14" s="62">
        <f t="array" ref="AN14">IF(29-ЛагОткрытия&lt;1,0,INDEX($L13:$BY13,1,29-ЛагОткрытия))*КонверсияОткрытия*MIN(1,ШколНаПродажу)+IF(29-(ЛагОткрытия+ЛагСледующихШкол)&lt;1,0,INDEX($L13:$BY13,1,29-(ЛагОткрытия+ЛагСледующихШкол)))*КонверсияОткрытия*MAX(0,ШколНаПродажу-1)</f>
        <v/>
      </c>
      <c r="AO14" s="62">
        <f t="array" ref="AO14">IF(30-ЛагОткрытия&lt;1,0,INDEX($L13:$BY13,1,30-ЛагОткрытия))*КонверсияОткрытия*MIN(1,ШколНаПродажу)+IF(30-(ЛагОткрытия+ЛагСледующихШкол)&lt;1,0,INDEX($L13:$BY13,1,30-(ЛагОткрытия+ЛагСледующихШкол)))*КонверсияОткрытия*MAX(0,ШколНаПродажу-1)</f>
        <v/>
      </c>
      <c r="AP14" s="62">
        <f t="array" ref="AP14">IF(31-ЛагОткрытия&lt;1,0,INDEX($L13:$BY13,1,31-ЛагОткрытия))*КонверсияОткрытия*MIN(1,ШколНаПродажу)+IF(31-(ЛагОткрытия+ЛагСледующихШкол)&lt;1,0,INDEX($L13:$BY13,1,31-(ЛагОткрытия+ЛагСледующихШкол)))*КонверсияОткрытия*MAX(0,ШколНаПродажу-1)</f>
        <v/>
      </c>
      <c r="AQ14" s="62">
        <f t="array" ref="AQ14">IF(32-ЛагОткрытия&lt;1,0,INDEX($L13:$BY13,1,32-ЛагОткрытия))*КонверсияОткрытия*MIN(1,ШколНаПродажу)+IF(32-(ЛагОткрытия+ЛагСледующихШкол)&lt;1,0,INDEX($L13:$BY13,1,32-(ЛагОткрытия+ЛагСледующихШкол)))*КонверсияОткрытия*MAX(0,ШколНаПродажу-1)</f>
        <v/>
      </c>
      <c r="AR14" s="62">
        <f t="array" ref="AR14">IF(33-ЛагОткрытия&lt;1,0,INDEX($L13:$BY13,1,33-ЛагОткрытия))*КонверсияОткрытия*MIN(1,ШколНаПродажу)+IF(33-(ЛагОткрытия+ЛагСледующихШкол)&lt;1,0,INDEX($L13:$BY13,1,33-(ЛагОткрытия+ЛагСледующихШкол)))*КонверсияОткрытия*MAX(0,ШколНаПродажу-1)</f>
        <v/>
      </c>
      <c r="AS14" s="62">
        <f t="array" ref="AS14">IF(34-ЛагОткрытия&lt;1,0,INDEX($L13:$BY13,1,34-ЛагОткрытия))*КонверсияОткрытия*MIN(1,ШколНаПродажу)+IF(34-(ЛагОткрытия+ЛагСледующихШкол)&lt;1,0,INDEX($L13:$BY13,1,34-(ЛагОткрытия+ЛагСледующихШкол)))*КонверсияОткрытия*MAX(0,ШколНаПродажу-1)</f>
        <v/>
      </c>
      <c r="AT14" s="62">
        <f t="array" ref="AT14">IF(35-ЛагОткрытия&lt;1,0,INDEX($L13:$BY13,1,35-ЛагОткрытия))*КонверсияОткрытия*MIN(1,ШколНаПродажу)+IF(35-(ЛагОткрытия+ЛагСледующихШкол)&lt;1,0,INDEX($L13:$BY13,1,35-(ЛагОткрытия+ЛагСледующихШкол)))*КонверсияОткрытия*MAX(0,ШколНаПродажу-1)</f>
        <v/>
      </c>
      <c r="AU14" s="62">
        <f t="array" ref="AU14">IF(36-ЛагОткрытия&lt;1,0,INDEX($L13:$BY13,1,36-ЛагОткрытия))*КонверсияОткрытия*MIN(1,ШколНаПродажу)+IF(36-(ЛагОткрытия+ЛагСледующихШкол)&lt;1,0,INDEX($L13:$BY13,1,36-(ЛагОткрытия+ЛагСледующихШкол)))*КонверсияОткрытия*MAX(0,ШколНаПродажу-1)</f>
        <v/>
      </c>
      <c r="AV14" s="62">
        <f t="array" ref="AV14">IF(37-ЛагОткрытия&lt;1,0,INDEX($L13:$BY13,1,37-ЛагОткрытия))*КонверсияОткрытия*MIN(1,ШколНаПродажу)+IF(37-(ЛагОткрытия+ЛагСледующихШкол)&lt;1,0,INDEX($L13:$BY13,1,37-(ЛагОткрытия+ЛагСледующихШкол)))*КонверсияОткрытия*MAX(0,ШколНаПродажу-1)</f>
        <v/>
      </c>
      <c r="AW14" s="62">
        <f t="array" ref="AW14">IF(38-ЛагОткрытия&lt;1,0,INDEX($L13:$BY13,1,38-ЛагОткрытия))*КонверсияОткрытия*MIN(1,ШколНаПродажу)+IF(38-(ЛагОткрытия+ЛагСледующихШкол)&lt;1,0,INDEX($L13:$BY13,1,38-(ЛагОткрытия+ЛагСледующихШкол)))*КонверсияОткрытия*MAX(0,ШколНаПродажу-1)</f>
        <v/>
      </c>
      <c r="AX14" s="62">
        <f t="array" ref="AX14">IF(39-ЛагОткрытия&lt;1,0,INDEX($L13:$BY13,1,39-ЛагОткрытия))*КонверсияОткрытия*MIN(1,ШколНаПродажу)+IF(39-(ЛагОткрытия+ЛагСледующихШкол)&lt;1,0,INDEX($L13:$BY13,1,39-(ЛагОткрытия+ЛагСледующихШкол)))*КонверсияОткрытия*MAX(0,ШколНаПродажу-1)</f>
        <v/>
      </c>
      <c r="AY14" s="62">
        <f t="array" ref="AY14">IF(40-ЛагОткрытия&lt;1,0,INDEX($L13:$BY13,1,40-ЛагОткрытия))*КонверсияОткрытия*MIN(1,ШколНаПродажу)+IF(40-(ЛагОткрытия+ЛагСледующихШкол)&lt;1,0,INDEX($L13:$BY13,1,40-(ЛагОткрытия+ЛагСледующихШкол)))*КонверсияОткрытия*MAX(0,ШколНаПродажу-1)</f>
        <v/>
      </c>
      <c r="AZ14" s="62">
        <f t="array" ref="AZ14">IF(41-ЛагОткрытия&lt;1,0,INDEX($L13:$BY13,1,41-ЛагОткрытия))*КонверсияОткрытия*MIN(1,ШколНаПродажу)+IF(41-(ЛагОткрытия+ЛагСледующихШкол)&lt;1,0,INDEX($L13:$BY13,1,41-(ЛагОткрытия+ЛагСледующихШкол)))*КонверсияОткрытия*MAX(0,ШколНаПродажу-1)</f>
        <v/>
      </c>
      <c r="BA14" s="62">
        <f t="array" ref="BA14">IF(42-ЛагОткрытия&lt;1,0,INDEX($L13:$BY13,1,42-ЛагОткрытия))*КонверсияОткрытия*MIN(1,ШколНаПродажу)+IF(42-(ЛагОткрытия+ЛагСледующихШкол)&lt;1,0,INDEX($L13:$BY13,1,42-(ЛагОткрытия+ЛагСледующихШкол)))*КонверсияОткрытия*MAX(0,ШколНаПродажу-1)</f>
        <v/>
      </c>
      <c r="BB14" s="62">
        <f t="array" ref="BB14">IF(43-ЛагОткрытия&lt;1,0,INDEX($L13:$BY13,1,43-ЛагОткрытия))*КонверсияОткрытия*MIN(1,ШколНаПродажу)+IF(43-(ЛагОткрытия+ЛагСледующихШкол)&lt;1,0,INDEX($L13:$BY13,1,43-(ЛагОткрытия+ЛагСледующихШкол)))*КонверсияОткрытия*MAX(0,ШколНаПродажу-1)</f>
        <v/>
      </c>
      <c r="BC14" s="62">
        <f t="array" ref="BC14">IF(44-ЛагОткрытия&lt;1,0,INDEX($L13:$BY13,1,44-ЛагОткрытия))*КонверсияОткрытия*MIN(1,ШколНаПродажу)+IF(44-(ЛагОткрытия+ЛагСледующихШкол)&lt;1,0,INDEX($L13:$BY13,1,44-(ЛагОткрытия+ЛагСледующихШкол)))*КонверсияОткрытия*MAX(0,ШколНаПродажу-1)</f>
        <v/>
      </c>
      <c r="BD14" s="62">
        <f t="array" ref="BD14">IF(45-ЛагОткрытия&lt;1,0,INDEX($L13:$BY13,1,45-ЛагОткрытия))*КонверсияОткрытия*MIN(1,ШколНаПродажу)+IF(45-(ЛагОткрытия+ЛагСледующихШкол)&lt;1,0,INDEX($L13:$BY13,1,45-(ЛагОткрытия+ЛагСледующихШкол)))*КонверсияОткрытия*MAX(0,ШколНаПродажу-1)</f>
        <v/>
      </c>
      <c r="BE14" s="62">
        <f t="array" ref="BE14">IF(46-ЛагОткрытия&lt;1,0,INDEX($L13:$BY13,1,46-ЛагОткрытия))*КонверсияОткрытия*MIN(1,ШколНаПродажу)+IF(46-(ЛагОткрытия+ЛагСледующихШкол)&lt;1,0,INDEX($L13:$BY13,1,46-(ЛагОткрытия+ЛагСледующихШкол)))*КонверсияОткрытия*MAX(0,ШколНаПродажу-1)</f>
        <v/>
      </c>
      <c r="BF14" s="62">
        <f t="array" ref="BF14">IF(47-ЛагОткрытия&lt;1,0,INDEX($L13:$BY13,1,47-ЛагОткрытия))*КонверсияОткрытия*MIN(1,ШколНаПродажу)+IF(47-(ЛагОткрытия+ЛагСледующихШкол)&lt;1,0,INDEX($L13:$BY13,1,47-(ЛагОткрытия+ЛагСледующихШкол)))*КонверсияОткрытия*MAX(0,ШколНаПродажу-1)</f>
        <v/>
      </c>
      <c r="BG14" s="62">
        <f t="array" ref="BG14">IF(48-ЛагОткрытия&lt;1,0,INDEX($L13:$BY13,1,48-ЛагОткрытия))*КонверсияОткрытия*MIN(1,ШколНаПродажу)+IF(48-(ЛагОткрытия+ЛагСледующихШкол)&lt;1,0,INDEX($L13:$BY13,1,48-(ЛагОткрытия+ЛагСледующихШкол)))*КонверсияОткрытия*MAX(0,ШколНаПродажу-1)</f>
        <v/>
      </c>
      <c r="BH14" s="62">
        <f t="array" ref="BH14">IF(49-ЛагОткрытия&lt;1,0,INDEX($L13:$BY13,1,49-ЛагОткрытия))*КонверсияОткрытия*MIN(1,ШколНаПродажу)+IF(49-(ЛагОткрытия+ЛагСледующихШкол)&lt;1,0,INDEX($L13:$BY13,1,49-(ЛагОткрытия+ЛагСледующихШкол)))*КонверсияОткрытия*MAX(0,ШколНаПродажу-1)</f>
        <v/>
      </c>
      <c r="BI14" s="62">
        <f t="array" ref="BI14">IF(50-ЛагОткрытия&lt;1,0,INDEX($L13:$BY13,1,50-ЛагОткрытия))*КонверсияОткрытия*MIN(1,ШколНаПродажу)+IF(50-(ЛагОткрытия+ЛагСледующихШкол)&lt;1,0,INDEX($L13:$BY13,1,50-(ЛагОткрытия+ЛагСледующихШкол)))*КонверсияОткрытия*MAX(0,ШколНаПродажу-1)</f>
        <v/>
      </c>
      <c r="BJ14" s="62">
        <f t="array" ref="BJ14">IF(51-ЛагОткрытия&lt;1,0,INDEX($L13:$BY13,1,51-ЛагОткрытия))*КонверсияОткрытия*MIN(1,ШколНаПродажу)+IF(51-(ЛагОткрытия+ЛагСледующихШкол)&lt;1,0,INDEX($L13:$BY13,1,51-(ЛагОткрытия+ЛагСледующихШкол)))*КонверсияОткрытия*MAX(0,ШколНаПродажу-1)</f>
        <v/>
      </c>
      <c r="BK14" s="62">
        <f t="array" ref="BK14">IF(52-ЛагОткрытия&lt;1,0,INDEX($L13:$BY13,1,52-ЛагОткрытия))*КонверсияОткрытия*MIN(1,ШколНаПродажу)+IF(52-(ЛагОткрытия+ЛагСледующихШкол)&lt;1,0,INDEX($L13:$BY13,1,52-(ЛагОткрытия+ЛагСледующихШкол)))*КонверсияОткрытия*MAX(0,ШколНаПродажу-1)</f>
        <v/>
      </c>
      <c r="BL14" s="62">
        <f t="array" ref="BL14">IF(53-ЛагОткрытия&lt;1,0,INDEX($L13:$BY13,1,53-ЛагОткрытия))*КонверсияОткрытия*MIN(1,ШколНаПродажу)+IF(53-(ЛагОткрытия+ЛагСледующихШкол)&lt;1,0,INDEX($L13:$BY13,1,53-(ЛагОткрытия+ЛагСледующихШкол)))*КонверсияОткрытия*MAX(0,ШколНаПродажу-1)</f>
        <v/>
      </c>
      <c r="BM14" s="62">
        <f t="array" ref="BM14">IF(54-ЛагОткрытия&lt;1,0,INDEX($L13:$BY13,1,54-ЛагОткрытия))*КонверсияОткрытия*MIN(1,ШколНаПродажу)+IF(54-(ЛагОткрытия+ЛагСледующихШкол)&lt;1,0,INDEX($L13:$BY13,1,54-(ЛагОткрытия+ЛагСледующихШкол)))*КонверсияОткрытия*MAX(0,ШколНаПродажу-1)</f>
        <v/>
      </c>
      <c r="BN14" s="62">
        <f t="array" ref="BN14">IF(55-ЛагОткрытия&lt;1,0,INDEX($L13:$BY13,1,55-ЛагОткрытия))*КонверсияОткрытия*MIN(1,ШколНаПродажу)+IF(55-(ЛагОткрытия+ЛагСледующихШкол)&lt;1,0,INDEX($L13:$BY13,1,55-(ЛагОткрытия+ЛагСледующихШкол)))*КонверсияОткрытия*MAX(0,ШколНаПродажу-1)</f>
        <v/>
      </c>
      <c r="BO14" s="62">
        <f t="array" ref="BO14">IF(56-ЛагОткрытия&lt;1,0,INDEX($L13:$BY13,1,56-ЛагОткрытия))*КонверсияОткрытия*MIN(1,ШколНаПродажу)+IF(56-(ЛагОткрытия+ЛагСледующихШкол)&lt;1,0,INDEX($L13:$BY13,1,56-(ЛагОткрытия+ЛагСледующихШкол)))*КонверсияОткрытия*MAX(0,ШколНаПродажу-1)</f>
        <v/>
      </c>
      <c r="BP14" s="62">
        <f t="array" ref="BP14">IF(57-ЛагОткрытия&lt;1,0,INDEX($L13:$BY13,1,57-ЛагОткрытия))*КонверсияОткрытия*MIN(1,ШколНаПродажу)+IF(57-(ЛагОткрытия+ЛагСледующихШкол)&lt;1,0,INDEX($L13:$BY13,1,57-(ЛагОткрытия+ЛагСледующихШкол)))*КонверсияОткрытия*MAX(0,ШколНаПродажу-1)</f>
        <v/>
      </c>
      <c r="BQ14" s="62">
        <f t="array" ref="BQ14">IF(58-ЛагОткрытия&lt;1,0,INDEX($L13:$BY13,1,58-ЛагОткрытия))*КонверсияОткрытия*MIN(1,ШколНаПродажу)+IF(58-(ЛагОткрытия+ЛагСледующихШкол)&lt;1,0,INDEX($L13:$BY13,1,58-(ЛагОткрытия+ЛагСледующихШкол)))*КонверсияОткрытия*MAX(0,ШколНаПродажу-1)</f>
        <v/>
      </c>
      <c r="BR14" s="62">
        <f t="array" ref="BR14">IF(59-ЛагОткрытия&lt;1,0,INDEX($L13:$BY13,1,59-ЛагОткрытия))*КонверсияОткрытия*MIN(1,ШколНаПродажу)+IF(59-(ЛагОткрытия+ЛагСледующихШкол)&lt;1,0,INDEX($L13:$BY13,1,59-(ЛагОткрытия+ЛагСледующихШкол)))*КонверсияОткрытия*MAX(0,ШколНаПродажу-1)</f>
        <v/>
      </c>
      <c r="BS14" s="62">
        <f t="array" ref="BS14">IF(60-ЛагОткрытия&lt;1,0,INDEX($L13:$BY13,1,60-ЛагОткрытия))*КонверсияОткрытия*MIN(1,ШколНаПродажу)+IF(60-(ЛагОткрытия+ЛагСледующихШкол)&lt;1,0,INDEX($L13:$BY13,1,60-(ЛагОткрытия+ЛагСледующихШкол)))*КонверсияОткрытия*MAX(0,ШколНаПродажу-1)</f>
        <v/>
      </c>
      <c r="BT14" s="62">
        <f t="array" ref="BT14">IF(61-ЛагОткрытия&lt;1,0,INDEX($L13:$BY13,1,61-ЛагОткрытия))*КонверсияОткрытия*MIN(1,ШколНаПродажу)+IF(61-(ЛагОткрытия+ЛагСледующихШкол)&lt;1,0,INDEX($L13:$BY13,1,61-(ЛагОткрытия+ЛагСледующихШкол)))*КонверсияОткрытия*MAX(0,ШколНаПродажу-1)</f>
        <v/>
      </c>
      <c r="BU14" s="62">
        <f t="array" ref="BU14">IF(62-ЛагОткрытия&lt;1,0,INDEX($L13:$BY13,1,62-ЛагОткрытия))*КонверсияОткрытия*MIN(1,ШколНаПродажу)+IF(62-(ЛагОткрытия+ЛагСледующихШкол)&lt;1,0,INDEX($L13:$BY13,1,62-(ЛагОткрытия+ЛагСледующихШкол)))*КонверсияОткрытия*MAX(0,ШколНаПродажу-1)</f>
        <v/>
      </c>
      <c r="BV14" s="62">
        <f t="array" ref="BV14">IF(63-ЛагОткрытия&lt;1,0,INDEX($L13:$BY13,1,63-ЛагОткрытия))*КонверсияОткрытия*MIN(1,ШколНаПродажу)+IF(63-(ЛагОткрытия+ЛагСледующихШкол)&lt;1,0,INDEX($L13:$BY13,1,63-(ЛагОткрытия+ЛагСледующихШкол)))*КонверсияОткрытия*MAX(0,ШколНаПродажу-1)</f>
        <v/>
      </c>
      <c r="BW14" s="62">
        <f t="array" ref="BW14">IF(64-ЛагОткрытия&lt;1,0,INDEX($L13:$BY13,1,64-ЛагОткрытия))*КонверсияОткрытия*MIN(1,ШколНаПродажу)+IF(64-(ЛагОткрытия+ЛагСледующихШкол)&lt;1,0,INDEX($L13:$BY13,1,64-(ЛагОткрытия+ЛагСледующихШкол)))*КонверсияОткрытия*MAX(0,ШколНаПродажу-1)</f>
        <v/>
      </c>
      <c r="BX14" s="62">
        <f t="array" ref="BX14">IF(65-ЛагОткрытия&lt;1,0,INDEX($L13:$BY13,1,65-ЛагОткрытия))*КонверсияОткрытия*MIN(1,ШколНаПродажу)+IF(65-(ЛагОткрытия+ЛагСледующихШкол)&lt;1,0,INDEX($L13:$BY13,1,65-(ЛагОткрытия+ЛагСледующихШкол)))*КонверсияОткрытия*MAX(0,ШколНаПродажу-1)</f>
        <v/>
      </c>
      <c r="BY14" s="62">
        <f t="array" ref="BY14">IF(66-ЛагОткрытия&lt;1,0,INDEX($L13:$BY13,1,66-ЛагОткрытия))*КонверсияОткрытия*MIN(1,ШколНаПродажу)+IF(66-(ЛагОткрытия+ЛагСледующихШкол)&lt;1,0,INDEX($L13:$BY13,1,66-(ЛагОткрытия+ЛагСледующихШкол)))*КонверсияОткрытия*MAX(0,ШколНаПродажу-1)</f>
        <v/>
      </c>
    </row>
    <row r="15">
      <c r="B15" s="56" t="inlineStr">
        <is>
          <t>Новые юрлица (партнёры)</t>
        </is>
      </c>
      <c r="C15" s="56" t="inlineStr">
        <is>
          <t>шт.</t>
        </is>
      </c>
      <c r="D15" s="57" t="inlineStr">
        <is>
          <t>Партнёр появляется в месяц покупки франшизы — без лага: лаг нужен школе, а не договору</t>
        </is>
      </c>
      <c r="E15" s="59">
        <f>SUM(L15:W15)</f>
        <v/>
      </c>
      <c r="F15" s="59">
        <f>SUM(X15:AI15)</f>
        <v/>
      </c>
      <c r="G15" s="59">
        <f>SUM(AJ15:AU15)</f>
        <v/>
      </c>
      <c r="H15" s="59">
        <f>SUM(AV15:BG15)</f>
        <v/>
      </c>
      <c r="I15" s="59">
        <f>SUM(BH15:BS15)</f>
        <v/>
      </c>
      <c r="J15" s="61">
        <f>SUM(L15:BS15)</f>
        <v/>
      </c>
      <c r="L15" s="62">
        <f>L13*ЮрлицНаПродажу</f>
        <v/>
      </c>
      <c r="M15" s="62">
        <f>M13*ЮрлицНаПродажу</f>
        <v/>
      </c>
      <c r="N15" s="62">
        <f>N13*ЮрлицНаПродажу</f>
        <v/>
      </c>
      <c r="O15" s="62">
        <f>O13*ЮрлицНаПродажу</f>
        <v/>
      </c>
      <c r="P15" s="62">
        <f>P13*ЮрлицНаПродажу</f>
        <v/>
      </c>
      <c r="Q15" s="62">
        <f>Q13*ЮрлицНаПродажу</f>
        <v/>
      </c>
      <c r="R15" s="62">
        <f>R13*ЮрлицНаПродажу</f>
        <v/>
      </c>
      <c r="S15" s="62">
        <f>S13*ЮрлицНаПродажу</f>
        <v/>
      </c>
      <c r="T15" s="62">
        <f>T13*ЮрлицНаПродажу</f>
        <v/>
      </c>
      <c r="U15" s="62">
        <f>U13*ЮрлицНаПродажу</f>
        <v/>
      </c>
      <c r="V15" s="62">
        <f>V13*ЮрлицНаПродажу</f>
        <v/>
      </c>
      <c r="W15" s="62">
        <f>W13*ЮрлицНаПродажу</f>
        <v/>
      </c>
      <c r="X15" s="62">
        <f>X13*ЮрлицНаПродажу</f>
        <v/>
      </c>
      <c r="Y15" s="62">
        <f>Y13*ЮрлицНаПродажу</f>
        <v/>
      </c>
      <c r="Z15" s="62">
        <f>Z13*ЮрлицНаПродажу</f>
        <v/>
      </c>
      <c r="AA15" s="62">
        <f>AA13*ЮрлицНаПродажу</f>
        <v/>
      </c>
      <c r="AB15" s="62">
        <f>AB13*ЮрлицНаПродажу</f>
        <v/>
      </c>
      <c r="AC15" s="62">
        <f>AC13*ЮрлицНаПродажу</f>
        <v/>
      </c>
      <c r="AD15" s="62">
        <f>AD13*ЮрлицНаПродажу</f>
        <v/>
      </c>
      <c r="AE15" s="62">
        <f>AE13*ЮрлицНаПродажу</f>
        <v/>
      </c>
      <c r="AF15" s="62">
        <f>AF13*ЮрлицНаПродажу</f>
        <v/>
      </c>
      <c r="AG15" s="62">
        <f>AG13*ЮрлицНаПродажу</f>
        <v/>
      </c>
      <c r="AH15" s="62">
        <f>AH13*ЮрлицНаПродажу</f>
        <v/>
      </c>
      <c r="AI15" s="62">
        <f>AI13*ЮрлицНаПродажу</f>
        <v/>
      </c>
      <c r="AJ15" s="62">
        <f>AJ13*ЮрлицНаПродажу</f>
        <v/>
      </c>
      <c r="AK15" s="62">
        <f>AK13*ЮрлицНаПродажу</f>
        <v/>
      </c>
      <c r="AL15" s="62">
        <f>AL13*ЮрлицНаПродажу</f>
        <v/>
      </c>
      <c r="AM15" s="62">
        <f>AM13*ЮрлицНаПродажу</f>
        <v/>
      </c>
      <c r="AN15" s="62">
        <f>AN13*ЮрлицНаПродажу</f>
        <v/>
      </c>
      <c r="AO15" s="62">
        <f>AO13*ЮрлицНаПродажу</f>
        <v/>
      </c>
      <c r="AP15" s="62">
        <f>AP13*ЮрлицНаПродажу</f>
        <v/>
      </c>
      <c r="AQ15" s="62">
        <f>AQ13*ЮрлицНаПродажу</f>
        <v/>
      </c>
      <c r="AR15" s="62">
        <f>AR13*ЮрлицНаПродажу</f>
        <v/>
      </c>
      <c r="AS15" s="62">
        <f>AS13*ЮрлицНаПродажу</f>
        <v/>
      </c>
      <c r="AT15" s="62">
        <f>AT13*ЮрлицНаПродажу</f>
        <v/>
      </c>
      <c r="AU15" s="62">
        <f>AU13*ЮрлицНаПродажу</f>
        <v/>
      </c>
      <c r="AV15" s="62">
        <f>AV13*ЮрлицНаПродажу</f>
        <v/>
      </c>
      <c r="AW15" s="62">
        <f>AW13*ЮрлицНаПродажу</f>
        <v/>
      </c>
      <c r="AX15" s="62">
        <f>AX13*ЮрлицНаПродажу</f>
        <v/>
      </c>
      <c r="AY15" s="62">
        <f>AY13*ЮрлицНаПродажу</f>
        <v/>
      </c>
      <c r="AZ15" s="62">
        <f>AZ13*ЮрлицНаПродажу</f>
        <v/>
      </c>
      <c r="BA15" s="62">
        <f>BA13*ЮрлицНаПродажу</f>
        <v/>
      </c>
      <c r="BB15" s="62">
        <f>BB13*ЮрлицНаПродажу</f>
        <v/>
      </c>
      <c r="BC15" s="62">
        <f>BC13*ЮрлицНаПродажу</f>
        <v/>
      </c>
      <c r="BD15" s="62">
        <f>BD13*ЮрлицНаПродажу</f>
        <v/>
      </c>
      <c r="BE15" s="62">
        <f>BE13*ЮрлицНаПродажу</f>
        <v/>
      </c>
      <c r="BF15" s="62">
        <f>BF13*ЮрлицНаПродажу</f>
        <v/>
      </c>
      <c r="BG15" s="62">
        <f>BG13*ЮрлицНаПродажу</f>
        <v/>
      </c>
      <c r="BH15" s="62">
        <f>BH13*ЮрлицНаПродажу</f>
        <v/>
      </c>
      <c r="BI15" s="62">
        <f>BI13*ЮрлицНаПродажу</f>
        <v/>
      </c>
      <c r="BJ15" s="62">
        <f>BJ13*ЮрлицНаПродажу</f>
        <v/>
      </c>
      <c r="BK15" s="62">
        <f>BK13*ЮрлицНаПродажу</f>
        <v/>
      </c>
      <c r="BL15" s="62">
        <f>BL13*ЮрлицНаПродажу</f>
        <v/>
      </c>
      <c r="BM15" s="62">
        <f>BM13*ЮрлицНаПродажу</f>
        <v/>
      </c>
      <c r="BN15" s="62">
        <f>BN13*ЮрлицНаПродажу</f>
        <v/>
      </c>
      <c r="BO15" s="62">
        <f>BO13*ЮрлицНаПродажу</f>
        <v/>
      </c>
      <c r="BP15" s="62">
        <f>BP13*ЮрлицНаПродажу</f>
        <v/>
      </c>
      <c r="BQ15" s="62">
        <f>BQ13*ЮрлицНаПродажу</f>
        <v/>
      </c>
      <c r="BR15" s="62">
        <f>BR13*ЮрлицНаПродажу</f>
        <v/>
      </c>
      <c r="BS15" s="62">
        <f>BS13*ЮрлицНаПродажу</f>
        <v/>
      </c>
      <c r="BT15" s="62">
        <f>BT13*ЮрлицНаПродажу</f>
        <v/>
      </c>
      <c r="BU15" s="62">
        <f>BU13*ЮрлицНаПродажу</f>
        <v/>
      </c>
      <c r="BV15" s="62">
        <f>BV13*ЮрлицНаПродажу</f>
        <v/>
      </c>
      <c r="BW15" s="62">
        <f>BW13*ЮрлицНаПродажу</f>
        <v/>
      </c>
      <c r="BX15" s="62">
        <f>BX13*ЮрлицНаПродажу</f>
        <v/>
      </c>
      <c r="BY15" s="62">
        <f>BY13*ЮрлицНаПродажу</f>
        <v/>
      </c>
    </row>
    <row r="17">
      <c r="B17" s="54" t="inlineStr">
        <is>
          <t>Действующая сеть (та, что была на старте)</t>
        </is>
      </c>
      <c r="C17" s="55" t="n"/>
      <c r="D17" s="55" t="n"/>
      <c r="E17" s="55" t="n"/>
      <c r="F17" s="55" t="n"/>
      <c r="G17" s="55" t="n"/>
      <c r="H17" s="55" t="n"/>
      <c r="I17" s="55" t="n"/>
      <c r="J17" s="55" t="n"/>
      <c r="K17" s="55" t="n"/>
      <c r="L17" s="55" t="n"/>
      <c r="M17" s="55" t="n"/>
      <c r="N17" s="55" t="n"/>
      <c r="O17" s="55" t="n"/>
      <c r="P17" s="55" t="n"/>
      <c r="Q17" s="55" t="n"/>
      <c r="R17" s="55" t="n"/>
      <c r="S17" s="55" t="n"/>
      <c r="T17" s="55" t="n"/>
      <c r="U17" s="55" t="n"/>
      <c r="V17" s="55" t="n"/>
      <c r="W17" s="55" t="n"/>
      <c r="X17" s="55" t="n"/>
      <c r="Y17" s="55" t="n"/>
      <c r="Z17" s="55" t="n"/>
      <c r="AA17" s="55" t="n"/>
      <c r="AB17" s="55" t="n"/>
      <c r="AC17" s="55" t="n"/>
      <c r="AD17" s="55" t="n"/>
      <c r="AE17" s="55" t="n"/>
      <c r="AF17" s="55" t="n"/>
      <c r="AG17" s="55" t="n"/>
      <c r="AH17" s="55" t="n"/>
      <c r="AI17" s="55" t="n"/>
      <c r="AJ17" s="55" t="n"/>
      <c r="AK17" s="55" t="n"/>
      <c r="AL17" s="55" t="n"/>
      <c r="AM17" s="55" t="n"/>
      <c r="AN17" s="55" t="n"/>
      <c r="AO17" s="55" t="n"/>
      <c r="AP17" s="55" t="n"/>
      <c r="AQ17" s="55" t="n"/>
      <c r="AR17" s="55" t="n"/>
      <c r="AS17" s="55" t="n"/>
      <c r="AT17" s="55" t="n"/>
      <c r="AU17" s="55" t="n"/>
      <c r="AV17" s="55" t="n"/>
      <c r="AW17" s="55" t="n"/>
      <c r="AX17" s="55" t="n"/>
      <c r="AY17" s="55" t="n"/>
      <c r="AZ17" s="55" t="n"/>
      <c r="BA17" s="55" t="n"/>
      <c r="BB17" s="55" t="n"/>
      <c r="BC17" s="55" t="n"/>
      <c r="BD17" s="55" t="n"/>
      <c r="BE17" s="55" t="n"/>
      <c r="BF17" s="55" t="n"/>
      <c r="BG17" s="55" t="n"/>
      <c r="BH17" s="55" t="n"/>
      <c r="BI17" s="55" t="n"/>
      <c r="BJ17" s="55" t="n"/>
      <c r="BK17" s="55" t="n"/>
      <c r="BL17" s="55" t="n"/>
      <c r="BM17" s="55" t="n"/>
      <c r="BN17" s="55" t="n"/>
      <c r="BO17" s="55" t="n"/>
      <c r="BP17" s="55" t="n"/>
      <c r="BQ17" s="55" t="n"/>
      <c r="BR17" s="55" t="n"/>
      <c r="BS17" s="55" t="n"/>
      <c r="BT17" s="55" t="n"/>
      <c r="BU17" s="55" t="n"/>
      <c r="BV17" s="55" t="n"/>
      <c r="BW17" s="55" t="n"/>
      <c r="BX17" s="55" t="n"/>
      <c r="BY17" s="55" t="n"/>
    </row>
    <row r="18">
      <c r="B18" s="56" t="inlineStr">
        <is>
          <t>Школы действующей сети</t>
        </is>
      </c>
      <c r="C18" s="56" t="inlineStr">
        <is>
          <t>шт.</t>
        </is>
      </c>
      <c r="D18" s="57" t="inlineStr">
        <is>
          <t>Каждый месяц убывает на коэффициент закрытия В колонках лет — значение на конец года, в «Итого» — на конец пятого года. Это остаток, а не сумма.</t>
        </is>
      </c>
      <c r="E18" s="59">
        <f>W18</f>
        <v/>
      </c>
      <c r="F18" s="59">
        <f>AI18</f>
        <v/>
      </c>
      <c r="G18" s="59">
        <f>AU18</f>
        <v/>
      </c>
      <c r="H18" s="59">
        <f>BG18</f>
        <v/>
      </c>
      <c r="I18" s="59">
        <f>BS18</f>
        <v/>
      </c>
      <c r="J18" s="61">
        <f>BS18</f>
        <v/>
      </c>
      <c r="L18" s="62">
        <f>ШколыСтарт*КоэффСохранения</f>
        <v/>
      </c>
      <c r="M18" s="62">
        <f>L18*КоэффСохранения</f>
        <v/>
      </c>
      <c r="N18" s="62">
        <f>M18*КоэффСохранения</f>
        <v/>
      </c>
      <c r="O18" s="62">
        <f>N18*КоэффСохранения</f>
        <v/>
      </c>
      <c r="P18" s="62">
        <f>O18*КоэффСохранения</f>
        <v/>
      </c>
      <c r="Q18" s="62">
        <f>P18*КоэффСохранения</f>
        <v/>
      </c>
      <c r="R18" s="62">
        <f>Q18*КоэффСохранения</f>
        <v/>
      </c>
      <c r="S18" s="62">
        <f>R18*КоэффСохранения</f>
        <v/>
      </c>
      <c r="T18" s="62">
        <f>S18*КоэффСохранения</f>
        <v/>
      </c>
      <c r="U18" s="62">
        <f>T18*КоэффСохранения</f>
        <v/>
      </c>
      <c r="V18" s="62">
        <f>U18*КоэффСохранения</f>
        <v/>
      </c>
      <c r="W18" s="62">
        <f>V18*КоэффСохранения</f>
        <v/>
      </c>
      <c r="X18" s="62">
        <f>W18*КоэффСохранения</f>
        <v/>
      </c>
      <c r="Y18" s="62">
        <f>X18*КоэффСохранения</f>
        <v/>
      </c>
      <c r="Z18" s="62">
        <f>Y18*КоэффСохранения</f>
        <v/>
      </c>
      <c r="AA18" s="62">
        <f>Z18*КоэффСохранения</f>
        <v/>
      </c>
      <c r="AB18" s="62">
        <f>AA18*КоэффСохранения</f>
        <v/>
      </c>
      <c r="AC18" s="62">
        <f>AB18*КоэффСохранения</f>
        <v/>
      </c>
      <c r="AD18" s="62">
        <f>AC18*КоэффСохранения</f>
        <v/>
      </c>
      <c r="AE18" s="62">
        <f>AD18*КоэффСохранения</f>
        <v/>
      </c>
      <c r="AF18" s="62">
        <f>AE18*КоэффСохранения</f>
        <v/>
      </c>
      <c r="AG18" s="62">
        <f>AF18*КоэффСохранения</f>
        <v/>
      </c>
      <c r="AH18" s="62">
        <f>AG18*КоэффСохранения</f>
        <v/>
      </c>
      <c r="AI18" s="62">
        <f>AH18*КоэффСохранения</f>
        <v/>
      </c>
      <c r="AJ18" s="62">
        <f>AI18*КоэффСохранения</f>
        <v/>
      </c>
      <c r="AK18" s="62">
        <f>AJ18*КоэффСохранения</f>
        <v/>
      </c>
      <c r="AL18" s="62">
        <f>AK18*КоэффСохранения</f>
        <v/>
      </c>
      <c r="AM18" s="62">
        <f>AL18*КоэффСохранения</f>
        <v/>
      </c>
      <c r="AN18" s="62">
        <f>AM18*КоэффСохранения</f>
        <v/>
      </c>
      <c r="AO18" s="62">
        <f>AN18*КоэффСохранения</f>
        <v/>
      </c>
      <c r="AP18" s="62">
        <f>AO18*КоэффСохранения</f>
        <v/>
      </c>
      <c r="AQ18" s="62">
        <f>AP18*КоэффСохранения</f>
        <v/>
      </c>
      <c r="AR18" s="62">
        <f>AQ18*КоэффСохранения</f>
        <v/>
      </c>
      <c r="AS18" s="62">
        <f>AR18*КоэффСохранения</f>
        <v/>
      </c>
      <c r="AT18" s="62">
        <f>AS18*КоэффСохранения</f>
        <v/>
      </c>
      <c r="AU18" s="62">
        <f>AT18*КоэффСохранения</f>
        <v/>
      </c>
      <c r="AV18" s="62">
        <f>AU18*КоэффСохранения</f>
        <v/>
      </c>
      <c r="AW18" s="62">
        <f>AV18*КоэффСохранения</f>
        <v/>
      </c>
      <c r="AX18" s="62">
        <f>AW18*КоэффСохранения</f>
        <v/>
      </c>
      <c r="AY18" s="62">
        <f>AX18*КоэффСохранения</f>
        <v/>
      </c>
      <c r="AZ18" s="62">
        <f>AY18*КоэффСохранения</f>
        <v/>
      </c>
      <c r="BA18" s="62">
        <f>AZ18*КоэффСохранения</f>
        <v/>
      </c>
      <c r="BB18" s="62">
        <f>BA18*КоэффСохранения</f>
        <v/>
      </c>
      <c r="BC18" s="62">
        <f>BB18*КоэффСохранения</f>
        <v/>
      </c>
      <c r="BD18" s="62">
        <f>BC18*КоэффСохранения</f>
        <v/>
      </c>
      <c r="BE18" s="62">
        <f>BD18*КоэффСохранения</f>
        <v/>
      </c>
      <c r="BF18" s="62">
        <f>BE18*КоэффСохранения</f>
        <v/>
      </c>
      <c r="BG18" s="62">
        <f>BF18*КоэффСохранения</f>
        <v/>
      </c>
      <c r="BH18" s="62">
        <f>BG18*КоэффСохранения</f>
        <v/>
      </c>
      <c r="BI18" s="62">
        <f>BH18*КоэффСохранения</f>
        <v/>
      </c>
      <c r="BJ18" s="62">
        <f>BI18*КоэффСохранения</f>
        <v/>
      </c>
      <c r="BK18" s="62">
        <f>BJ18*КоэффСохранения</f>
        <v/>
      </c>
      <c r="BL18" s="62">
        <f>BK18*КоэффСохранения</f>
        <v/>
      </c>
      <c r="BM18" s="62">
        <f>BL18*КоэффСохранения</f>
        <v/>
      </c>
      <c r="BN18" s="62">
        <f>BM18*КоэффСохранения</f>
        <v/>
      </c>
      <c r="BO18" s="62">
        <f>BN18*КоэффСохранения</f>
        <v/>
      </c>
      <c r="BP18" s="62">
        <f>BO18*КоэффСохранения</f>
        <v/>
      </c>
      <c r="BQ18" s="62">
        <f>BP18*КоэффСохранения</f>
        <v/>
      </c>
      <c r="BR18" s="62">
        <f>BQ18*КоэффСохранения</f>
        <v/>
      </c>
      <c r="BS18" s="62">
        <f>BR18*КоэффСохранения</f>
        <v/>
      </c>
      <c r="BT18" s="62">
        <f>BS18*КоэффСохранения</f>
        <v/>
      </c>
      <c r="BU18" s="62">
        <f>BT18*КоэффСохранения</f>
        <v/>
      </c>
      <c r="BV18" s="62">
        <f>BU18*КоэффСохранения</f>
        <v/>
      </c>
      <c r="BW18" s="62">
        <f>BV18*КоэффСохранения</f>
        <v/>
      </c>
      <c r="BX18" s="62">
        <f>BW18*КоэффСохранения</f>
        <v/>
      </c>
      <c r="BY18" s="62">
        <f>BX18*КоэффСохранения</f>
        <v/>
      </c>
    </row>
    <row r="19">
      <c r="B19" s="56" t="inlineStr">
        <is>
          <t>Дети действующей сети, 100% база</t>
        </is>
      </c>
      <c r="C19" s="56" t="inlineStr">
        <is>
          <t>чел.</t>
        </is>
      </c>
      <c r="D19" s="57" t="inlineStr">
        <is>
          <t>База растёт по сезонам и уменьшается вместе с числом школ В колонках лет — значение на конец года, в «Итого» — на конец пятого года. Это остаток, а не сумма.</t>
        </is>
      </c>
      <c r="E19" s="85">
        <f>W19</f>
        <v/>
      </c>
      <c r="F19" s="85">
        <f>AI19</f>
        <v/>
      </c>
      <c r="G19" s="85">
        <f>AU19</f>
        <v/>
      </c>
      <c r="H19" s="85">
        <f>BG19</f>
        <v/>
      </c>
      <c r="I19" s="85">
        <f>BS19</f>
        <v/>
      </c>
      <c r="J19" s="86">
        <f>BS19</f>
        <v/>
      </c>
      <c r="L19" s="87">
        <f>ДетиСтарт*(1+РостДетей)^(L8-1)*IF(ШколыСтарт=0,0,L18/ШколыСтарт)</f>
        <v/>
      </c>
      <c r="M19" s="87">
        <f>ДетиСтарт*(1+РостДетей)^(M8-1)*IF(ШколыСтарт=0,0,M18/ШколыСтарт)</f>
        <v/>
      </c>
      <c r="N19" s="87">
        <f>ДетиСтарт*(1+РостДетей)^(N8-1)*IF(ШколыСтарт=0,0,N18/ШколыСтарт)</f>
        <v/>
      </c>
      <c r="O19" s="87">
        <f>ДетиСтарт*(1+РостДетей)^(O8-1)*IF(ШколыСтарт=0,0,O18/ШколыСтарт)</f>
        <v/>
      </c>
      <c r="P19" s="87">
        <f>ДетиСтарт*(1+РостДетей)^(P8-1)*IF(ШколыСтарт=0,0,P18/ШколыСтарт)</f>
        <v/>
      </c>
      <c r="Q19" s="87">
        <f>ДетиСтарт*(1+РостДетей)^(Q8-1)*IF(ШколыСтарт=0,0,Q18/ШколыСтарт)</f>
        <v/>
      </c>
      <c r="R19" s="87">
        <f>ДетиСтарт*(1+РостДетей)^(R8-1)*IF(ШколыСтарт=0,0,R18/ШколыСтарт)</f>
        <v/>
      </c>
      <c r="S19" s="87">
        <f>ДетиСтарт*(1+РостДетей)^(S8-1)*IF(ШколыСтарт=0,0,S18/ШколыСтарт)</f>
        <v/>
      </c>
      <c r="T19" s="87">
        <f>ДетиСтарт*(1+РостДетей)^(T8-1)*IF(ШколыСтарт=0,0,T18/ШколыСтарт)</f>
        <v/>
      </c>
      <c r="U19" s="87">
        <f>ДетиСтарт*(1+РостДетей)^(U8-1)*IF(ШколыСтарт=0,0,U18/ШколыСтарт)</f>
        <v/>
      </c>
      <c r="V19" s="87">
        <f>ДетиСтарт*(1+РостДетей)^(V8-1)*IF(ШколыСтарт=0,0,V18/ШколыСтарт)</f>
        <v/>
      </c>
      <c r="W19" s="87">
        <f>ДетиСтарт*(1+РостДетей)^(W8-1)*IF(ШколыСтарт=0,0,W18/ШколыСтарт)</f>
        <v/>
      </c>
      <c r="X19" s="87">
        <f>ДетиСтарт*(1+РостДетей)^(X8-1)*IF(ШколыСтарт=0,0,X18/ШколыСтарт)</f>
        <v/>
      </c>
      <c r="Y19" s="87">
        <f>ДетиСтарт*(1+РостДетей)^(Y8-1)*IF(ШколыСтарт=0,0,Y18/ШколыСтарт)</f>
        <v/>
      </c>
      <c r="Z19" s="87">
        <f>ДетиСтарт*(1+РостДетей)^(Z8-1)*IF(ШколыСтарт=0,0,Z18/ШколыСтарт)</f>
        <v/>
      </c>
      <c r="AA19" s="87">
        <f>ДетиСтарт*(1+РостДетей)^(AA8-1)*IF(ШколыСтарт=0,0,AA18/ШколыСтарт)</f>
        <v/>
      </c>
      <c r="AB19" s="87">
        <f>ДетиСтарт*(1+РостДетей)^(AB8-1)*IF(ШколыСтарт=0,0,AB18/ШколыСтарт)</f>
        <v/>
      </c>
      <c r="AC19" s="87">
        <f>ДетиСтарт*(1+РостДетей)^(AC8-1)*IF(ШколыСтарт=0,0,AC18/ШколыСтарт)</f>
        <v/>
      </c>
      <c r="AD19" s="87">
        <f>ДетиСтарт*(1+РостДетей)^(AD8-1)*IF(ШколыСтарт=0,0,AD18/ШколыСтарт)</f>
        <v/>
      </c>
      <c r="AE19" s="87">
        <f>ДетиСтарт*(1+РостДетей)^(AE8-1)*IF(ШколыСтарт=0,0,AE18/ШколыСтарт)</f>
        <v/>
      </c>
      <c r="AF19" s="87">
        <f>ДетиСтарт*(1+РостДетей)^(AF8-1)*IF(ШколыСтарт=0,0,AF18/ШколыСтарт)</f>
        <v/>
      </c>
      <c r="AG19" s="87">
        <f>ДетиСтарт*(1+РостДетей)^(AG8-1)*IF(ШколыСтарт=0,0,AG18/ШколыСтарт)</f>
        <v/>
      </c>
      <c r="AH19" s="87">
        <f>ДетиСтарт*(1+РостДетей)^(AH8-1)*IF(ШколыСтарт=0,0,AH18/ШколыСтарт)</f>
        <v/>
      </c>
      <c r="AI19" s="87">
        <f>ДетиСтарт*(1+РостДетей)^(AI8-1)*IF(ШколыСтарт=0,0,AI18/ШколыСтарт)</f>
        <v/>
      </c>
      <c r="AJ19" s="87">
        <f>ДетиСтарт*(1+РостДетей)^(AJ8-1)*IF(ШколыСтарт=0,0,AJ18/ШколыСтарт)</f>
        <v/>
      </c>
      <c r="AK19" s="87">
        <f>ДетиСтарт*(1+РостДетей)^(AK8-1)*IF(ШколыСтарт=0,0,AK18/ШколыСтарт)</f>
        <v/>
      </c>
      <c r="AL19" s="87">
        <f>ДетиСтарт*(1+РостДетей)^(AL8-1)*IF(ШколыСтарт=0,0,AL18/ШколыСтарт)</f>
        <v/>
      </c>
      <c r="AM19" s="87">
        <f>ДетиСтарт*(1+РостДетей)^(AM8-1)*IF(ШколыСтарт=0,0,AM18/ШколыСтарт)</f>
        <v/>
      </c>
      <c r="AN19" s="87">
        <f>ДетиСтарт*(1+РостДетей)^(AN8-1)*IF(ШколыСтарт=0,0,AN18/ШколыСтарт)</f>
        <v/>
      </c>
      <c r="AO19" s="87">
        <f>ДетиСтарт*(1+РостДетей)^(AO8-1)*IF(ШколыСтарт=0,0,AO18/ШколыСтарт)</f>
        <v/>
      </c>
      <c r="AP19" s="87">
        <f>ДетиСтарт*(1+РостДетей)^(AP8-1)*IF(ШколыСтарт=0,0,AP18/ШколыСтарт)</f>
        <v/>
      </c>
      <c r="AQ19" s="87">
        <f>ДетиСтарт*(1+РостДетей)^(AQ8-1)*IF(ШколыСтарт=0,0,AQ18/ШколыСтарт)</f>
        <v/>
      </c>
      <c r="AR19" s="87">
        <f>ДетиСтарт*(1+РостДетей)^(AR8-1)*IF(ШколыСтарт=0,0,AR18/ШколыСтарт)</f>
        <v/>
      </c>
      <c r="AS19" s="87">
        <f>ДетиСтарт*(1+РостДетей)^(AS8-1)*IF(ШколыСтарт=0,0,AS18/ШколыСтарт)</f>
        <v/>
      </c>
      <c r="AT19" s="87">
        <f>ДетиСтарт*(1+РостДетей)^(AT8-1)*IF(ШколыСтарт=0,0,AT18/ШколыСтарт)</f>
        <v/>
      </c>
      <c r="AU19" s="87">
        <f>ДетиСтарт*(1+РостДетей)^(AU8-1)*IF(ШколыСтарт=0,0,AU18/ШколыСтарт)</f>
        <v/>
      </c>
      <c r="AV19" s="87">
        <f>ДетиСтарт*(1+РостДетей)^(AV8-1)*IF(ШколыСтарт=0,0,AV18/ШколыСтарт)</f>
        <v/>
      </c>
      <c r="AW19" s="87">
        <f>ДетиСтарт*(1+РостДетей)^(AW8-1)*IF(ШколыСтарт=0,0,AW18/ШколыСтарт)</f>
        <v/>
      </c>
      <c r="AX19" s="87">
        <f>ДетиСтарт*(1+РостДетей)^(AX8-1)*IF(ШколыСтарт=0,0,AX18/ШколыСтарт)</f>
        <v/>
      </c>
      <c r="AY19" s="87">
        <f>ДетиСтарт*(1+РостДетей)^(AY8-1)*IF(ШколыСтарт=0,0,AY18/ШколыСтарт)</f>
        <v/>
      </c>
      <c r="AZ19" s="87">
        <f>ДетиСтарт*(1+РостДетей)^(AZ8-1)*IF(ШколыСтарт=0,0,AZ18/ШколыСтарт)</f>
        <v/>
      </c>
      <c r="BA19" s="87">
        <f>ДетиСтарт*(1+РостДетей)^(BA8-1)*IF(ШколыСтарт=0,0,BA18/ШколыСтарт)</f>
        <v/>
      </c>
      <c r="BB19" s="87">
        <f>ДетиСтарт*(1+РостДетей)^(BB8-1)*IF(ШколыСтарт=0,0,BB18/ШколыСтарт)</f>
        <v/>
      </c>
      <c r="BC19" s="87">
        <f>ДетиСтарт*(1+РостДетей)^(BC8-1)*IF(ШколыСтарт=0,0,BC18/ШколыСтарт)</f>
        <v/>
      </c>
      <c r="BD19" s="87">
        <f>ДетиСтарт*(1+РостДетей)^(BD8-1)*IF(ШколыСтарт=0,0,BD18/ШколыСтарт)</f>
        <v/>
      </c>
      <c r="BE19" s="87">
        <f>ДетиСтарт*(1+РостДетей)^(BE8-1)*IF(ШколыСтарт=0,0,BE18/ШколыСтарт)</f>
        <v/>
      </c>
      <c r="BF19" s="87">
        <f>ДетиСтарт*(1+РостДетей)^(BF8-1)*IF(ШколыСтарт=0,0,BF18/ШколыСтарт)</f>
        <v/>
      </c>
      <c r="BG19" s="87">
        <f>ДетиСтарт*(1+РостДетей)^(BG8-1)*IF(ШколыСтарт=0,0,BG18/ШколыСтарт)</f>
        <v/>
      </c>
      <c r="BH19" s="87">
        <f>ДетиСтарт*(1+РостДетей)^(BH8-1)*IF(ШколыСтарт=0,0,BH18/ШколыСтарт)</f>
        <v/>
      </c>
      <c r="BI19" s="87">
        <f>ДетиСтарт*(1+РостДетей)^(BI8-1)*IF(ШколыСтарт=0,0,BI18/ШколыСтарт)</f>
        <v/>
      </c>
      <c r="BJ19" s="87">
        <f>ДетиСтарт*(1+РостДетей)^(BJ8-1)*IF(ШколыСтарт=0,0,BJ18/ШколыСтарт)</f>
        <v/>
      </c>
      <c r="BK19" s="87">
        <f>ДетиСтарт*(1+РостДетей)^(BK8-1)*IF(ШколыСтарт=0,0,BK18/ШколыСтарт)</f>
        <v/>
      </c>
      <c r="BL19" s="87">
        <f>ДетиСтарт*(1+РостДетей)^(BL8-1)*IF(ШколыСтарт=0,0,BL18/ШколыСтарт)</f>
        <v/>
      </c>
      <c r="BM19" s="87">
        <f>ДетиСтарт*(1+РостДетей)^(BM8-1)*IF(ШколыСтарт=0,0,BM18/ШколыСтарт)</f>
        <v/>
      </c>
      <c r="BN19" s="87">
        <f>ДетиСтарт*(1+РостДетей)^(BN8-1)*IF(ШколыСтарт=0,0,BN18/ШколыСтарт)</f>
        <v/>
      </c>
      <c r="BO19" s="87">
        <f>ДетиСтарт*(1+РостДетей)^(BO8-1)*IF(ШколыСтарт=0,0,BO18/ШколыСтарт)</f>
        <v/>
      </c>
      <c r="BP19" s="87">
        <f>ДетиСтарт*(1+РостДетей)^(BP8-1)*IF(ШколыСтарт=0,0,BP18/ШколыСтарт)</f>
        <v/>
      </c>
      <c r="BQ19" s="87">
        <f>ДетиСтарт*(1+РостДетей)^(BQ8-1)*IF(ШколыСтарт=0,0,BQ18/ШколыСтарт)</f>
        <v/>
      </c>
      <c r="BR19" s="87">
        <f>ДетиСтарт*(1+РостДетей)^(BR8-1)*IF(ШколыСтарт=0,0,BR18/ШколыСтарт)</f>
        <v/>
      </c>
      <c r="BS19" s="87">
        <f>ДетиСтарт*(1+РостДетей)^(BS8-1)*IF(ШколыСтарт=0,0,BS18/ШколыСтарт)</f>
        <v/>
      </c>
      <c r="BT19" s="87">
        <f>ДетиСтарт*(1+РостДетей)^(BT8-1)*IF(ШколыСтарт=0,0,BT18/ШколыСтарт)</f>
        <v/>
      </c>
      <c r="BU19" s="87">
        <f>ДетиСтарт*(1+РостДетей)^(BU8-1)*IF(ШколыСтарт=0,0,BU18/ШколыСтарт)</f>
        <v/>
      </c>
      <c r="BV19" s="87">
        <f>ДетиСтарт*(1+РостДетей)^(BV8-1)*IF(ШколыСтарт=0,0,BV18/ШколыСтарт)</f>
        <v/>
      </c>
      <c r="BW19" s="87">
        <f>ДетиСтарт*(1+РостДетей)^(BW8-1)*IF(ШколыСтарт=0,0,BW18/ШколыСтарт)</f>
        <v/>
      </c>
      <c r="BX19" s="87">
        <f>ДетиСтарт*(1+РостДетей)^(BX8-1)*IF(ШколыСтарт=0,0,BX18/ШколыСтарт)</f>
        <v/>
      </c>
      <c r="BY19" s="87">
        <f>ДетиСтарт*(1+РостДетей)^(BY8-1)*IF(ШколыСтарт=0,0,BY18/ШколыСтарт)</f>
        <v/>
      </c>
    </row>
    <row r="20">
      <c r="B20" s="56" t="inlineStr">
        <is>
          <t>Дети действующей сети, активные</t>
        </is>
      </c>
      <c r="C20" s="56" t="inlineStr">
        <is>
          <t>чел.</t>
        </is>
      </c>
      <c r="D20" s="57" t="inlineStr">
        <is>
          <t>База, умноженная на сезонность посещаемости В колонках лет — значение на конец года, в «Итого» — на конец пятого года. Это остаток, а не сумма.</t>
        </is>
      </c>
      <c r="E20" s="85">
        <f>W20</f>
        <v/>
      </c>
      <c r="F20" s="85">
        <f>AI20</f>
        <v/>
      </c>
      <c r="G20" s="85">
        <f>AU20</f>
        <v/>
      </c>
      <c r="H20" s="85">
        <f>BG20</f>
        <v/>
      </c>
      <c r="I20" s="85">
        <f>BS20</f>
        <v/>
      </c>
      <c r="J20" s="86">
        <f>BS20</f>
        <v/>
      </c>
      <c r="L20" s="87">
        <f>L19*L10</f>
        <v/>
      </c>
      <c r="M20" s="87">
        <f>M19*M10</f>
        <v/>
      </c>
      <c r="N20" s="87">
        <f>N19*N10</f>
        <v/>
      </c>
      <c r="O20" s="87">
        <f>O19*O10</f>
        <v/>
      </c>
      <c r="P20" s="87">
        <f>P19*P10</f>
        <v/>
      </c>
      <c r="Q20" s="87">
        <f>Q19*Q10</f>
        <v/>
      </c>
      <c r="R20" s="87">
        <f>R19*R10</f>
        <v/>
      </c>
      <c r="S20" s="87">
        <f>S19*S10</f>
        <v/>
      </c>
      <c r="T20" s="87">
        <f>T19*T10</f>
        <v/>
      </c>
      <c r="U20" s="87">
        <f>U19*U10</f>
        <v/>
      </c>
      <c r="V20" s="87">
        <f>V19*V10</f>
        <v/>
      </c>
      <c r="W20" s="87">
        <f>W19*W10</f>
        <v/>
      </c>
      <c r="X20" s="87">
        <f>X19*X10</f>
        <v/>
      </c>
      <c r="Y20" s="87">
        <f>Y19*Y10</f>
        <v/>
      </c>
      <c r="Z20" s="87">
        <f>Z19*Z10</f>
        <v/>
      </c>
      <c r="AA20" s="87">
        <f>AA19*AA10</f>
        <v/>
      </c>
      <c r="AB20" s="87">
        <f>AB19*AB10</f>
        <v/>
      </c>
      <c r="AC20" s="87">
        <f>AC19*AC10</f>
        <v/>
      </c>
      <c r="AD20" s="87">
        <f>AD19*AD10</f>
        <v/>
      </c>
      <c r="AE20" s="87">
        <f>AE19*AE10</f>
        <v/>
      </c>
      <c r="AF20" s="87">
        <f>AF19*AF10</f>
        <v/>
      </c>
      <c r="AG20" s="87">
        <f>AG19*AG10</f>
        <v/>
      </c>
      <c r="AH20" s="87">
        <f>AH19*AH10</f>
        <v/>
      </c>
      <c r="AI20" s="87">
        <f>AI19*AI10</f>
        <v/>
      </c>
      <c r="AJ20" s="87">
        <f>AJ19*AJ10</f>
        <v/>
      </c>
      <c r="AK20" s="87">
        <f>AK19*AK10</f>
        <v/>
      </c>
      <c r="AL20" s="87">
        <f>AL19*AL10</f>
        <v/>
      </c>
      <c r="AM20" s="87">
        <f>AM19*AM10</f>
        <v/>
      </c>
      <c r="AN20" s="87">
        <f>AN19*AN10</f>
        <v/>
      </c>
      <c r="AO20" s="87">
        <f>AO19*AO10</f>
        <v/>
      </c>
      <c r="AP20" s="87">
        <f>AP19*AP10</f>
        <v/>
      </c>
      <c r="AQ20" s="87">
        <f>AQ19*AQ10</f>
        <v/>
      </c>
      <c r="AR20" s="87">
        <f>AR19*AR10</f>
        <v/>
      </c>
      <c r="AS20" s="87">
        <f>AS19*AS10</f>
        <v/>
      </c>
      <c r="AT20" s="87">
        <f>AT19*AT10</f>
        <v/>
      </c>
      <c r="AU20" s="87">
        <f>AU19*AU10</f>
        <v/>
      </c>
      <c r="AV20" s="87">
        <f>AV19*AV10</f>
        <v/>
      </c>
      <c r="AW20" s="87">
        <f>AW19*AW10</f>
        <v/>
      </c>
      <c r="AX20" s="87">
        <f>AX19*AX10</f>
        <v/>
      </c>
      <c r="AY20" s="87">
        <f>AY19*AY10</f>
        <v/>
      </c>
      <c r="AZ20" s="87">
        <f>AZ19*AZ10</f>
        <v/>
      </c>
      <c r="BA20" s="87">
        <f>BA19*BA10</f>
        <v/>
      </c>
      <c r="BB20" s="87">
        <f>BB19*BB10</f>
        <v/>
      </c>
      <c r="BC20" s="87">
        <f>BC19*BC10</f>
        <v/>
      </c>
      <c r="BD20" s="87">
        <f>BD19*BD10</f>
        <v/>
      </c>
      <c r="BE20" s="87">
        <f>BE19*BE10</f>
        <v/>
      </c>
      <c r="BF20" s="87">
        <f>BF19*BF10</f>
        <v/>
      </c>
      <c r="BG20" s="87">
        <f>BG19*BG10</f>
        <v/>
      </c>
      <c r="BH20" s="87">
        <f>BH19*BH10</f>
        <v/>
      </c>
      <c r="BI20" s="87">
        <f>BI19*BI10</f>
        <v/>
      </c>
      <c r="BJ20" s="87">
        <f>BJ19*BJ10</f>
        <v/>
      </c>
      <c r="BK20" s="87">
        <f>BK19*BK10</f>
        <v/>
      </c>
      <c r="BL20" s="87">
        <f>BL19*BL10</f>
        <v/>
      </c>
      <c r="BM20" s="87">
        <f>BM19*BM10</f>
        <v/>
      </c>
      <c r="BN20" s="87">
        <f>BN19*BN10</f>
        <v/>
      </c>
      <c r="BO20" s="87">
        <f>BO19*BO10</f>
        <v/>
      </c>
      <c r="BP20" s="87">
        <f>BP19*BP10</f>
        <v/>
      </c>
      <c r="BQ20" s="87">
        <f>BQ19*BQ10</f>
        <v/>
      </c>
      <c r="BR20" s="87">
        <f>BR19*BR10</f>
        <v/>
      </c>
      <c r="BS20" s="87">
        <f>BS19*BS10</f>
        <v/>
      </c>
      <c r="BT20" s="87">
        <f>BT19*BT10</f>
        <v/>
      </c>
      <c r="BU20" s="87">
        <f>BU19*BU10</f>
        <v/>
      </c>
      <c r="BV20" s="87">
        <f>BV19*BV10</f>
        <v/>
      </c>
      <c r="BW20" s="87">
        <f>BW19*BW10</f>
        <v/>
      </c>
      <c r="BX20" s="87">
        <f>BX19*BX10</f>
        <v/>
      </c>
      <c r="BY20" s="87">
        <f>BY19*BY10</f>
        <v/>
      </c>
    </row>
    <row r="21" ht="15.75" customHeight="1" s="194"/>
    <row r="22" ht="15.75" customHeight="1" s="194">
      <c r="B22" s="54" t="inlineStr">
        <is>
          <t>Новые школы по месяцам жизни</t>
        </is>
      </c>
      <c r="C22" s="55" t="n"/>
      <c r="D22" s="55" t="n"/>
      <c r="E22" s="55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  <c r="O22" s="55" t="n"/>
      <c r="P22" s="55" t="n"/>
      <c r="Q22" s="55" t="n"/>
      <c r="R22" s="55" t="n"/>
      <c r="S22" s="55" t="n"/>
      <c r="T22" s="55" t="n"/>
      <c r="U22" s="55" t="n"/>
      <c r="V22" s="55" t="n"/>
      <c r="W22" s="55" t="n"/>
      <c r="X22" s="55" t="n"/>
      <c r="Y22" s="55" t="n"/>
      <c r="Z22" s="55" t="n"/>
      <c r="AA22" s="55" t="n"/>
      <c r="AB22" s="55" t="n"/>
      <c r="AC22" s="55" t="n"/>
      <c r="AD22" s="55" t="n"/>
      <c r="AE22" s="55" t="n"/>
      <c r="AF22" s="55" t="n"/>
      <c r="AG22" s="55" t="n"/>
      <c r="AH22" s="55" t="n"/>
      <c r="AI22" s="55" t="n"/>
      <c r="AJ22" s="55" t="n"/>
      <c r="AK22" s="55" t="n"/>
      <c r="AL22" s="55" t="n"/>
      <c r="AM22" s="55" t="n"/>
      <c r="AN22" s="55" t="n"/>
      <c r="AO22" s="55" t="n"/>
      <c r="AP22" s="55" t="n"/>
      <c r="AQ22" s="55" t="n"/>
      <c r="AR22" s="55" t="n"/>
      <c r="AS22" s="55" t="n"/>
      <c r="AT22" s="55" t="n"/>
      <c r="AU22" s="55" t="n"/>
      <c r="AV22" s="55" t="n"/>
      <c r="AW22" s="55" t="n"/>
      <c r="AX22" s="55" t="n"/>
      <c r="AY22" s="55" t="n"/>
      <c r="AZ22" s="55" t="n"/>
      <c r="BA22" s="55" t="n"/>
      <c r="BB22" s="55" t="n"/>
      <c r="BC22" s="55" t="n"/>
      <c r="BD22" s="55" t="n"/>
      <c r="BE22" s="55" t="n"/>
      <c r="BF22" s="55" t="n"/>
      <c r="BG22" s="55" t="n"/>
      <c r="BH22" s="55" t="n"/>
      <c r="BI22" s="55" t="n"/>
      <c r="BJ22" s="55" t="n"/>
      <c r="BK22" s="55" t="n"/>
      <c r="BL22" s="55" t="n"/>
      <c r="BM22" s="55" t="n"/>
      <c r="BN22" s="55" t="n"/>
      <c r="BO22" s="55" t="n"/>
      <c r="BP22" s="55" t="n"/>
      <c r="BQ22" s="55" t="n"/>
      <c r="BR22" s="55" t="n"/>
      <c r="BS22" s="55" t="n"/>
      <c r="BT22" s="55" t="n"/>
      <c r="BU22" s="55" t="n"/>
      <c r="BV22" s="55" t="n"/>
      <c r="BW22" s="55" t="n"/>
      <c r="BX22" s="55" t="n"/>
      <c r="BY22" s="55" t="n"/>
    </row>
    <row r="23" ht="15.75" customHeight="1" s="194">
      <c r="B23" s="56" t="inlineStr">
        <is>
          <t>1 мес.</t>
        </is>
      </c>
      <c r="C23" s="56" t="inlineStr">
        <is>
          <t>шт.</t>
        </is>
      </c>
      <c r="D23" s="57" t="inlineStr">
        <is>
          <t>Школы, открывшиеся в этом месяце Внутренняя механика расчёта: годового итога у этой строки нет, смотрите итоговые строки блока ниже.</t>
        </is>
      </c>
      <c r="E23" s="58" t="n"/>
      <c r="F23" s="58" t="n"/>
      <c r="G23" s="58" t="n"/>
      <c r="H23" s="58" t="n"/>
      <c r="I23" s="58" t="n"/>
      <c r="L23" s="62">
        <f>L14</f>
        <v/>
      </c>
      <c r="M23" s="62">
        <f>M14</f>
        <v/>
      </c>
      <c r="N23" s="62">
        <f>N14</f>
        <v/>
      </c>
      <c r="O23" s="62">
        <f>O14</f>
        <v/>
      </c>
      <c r="P23" s="62">
        <f>P14</f>
        <v/>
      </c>
      <c r="Q23" s="62">
        <f>Q14</f>
        <v/>
      </c>
      <c r="R23" s="62">
        <f>R14</f>
        <v/>
      </c>
      <c r="S23" s="62">
        <f>S14</f>
        <v/>
      </c>
      <c r="T23" s="62">
        <f>T14</f>
        <v/>
      </c>
      <c r="U23" s="62">
        <f>U14</f>
        <v/>
      </c>
      <c r="V23" s="62">
        <f>V14</f>
        <v/>
      </c>
      <c r="W23" s="62">
        <f>W14</f>
        <v/>
      </c>
      <c r="X23" s="62">
        <f>X14</f>
        <v/>
      </c>
      <c r="Y23" s="62">
        <f>Y14</f>
        <v/>
      </c>
      <c r="Z23" s="62">
        <f>Z14</f>
        <v/>
      </c>
      <c r="AA23" s="62">
        <f>AA14</f>
        <v/>
      </c>
      <c r="AB23" s="62">
        <f>AB14</f>
        <v/>
      </c>
      <c r="AC23" s="62">
        <f>AC14</f>
        <v/>
      </c>
      <c r="AD23" s="62">
        <f>AD14</f>
        <v/>
      </c>
      <c r="AE23" s="62">
        <f>AE14</f>
        <v/>
      </c>
      <c r="AF23" s="62">
        <f>AF14</f>
        <v/>
      </c>
      <c r="AG23" s="62">
        <f>AG14</f>
        <v/>
      </c>
      <c r="AH23" s="62">
        <f>AH14</f>
        <v/>
      </c>
      <c r="AI23" s="62">
        <f>AI14</f>
        <v/>
      </c>
      <c r="AJ23" s="62">
        <f>AJ14</f>
        <v/>
      </c>
      <c r="AK23" s="62">
        <f>AK14</f>
        <v/>
      </c>
      <c r="AL23" s="62">
        <f>AL14</f>
        <v/>
      </c>
      <c r="AM23" s="62">
        <f>AM14</f>
        <v/>
      </c>
      <c r="AN23" s="62">
        <f>AN14</f>
        <v/>
      </c>
      <c r="AO23" s="62">
        <f>AO14</f>
        <v/>
      </c>
      <c r="AP23" s="62">
        <f>AP14</f>
        <v/>
      </c>
      <c r="AQ23" s="62">
        <f>AQ14</f>
        <v/>
      </c>
      <c r="AR23" s="62">
        <f>AR14</f>
        <v/>
      </c>
      <c r="AS23" s="62">
        <f>AS14</f>
        <v/>
      </c>
      <c r="AT23" s="62">
        <f>AT14</f>
        <v/>
      </c>
      <c r="AU23" s="62">
        <f>AU14</f>
        <v/>
      </c>
      <c r="AV23" s="62">
        <f>AV14</f>
        <v/>
      </c>
      <c r="AW23" s="62">
        <f>AW14</f>
        <v/>
      </c>
      <c r="AX23" s="62">
        <f>AX14</f>
        <v/>
      </c>
      <c r="AY23" s="62">
        <f>AY14</f>
        <v/>
      </c>
      <c r="AZ23" s="62">
        <f>AZ14</f>
        <v/>
      </c>
      <c r="BA23" s="62">
        <f>BA14</f>
        <v/>
      </c>
      <c r="BB23" s="62">
        <f>BB14</f>
        <v/>
      </c>
      <c r="BC23" s="62">
        <f>BC14</f>
        <v/>
      </c>
      <c r="BD23" s="62">
        <f>BD14</f>
        <v/>
      </c>
      <c r="BE23" s="62">
        <f>BE14</f>
        <v/>
      </c>
      <c r="BF23" s="62">
        <f>BF14</f>
        <v/>
      </c>
      <c r="BG23" s="62">
        <f>BG14</f>
        <v/>
      </c>
      <c r="BH23" s="62">
        <f>BH14</f>
        <v/>
      </c>
      <c r="BI23" s="62">
        <f>BI14</f>
        <v/>
      </c>
      <c r="BJ23" s="62">
        <f>BJ14</f>
        <v/>
      </c>
      <c r="BK23" s="62">
        <f>BK14</f>
        <v/>
      </c>
      <c r="BL23" s="62">
        <f>BL14</f>
        <v/>
      </c>
      <c r="BM23" s="62">
        <f>BM14</f>
        <v/>
      </c>
      <c r="BN23" s="62">
        <f>BN14</f>
        <v/>
      </c>
      <c r="BO23" s="62">
        <f>BO14</f>
        <v/>
      </c>
      <c r="BP23" s="62">
        <f>BP14</f>
        <v/>
      </c>
      <c r="BQ23" s="62">
        <f>BQ14</f>
        <v/>
      </c>
      <c r="BR23" s="62">
        <f>BR14</f>
        <v/>
      </c>
      <c r="BS23" s="62">
        <f>BS14</f>
        <v/>
      </c>
      <c r="BT23" s="62">
        <f>BT14</f>
        <v/>
      </c>
      <c r="BU23" s="62">
        <f>BU14</f>
        <v/>
      </c>
      <c r="BV23" s="62">
        <f>BV14</f>
        <v/>
      </c>
      <c r="BW23" s="62">
        <f>BW14</f>
        <v/>
      </c>
      <c r="BX23" s="62">
        <f>BX14</f>
        <v/>
      </c>
      <c r="BY23" s="62">
        <f>BY14</f>
        <v/>
      </c>
    </row>
    <row r="24" ht="15.75" customHeight="1" s="194">
      <c r="B24" s="56" t="inlineStr">
        <is>
          <t>2 мес.</t>
        </is>
      </c>
      <c r="C24" s="56" t="inlineStr">
        <is>
          <t>шт.</t>
        </is>
      </c>
      <c r="D24" s="57" t="inlineStr">
        <is>
          <t>Внутренняя механика расчёта: годового итога у этой строки нет, смотрите итоговые строки блока ниже.</t>
        </is>
      </c>
      <c r="E24" s="58" t="n"/>
      <c r="F24" s="58" t="n"/>
      <c r="G24" s="58" t="n"/>
      <c r="H24" s="58" t="n"/>
      <c r="I24" s="58" t="n"/>
      <c r="L24" s="62">
        <f>0</f>
        <v/>
      </c>
      <c r="M24" s="62">
        <f>L23*КоэффСохранения</f>
        <v/>
      </c>
      <c r="N24" s="62">
        <f>M23*КоэффСохранения</f>
        <v/>
      </c>
      <c r="O24" s="62">
        <f>N23*КоэффСохранения</f>
        <v/>
      </c>
      <c r="P24" s="62">
        <f>O23*КоэффСохранения</f>
        <v/>
      </c>
      <c r="Q24" s="62">
        <f>P23*КоэффСохранения</f>
        <v/>
      </c>
      <c r="R24" s="62">
        <f>Q23*КоэффСохранения</f>
        <v/>
      </c>
      <c r="S24" s="62">
        <f>R23*КоэффСохранения</f>
        <v/>
      </c>
      <c r="T24" s="62">
        <f>S23*КоэффСохранения</f>
        <v/>
      </c>
      <c r="U24" s="62">
        <f>T23*КоэффСохранения</f>
        <v/>
      </c>
      <c r="V24" s="62">
        <f>U23*КоэффСохранения</f>
        <v/>
      </c>
      <c r="W24" s="62">
        <f>V23*КоэффСохранения</f>
        <v/>
      </c>
      <c r="X24" s="62">
        <f>W23*КоэффСохранения</f>
        <v/>
      </c>
      <c r="Y24" s="62">
        <f>X23*КоэффСохранения</f>
        <v/>
      </c>
      <c r="Z24" s="62">
        <f>Y23*КоэффСохранения</f>
        <v/>
      </c>
      <c r="AA24" s="62">
        <f>Z23*КоэффСохранения</f>
        <v/>
      </c>
      <c r="AB24" s="62">
        <f>AA23*КоэффСохранения</f>
        <v/>
      </c>
      <c r="AC24" s="62">
        <f>AB23*КоэффСохранения</f>
        <v/>
      </c>
      <c r="AD24" s="62">
        <f>AC23*КоэффСохранения</f>
        <v/>
      </c>
      <c r="AE24" s="62">
        <f>AD23*КоэффСохранения</f>
        <v/>
      </c>
      <c r="AF24" s="62">
        <f>AE23*КоэффСохранения</f>
        <v/>
      </c>
      <c r="AG24" s="62">
        <f>AF23*КоэффСохранения</f>
        <v/>
      </c>
      <c r="AH24" s="62">
        <f>AG23*КоэффСохранения</f>
        <v/>
      </c>
      <c r="AI24" s="62">
        <f>AH23*КоэффСохранения</f>
        <v/>
      </c>
      <c r="AJ24" s="62">
        <f>AI23*КоэффСохранения</f>
        <v/>
      </c>
      <c r="AK24" s="62">
        <f>AJ23*КоэффСохранения</f>
        <v/>
      </c>
      <c r="AL24" s="62">
        <f>AK23*КоэффСохранения</f>
        <v/>
      </c>
      <c r="AM24" s="62">
        <f>AL23*КоэффСохранения</f>
        <v/>
      </c>
      <c r="AN24" s="62">
        <f>AM23*КоэффСохранения</f>
        <v/>
      </c>
      <c r="AO24" s="62">
        <f>AN23*КоэффСохранения</f>
        <v/>
      </c>
      <c r="AP24" s="62">
        <f>AO23*КоэффСохранения</f>
        <v/>
      </c>
      <c r="AQ24" s="62">
        <f>AP23*КоэффСохранения</f>
        <v/>
      </c>
      <c r="AR24" s="62">
        <f>AQ23*КоэффСохранения</f>
        <v/>
      </c>
      <c r="AS24" s="62">
        <f>AR23*КоэффСохранения</f>
        <v/>
      </c>
      <c r="AT24" s="62">
        <f>AS23*КоэффСохранения</f>
        <v/>
      </c>
      <c r="AU24" s="62">
        <f>AT23*КоэффСохранения</f>
        <v/>
      </c>
      <c r="AV24" s="62">
        <f>AU23*КоэффСохранения</f>
        <v/>
      </c>
      <c r="AW24" s="62">
        <f>AV23*КоэффСохранения</f>
        <v/>
      </c>
      <c r="AX24" s="62">
        <f>AW23*КоэффСохранения</f>
        <v/>
      </c>
      <c r="AY24" s="62">
        <f>AX23*КоэффСохранения</f>
        <v/>
      </c>
      <c r="AZ24" s="62">
        <f>AY23*КоэффСохранения</f>
        <v/>
      </c>
      <c r="BA24" s="62">
        <f>AZ23*КоэффСохранения</f>
        <v/>
      </c>
      <c r="BB24" s="62">
        <f>BA23*КоэффСохранения</f>
        <v/>
      </c>
      <c r="BC24" s="62">
        <f>BB23*КоэффСохранения</f>
        <v/>
      </c>
      <c r="BD24" s="62">
        <f>BC23*КоэффСохранения</f>
        <v/>
      </c>
      <c r="BE24" s="62">
        <f>BD23*КоэффСохранения</f>
        <v/>
      </c>
      <c r="BF24" s="62">
        <f>BE23*КоэффСохранения</f>
        <v/>
      </c>
      <c r="BG24" s="62">
        <f>BF23*КоэффСохранения</f>
        <v/>
      </c>
      <c r="BH24" s="62">
        <f>BG23*КоэффСохранения</f>
        <v/>
      </c>
      <c r="BI24" s="62">
        <f>BH23*КоэффСохранения</f>
        <v/>
      </c>
      <c r="BJ24" s="62">
        <f>BI23*КоэффСохранения</f>
        <v/>
      </c>
      <c r="BK24" s="62">
        <f>BJ23*КоэффСохранения</f>
        <v/>
      </c>
      <c r="BL24" s="62">
        <f>BK23*КоэффСохранения</f>
        <v/>
      </c>
      <c r="BM24" s="62">
        <f>BL23*КоэффСохранения</f>
        <v/>
      </c>
      <c r="BN24" s="62">
        <f>BM23*КоэффСохранения</f>
        <v/>
      </c>
      <c r="BO24" s="62">
        <f>BN23*КоэффСохранения</f>
        <v/>
      </c>
      <c r="BP24" s="62">
        <f>BO23*КоэффСохранения</f>
        <v/>
      </c>
      <c r="BQ24" s="62">
        <f>BP23*КоэффСохранения</f>
        <v/>
      </c>
      <c r="BR24" s="62">
        <f>BQ23*КоэффСохранения</f>
        <v/>
      </c>
      <c r="BS24" s="62">
        <f>BR23*КоэффСохранения</f>
        <v/>
      </c>
      <c r="BT24" s="62">
        <f>BS23*КоэффСохранения</f>
        <v/>
      </c>
      <c r="BU24" s="62">
        <f>BT23*КоэффСохранения</f>
        <v/>
      </c>
      <c r="BV24" s="62">
        <f>BU23*КоэффСохранения</f>
        <v/>
      </c>
      <c r="BW24" s="62">
        <f>BV23*КоэффСохранения</f>
        <v/>
      </c>
      <c r="BX24" s="62">
        <f>BW23*КоэффСохранения</f>
        <v/>
      </c>
      <c r="BY24" s="62">
        <f>BX23*КоэффСохранения</f>
        <v/>
      </c>
    </row>
    <row r="25" ht="15.75" customHeight="1" s="194">
      <c r="B25" s="56" t="inlineStr">
        <is>
          <t>3 мес.</t>
        </is>
      </c>
      <c r="C25" s="56" t="inlineStr">
        <is>
          <t>шт.</t>
        </is>
      </c>
      <c r="D25" s="57" t="inlineStr">
        <is>
          <t>Внутренняя механика расчёта: годового итога у этой строки нет, смотрите итоговые строки блока ниже.</t>
        </is>
      </c>
      <c r="E25" s="58" t="n"/>
      <c r="F25" s="58" t="n"/>
      <c r="G25" s="58" t="n"/>
      <c r="H25" s="58" t="n"/>
      <c r="I25" s="58" t="n"/>
      <c r="L25" s="62">
        <f>0</f>
        <v/>
      </c>
      <c r="M25" s="62">
        <f>L24*КоэффСохранения</f>
        <v/>
      </c>
      <c r="N25" s="62">
        <f>M24*КоэффСохранения</f>
        <v/>
      </c>
      <c r="O25" s="62">
        <f>N24*КоэффСохранения</f>
        <v/>
      </c>
      <c r="P25" s="62">
        <f>O24*КоэффСохранения</f>
        <v/>
      </c>
      <c r="Q25" s="62">
        <f>P24*КоэффСохранения</f>
        <v/>
      </c>
      <c r="R25" s="62">
        <f>Q24*КоэффСохранения</f>
        <v/>
      </c>
      <c r="S25" s="62">
        <f>R24*КоэффСохранения</f>
        <v/>
      </c>
      <c r="T25" s="62">
        <f>S24*КоэффСохранения</f>
        <v/>
      </c>
      <c r="U25" s="62">
        <f>T24*КоэффСохранения</f>
        <v/>
      </c>
      <c r="V25" s="62">
        <f>U24*КоэффСохранения</f>
        <v/>
      </c>
      <c r="W25" s="62">
        <f>V24*КоэффСохранения</f>
        <v/>
      </c>
      <c r="X25" s="62">
        <f>W24*КоэффСохранения</f>
        <v/>
      </c>
      <c r="Y25" s="62">
        <f>X24*КоэффСохранения</f>
        <v/>
      </c>
      <c r="Z25" s="62">
        <f>Y24*КоэффСохранения</f>
        <v/>
      </c>
      <c r="AA25" s="62">
        <f>Z24*КоэффСохранения</f>
        <v/>
      </c>
      <c r="AB25" s="62">
        <f>AA24*КоэффСохранения</f>
        <v/>
      </c>
      <c r="AC25" s="62">
        <f>AB24*КоэффСохранения</f>
        <v/>
      </c>
      <c r="AD25" s="62">
        <f>AC24*КоэффСохранения</f>
        <v/>
      </c>
      <c r="AE25" s="62">
        <f>AD24*КоэффСохранения</f>
        <v/>
      </c>
      <c r="AF25" s="62">
        <f>AE24*КоэффСохранения</f>
        <v/>
      </c>
      <c r="AG25" s="62">
        <f>AF24*КоэффСохранения</f>
        <v/>
      </c>
      <c r="AH25" s="62">
        <f>AG24*КоэффСохранения</f>
        <v/>
      </c>
      <c r="AI25" s="62">
        <f>AH24*КоэффСохранения</f>
        <v/>
      </c>
      <c r="AJ25" s="62">
        <f>AI24*КоэффСохранения</f>
        <v/>
      </c>
      <c r="AK25" s="62">
        <f>AJ24*КоэффСохранения</f>
        <v/>
      </c>
      <c r="AL25" s="62">
        <f>AK24*КоэффСохранения</f>
        <v/>
      </c>
      <c r="AM25" s="62">
        <f>AL24*КоэффСохранения</f>
        <v/>
      </c>
      <c r="AN25" s="62">
        <f>AM24*КоэффСохранения</f>
        <v/>
      </c>
      <c r="AO25" s="62">
        <f>AN24*КоэффСохранения</f>
        <v/>
      </c>
      <c r="AP25" s="62">
        <f>AO24*КоэффСохранения</f>
        <v/>
      </c>
      <c r="AQ25" s="62">
        <f>AP24*КоэффСохранения</f>
        <v/>
      </c>
      <c r="AR25" s="62">
        <f>AQ24*КоэффСохранения</f>
        <v/>
      </c>
      <c r="AS25" s="62">
        <f>AR24*КоэффСохранения</f>
        <v/>
      </c>
      <c r="AT25" s="62">
        <f>AS24*КоэффСохранения</f>
        <v/>
      </c>
      <c r="AU25" s="62">
        <f>AT24*КоэффСохранения</f>
        <v/>
      </c>
      <c r="AV25" s="62">
        <f>AU24*КоэффСохранения</f>
        <v/>
      </c>
      <c r="AW25" s="62">
        <f>AV24*КоэффСохранения</f>
        <v/>
      </c>
      <c r="AX25" s="62">
        <f>AW24*КоэффСохранения</f>
        <v/>
      </c>
      <c r="AY25" s="62">
        <f>AX24*КоэффСохранения</f>
        <v/>
      </c>
      <c r="AZ25" s="62">
        <f>AY24*КоэффСохранения</f>
        <v/>
      </c>
      <c r="BA25" s="62">
        <f>AZ24*КоэффСохранения</f>
        <v/>
      </c>
      <c r="BB25" s="62">
        <f>BA24*КоэффСохранения</f>
        <v/>
      </c>
      <c r="BC25" s="62">
        <f>BB24*КоэффСохранения</f>
        <v/>
      </c>
      <c r="BD25" s="62">
        <f>BC24*КоэффСохранения</f>
        <v/>
      </c>
      <c r="BE25" s="62">
        <f>BD24*КоэффСохранения</f>
        <v/>
      </c>
      <c r="BF25" s="62">
        <f>BE24*КоэффСохранения</f>
        <v/>
      </c>
      <c r="BG25" s="62">
        <f>BF24*КоэффСохранения</f>
        <v/>
      </c>
      <c r="BH25" s="62">
        <f>BG24*КоэффСохранения</f>
        <v/>
      </c>
      <c r="BI25" s="62">
        <f>BH24*КоэффСохранения</f>
        <v/>
      </c>
      <c r="BJ25" s="62">
        <f>BI24*КоэффСохранения</f>
        <v/>
      </c>
      <c r="BK25" s="62">
        <f>BJ24*КоэффСохранения</f>
        <v/>
      </c>
      <c r="BL25" s="62">
        <f>BK24*КоэффСохранения</f>
        <v/>
      </c>
      <c r="BM25" s="62">
        <f>BL24*КоэффСохранения</f>
        <v/>
      </c>
      <c r="BN25" s="62">
        <f>BM24*КоэффСохранения</f>
        <v/>
      </c>
      <c r="BO25" s="62">
        <f>BN24*КоэффСохранения</f>
        <v/>
      </c>
      <c r="BP25" s="62">
        <f>BO24*КоэффСохранения</f>
        <v/>
      </c>
      <c r="BQ25" s="62">
        <f>BP24*КоэффСохранения</f>
        <v/>
      </c>
      <c r="BR25" s="62">
        <f>BQ24*КоэффСохранения</f>
        <v/>
      </c>
      <c r="BS25" s="62">
        <f>BR24*КоэффСохранения</f>
        <v/>
      </c>
      <c r="BT25" s="62">
        <f>BS24*КоэффСохранения</f>
        <v/>
      </c>
      <c r="BU25" s="62">
        <f>BT24*КоэффСохранения</f>
        <v/>
      </c>
      <c r="BV25" s="62">
        <f>BU24*КоэффСохранения</f>
        <v/>
      </c>
      <c r="BW25" s="62">
        <f>BV24*КоэффСохранения</f>
        <v/>
      </c>
      <c r="BX25" s="62">
        <f>BW24*КоэффСохранения</f>
        <v/>
      </c>
      <c r="BY25" s="62">
        <f>BX24*КоэффСохранения</f>
        <v/>
      </c>
    </row>
    <row r="26" ht="15.75" customHeight="1" s="194">
      <c r="B26" s="56" t="inlineStr">
        <is>
          <t>4 мес.</t>
        </is>
      </c>
      <c r="C26" s="56" t="inlineStr">
        <is>
          <t>шт.</t>
        </is>
      </c>
      <c r="D26" s="57" t="inlineStr">
        <is>
          <t>Внутренняя механика расчёта: годового итога у этой строки нет, смотрите итоговые строки блока ниже.</t>
        </is>
      </c>
      <c r="E26" s="58" t="n"/>
      <c r="F26" s="58" t="n"/>
      <c r="G26" s="58" t="n"/>
      <c r="H26" s="58" t="n"/>
      <c r="I26" s="58" t="n"/>
      <c r="L26" s="62">
        <f>0</f>
        <v/>
      </c>
      <c r="M26" s="62">
        <f>L25*КоэффСохранения</f>
        <v/>
      </c>
      <c r="N26" s="62">
        <f>M25*КоэффСохранения</f>
        <v/>
      </c>
      <c r="O26" s="62">
        <f>N25*КоэффСохранения</f>
        <v/>
      </c>
      <c r="P26" s="62">
        <f>O25*КоэффСохранения</f>
        <v/>
      </c>
      <c r="Q26" s="62">
        <f>P25*КоэффСохранения</f>
        <v/>
      </c>
      <c r="R26" s="62">
        <f>Q25*КоэффСохранения</f>
        <v/>
      </c>
      <c r="S26" s="62">
        <f>R25*КоэффСохранения</f>
        <v/>
      </c>
      <c r="T26" s="62">
        <f>S25*КоэффСохранения</f>
        <v/>
      </c>
      <c r="U26" s="62">
        <f>T25*КоэффСохранения</f>
        <v/>
      </c>
      <c r="V26" s="62">
        <f>U25*КоэффСохранения</f>
        <v/>
      </c>
      <c r="W26" s="62">
        <f>V25*КоэффСохранения</f>
        <v/>
      </c>
      <c r="X26" s="62">
        <f>W25*КоэффСохранения</f>
        <v/>
      </c>
      <c r="Y26" s="62">
        <f>X25*КоэффСохранения</f>
        <v/>
      </c>
      <c r="Z26" s="62">
        <f>Y25*КоэффСохранения</f>
        <v/>
      </c>
      <c r="AA26" s="62">
        <f>Z25*КоэффСохранения</f>
        <v/>
      </c>
      <c r="AB26" s="62">
        <f>AA25*КоэффСохранения</f>
        <v/>
      </c>
      <c r="AC26" s="62">
        <f>AB25*КоэффСохранения</f>
        <v/>
      </c>
      <c r="AD26" s="62">
        <f>AC25*КоэффСохранения</f>
        <v/>
      </c>
      <c r="AE26" s="62">
        <f>AD25*КоэффСохранения</f>
        <v/>
      </c>
      <c r="AF26" s="62">
        <f>AE25*КоэффСохранения</f>
        <v/>
      </c>
      <c r="AG26" s="62">
        <f>AF25*КоэффСохранения</f>
        <v/>
      </c>
      <c r="AH26" s="62">
        <f>AG25*КоэффСохранения</f>
        <v/>
      </c>
      <c r="AI26" s="62">
        <f>AH25*КоэффСохранения</f>
        <v/>
      </c>
      <c r="AJ26" s="62">
        <f>AI25*КоэффСохранения</f>
        <v/>
      </c>
      <c r="AK26" s="62">
        <f>AJ25*КоэффСохранения</f>
        <v/>
      </c>
      <c r="AL26" s="62">
        <f>AK25*КоэффСохранения</f>
        <v/>
      </c>
      <c r="AM26" s="62">
        <f>AL25*КоэффСохранения</f>
        <v/>
      </c>
      <c r="AN26" s="62">
        <f>AM25*КоэффСохранения</f>
        <v/>
      </c>
      <c r="AO26" s="62">
        <f>AN25*КоэффСохранения</f>
        <v/>
      </c>
      <c r="AP26" s="62">
        <f>AO25*КоэффСохранения</f>
        <v/>
      </c>
      <c r="AQ26" s="62">
        <f>AP25*КоэффСохранения</f>
        <v/>
      </c>
      <c r="AR26" s="62">
        <f>AQ25*КоэффСохранения</f>
        <v/>
      </c>
      <c r="AS26" s="62">
        <f>AR25*КоэффСохранения</f>
        <v/>
      </c>
      <c r="AT26" s="62">
        <f>AS25*КоэффСохранения</f>
        <v/>
      </c>
      <c r="AU26" s="62">
        <f>AT25*КоэффСохранения</f>
        <v/>
      </c>
      <c r="AV26" s="62">
        <f>AU25*КоэффСохранения</f>
        <v/>
      </c>
      <c r="AW26" s="62">
        <f>AV25*КоэффСохранения</f>
        <v/>
      </c>
      <c r="AX26" s="62">
        <f>AW25*КоэффСохранения</f>
        <v/>
      </c>
      <c r="AY26" s="62">
        <f>AX25*КоэффСохранения</f>
        <v/>
      </c>
      <c r="AZ26" s="62">
        <f>AY25*КоэффСохранения</f>
        <v/>
      </c>
      <c r="BA26" s="62">
        <f>AZ25*КоэффСохранения</f>
        <v/>
      </c>
      <c r="BB26" s="62">
        <f>BA25*КоэффСохранения</f>
        <v/>
      </c>
      <c r="BC26" s="62">
        <f>BB25*КоэффСохранения</f>
        <v/>
      </c>
      <c r="BD26" s="62">
        <f>BC25*КоэффСохранения</f>
        <v/>
      </c>
      <c r="BE26" s="62">
        <f>BD25*КоэффСохранения</f>
        <v/>
      </c>
      <c r="BF26" s="62">
        <f>BE25*КоэффСохранения</f>
        <v/>
      </c>
      <c r="BG26" s="62">
        <f>BF25*КоэффСохранения</f>
        <v/>
      </c>
      <c r="BH26" s="62">
        <f>BG25*КоэффСохранения</f>
        <v/>
      </c>
      <c r="BI26" s="62">
        <f>BH25*КоэффСохранения</f>
        <v/>
      </c>
      <c r="BJ26" s="62">
        <f>BI25*КоэффСохранения</f>
        <v/>
      </c>
      <c r="BK26" s="62">
        <f>BJ25*КоэффСохранения</f>
        <v/>
      </c>
      <c r="BL26" s="62">
        <f>BK25*КоэффСохранения</f>
        <v/>
      </c>
      <c r="BM26" s="62">
        <f>BL25*КоэффСохранения</f>
        <v/>
      </c>
      <c r="BN26" s="62">
        <f>BM25*КоэффСохранения</f>
        <v/>
      </c>
      <c r="BO26" s="62">
        <f>BN25*КоэффСохранения</f>
        <v/>
      </c>
      <c r="BP26" s="62">
        <f>BO25*КоэффСохранения</f>
        <v/>
      </c>
      <c r="BQ26" s="62">
        <f>BP25*КоэффСохранения</f>
        <v/>
      </c>
      <c r="BR26" s="62">
        <f>BQ25*КоэффСохранения</f>
        <v/>
      </c>
      <c r="BS26" s="62">
        <f>BR25*КоэффСохранения</f>
        <v/>
      </c>
      <c r="BT26" s="62">
        <f>BS25*КоэффСохранения</f>
        <v/>
      </c>
      <c r="BU26" s="62">
        <f>BT25*КоэффСохранения</f>
        <v/>
      </c>
      <c r="BV26" s="62">
        <f>BU25*КоэффСохранения</f>
        <v/>
      </c>
      <c r="BW26" s="62">
        <f>BV25*КоэффСохранения</f>
        <v/>
      </c>
      <c r="BX26" s="62">
        <f>BW25*КоэффСохранения</f>
        <v/>
      </c>
      <c r="BY26" s="62">
        <f>BX25*КоэффСохранения</f>
        <v/>
      </c>
    </row>
    <row r="27" ht="15.75" customHeight="1" s="194">
      <c r="B27" s="56" t="inlineStr">
        <is>
          <t>5 мес.</t>
        </is>
      </c>
      <c r="C27" s="56" t="inlineStr">
        <is>
          <t>шт.</t>
        </is>
      </c>
      <c r="D27" s="57" t="inlineStr">
        <is>
          <t>Внутренняя механика расчёта: годового итога у этой строки нет, смотрите итоговые строки блока ниже.</t>
        </is>
      </c>
      <c r="E27" s="58" t="n"/>
      <c r="F27" s="58" t="n"/>
      <c r="G27" s="58" t="n"/>
      <c r="H27" s="58" t="n"/>
      <c r="I27" s="58" t="n"/>
      <c r="L27" s="62">
        <f>0</f>
        <v/>
      </c>
      <c r="M27" s="62">
        <f>L26*КоэффСохранения</f>
        <v/>
      </c>
      <c r="N27" s="62">
        <f>M26*КоэффСохранения</f>
        <v/>
      </c>
      <c r="O27" s="62">
        <f>N26*КоэффСохранения</f>
        <v/>
      </c>
      <c r="P27" s="62">
        <f>O26*КоэффСохранения</f>
        <v/>
      </c>
      <c r="Q27" s="62">
        <f>P26*КоэффСохранения</f>
        <v/>
      </c>
      <c r="R27" s="62">
        <f>Q26*КоэффСохранения</f>
        <v/>
      </c>
      <c r="S27" s="62">
        <f>R26*КоэффСохранения</f>
        <v/>
      </c>
      <c r="T27" s="62">
        <f>S26*КоэффСохранения</f>
        <v/>
      </c>
      <c r="U27" s="62">
        <f>T26*КоэффСохранения</f>
        <v/>
      </c>
      <c r="V27" s="62">
        <f>U26*КоэффСохранения</f>
        <v/>
      </c>
      <c r="W27" s="62">
        <f>V26*КоэффСохранения</f>
        <v/>
      </c>
      <c r="X27" s="62">
        <f>W26*КоэффСохранения</f>
        <v/>
      </c>
      <c r="Y27" s="62">
        <f>X26*КоэффСохранения</f>
        <v/>
      </c>
      <c r="Z27" s="62">
        <f>Y26*КоэффСохранения</f>
        <v/>
      </c>
      <c r="AA27" s="62">
        <f>Z26*КоэффСохранения</f>
        <v/>
      </c>
      <c r="AB27" s="62">
        <f>AA26*КоэффСохранения</f>
        <v/>
      </c>
      <c r="AC27" s="62">
        <f>AB26*КоэффСохранения</f>
        <v/>
      </c>
      <c r="AD27" s="62">
        <f>AC26*КоэффСохранения</f>
        <v/>
      </c>
      <c r="AE27" s="62">
        <f>AD26*КоэффСохранения</f>
        <v/>
      </c>
      <c r="AF27" s="62">
        <f>AE26*КоэффСохранения</f>
        <v/>
      </c>
      <c r="AG27" s="62">
        <f>AF26*КоэффСохранения</f>
        <v/>
      </c>
      <c r="AH27" s="62">
        <f>AG26*КоэффСохранения</f>
        <v/>
      </c>
      <c r="AI27" s="62">
        <f>AH26*КоэффСохранения</f>
        <v/>
      </c>
      <c r="AJ27" s="62">
        <f>AI26*КоэффСохранения</f>
        <v/>
      </c>
      <c r="AK27" s="62">
        <f>AJ26*КоэффСохранения</f>
        <v/>
      </c>
      <c r="AL27" s="62">
        <f>AK26*КоэффСохранения</f>
        <v/>
      </c>
      <c r="AM27" s="62">
        <f>AL26*КоэффСохранения</f>
        <v/>
      </c>
      <c r="AN27" s="62">
        <f>AM26*КоэффСохранения</f>
        <v/>
      </c>
      <c r="AO27" s="62">
        <f>AN26*КоэффСохранения</f>
        <v/>
      </c>
      <c r="AP27" s="62">
        <f>AO26*КоэффСохранения</f>
        <v/>
      </c>
      <c r="AQ27" s="62">
        <f>AP26*КоэффСохранения</f>
        <v/>
      </c>
      <c r="AR27" s="62">
        <f>AQ26*КоэффСохранения</f>
        <v/>
      </c>
      <c r="AS27" s="62">
        <f>AR26*КоэффСохранения</f>
        <v/>
      </c>
      <c r="AT27" s="62">
        <f>AS26*КоэффСохранения</f>
        <v/>
      </c>
      <c r="AU27" s="62">
        <f>AT26*КоэффСохранения</f>
        <v/>
      </c>
      <c r="AV27" s="62">
        <f>AU26*КоэффСохранения</f>
        <v/>
      </c>
      <c r="AW27" s="62">
        <f>AV26*КоэффСохранения</f>
        <v/>
      </c>
      <c r="AX27" s="62">
        <f>AW26*КоэффСохранения</f>
        <v/>
      </c>
      <c r="AY27" s="62">
        <f>AX26*КоэффСохранения</f>
        <v/>
      </c>
      <c r="AZ27" s="62">
        <f>AY26*КоэффСохранения</f>
        <v/>
      </c>
      <c r="BA27" s="62">
        <f>AZ26*КоэффСохранения</f>
        <v/>
      </c>
      <c r="BB27" s="62">
        <f>BA26*КоэффСохранения</f>
        <v/>
      </c>
      <c r="BC27" s="62">
        <f>BB26*КоэффСохранения</f>
        <v/>
      </c>
      <c r="BD27" s="62">
        <f>BC26*КоэффСохранения</f>
        <v/>
      </c>
      <c r="BE27" s="62">
        <f>BD26*КоэффСохранения</f>
        <v/>
      </c>
      <c r="BF27" s="62">
        <f>BE26*КоэффСохранения</f>
        <v/>
      </c>
      <c r="BG27" s="62">
        <f>BF26*КоэффСохранения</f>
        <v/>
      </c>
      <c r="BH27" s="62">
        <f>BG26*КоэффСохранения</f>
        <v/>
      </c>
      <c r="BI27" s="62">
        <f>BH26*КоэффСохранения</f>
        <v/>
      </c>
      <c r="BJ27" s="62">
        <f>BI26*КоэффСохранения</f>
        <v/>
      </c>
      <c r="BK27" s="62">
        <f>BJ26*КоэффСохранения</f>
        <v/>
      </c>
      <c r="BL27" s="62">
        <f>BK26*КоэффСохранения</f>
        <v/>
      </c>
      <c r="BM27" s="62">
        <f>BL26*КоэффСохранения</f>
        <v/>
      </c>
      <c r="BN27" s="62">
        <f>BM26*КоэффСохранения</f>
        <v/>
      </c>
      <c r="BO27" s="62">
        <f>BN26*КоэффСохранения</f>
        <v/>
      </c>
      <c r="BP27" s="62">
        <f>BO26*КоэффСохранения</f>
        <v/>
      </c>
      <c r="BQ27" s="62">
        <f>BP26*КоэффСохранения</f>
        <v/>
      </c>
      <c r="BR27" s="62">
        <f>BQ26*КоэффСохранения</f>
        <v/>
      </c>
      <c r="BS27" s="62">
        <f>BR26*КоэффСохранения</f>
        <v/>
      </c>
      <c r="BT27" s="62">
        <f>BS26*КоэффСохранения</f>
        <v/>
      </c>
      <c r="BU27" s="62">
        <f>BT26*КоэффСохранения</f>
        <v/>
      </c>
      <c r="BV27" s="62">
        <f>BU26*КоэффСохранения</f>
        <v/>
      </c>
      <c r="BW27" s="62">
        <f>BV26*КоэффСохранения</f>
        <v/>
      </c>
      <c r="BX27" s="62">
        <f>BW26*КоэффСохранения</f>
        <v/>
      </c>
      <c r="BY27" s="62">
        <f>BX26*КоэффСохранения</f>
        <v/>
      </c>
    </row>
    <row r="28" ht="15.75" customHeight="1" s="194">
      <c r="B28" s="56" t="inlineStr">
        <is>
          <t>6 мес.</t>
        </is>
      </c>
      <c r="C28" s="56" t="inlineStr">
        <is>
          <t>шт.</t>
        </is>
      </c>
      <c r="D28" s="57" t="inlineStr">
        <is>
          <t>Внутренняя механика расчёта: годового итога у этой строки нет, смотрите итоговые строки блока ниже.</t>
        </is>
      </c>
      <c r="E28" s="58" t="n"/>
      <c r="F28" s="58" t="n"/>
      <c r="G28" s="58" t="n"/>
      <c r="H28" s="58" t="n"/>
      <c r="I28" s="58" t="n"/>
      <c r="L28" s="62">
        <f>0</f>
        <v/>
      </c>
      <c r="M28" s="62">
        <f>L27*КоэффСохранения</f>
        <v/>
      </c>
      <c r="N28" s="62">
        <f>M27*КоэффСохранения</f>
        <v/>
      </c>
      <c r="O28" s="62">
        <f>N27*КоэффСохранения</f>
        <v/>
      </c>
      <c r="P28" s="62">
        <f>O27*КоэффСохранения</f>
        <v/>
      </c>
      <c r="Q28" s="62">
        <f>P27*КоэффСохранения</f>
        <v/>
      </c>
      <c r="R28" s="62">
        <f>Q27*КоэффСохранения</f>
        <v/>
      </c>
      <c r="S28" s="62">
        <f>R27*КоэффСохранения</f>
        <v/>
      </c>
      <c r="T28" s="62">
        <f>S27*КоэффСохранения</f>
        <v/>
      </c>
      <c r="U28" s="62">
        <f>T27*КоэффСохранения</f>
        <v/>
      </c>
      <c r="V28" s="62">
        <f>U27*КоэффСохранения</f>
        <v/>
      </c>
      <c r="W28" s="62">
        <f>V27*КоэффСохранения</f>
        <v/>
      </c>
      <c r="X28" s="62">
        <f>W27*КоэффСохранения</f>
        <v/>
      </c>
      <c r="Y28" s="62">
        <f>X27*КоэффСохранения</f>
        <v/>
      </c>
      <c r="Z28" s="62">
        <f>Y27*КоэффСохранения</f>
        <v/>
      </c>
      <c r="AA28" s="62">
        <f>Z27*КоэффСохранения</f>
        <v/>
      </c>
      <c r="AB28" s="62">
        <f>AA27*КоэффСохранения</f>
        <v/>
      </c>
      <c r="AC28" s="62">
        <f>AB27*КоэффСохранения</f>
        <v/>
      </c>
      <c r="AD28" s="62">
        <f>AC27*КоэффСохранения</f>
        <v/>
      </c>
      <c r="AE28" s="62">
        <f>AD27*КоэффСохранения</f>
        <v/>
      </c>
      <c r="AF28" s="62">
        <f>AE27*КоэффСохранения</f>
        <v/>
      </c>
      <c r="AG28" s="62">
        <f>AF27*КоэффСохранения</f>
        <v/>
      </c>
      <c r="AH28" s="62">
        <f>AG27*КоэффСохранения</f>
        <v/>
      </c>
      <c r="AI28" s="62">
        <f>AH27*КоэффСохранения</f>
        <v/>
      </c>
      <c r="AJ28" s="62">
        <f>AI27*КоэффСохранения</f>
        <v/>
      </c>
      <c r="AK28" s="62">
        <f>AJ27*КоэффСохранения</f>
        <v/>
      </c>
      <c r="AL28" s="62">
        <f>AK27*КоэффСохранения</f>
        <v/>
      </c>
      <c r="AM28" s="62">
        <f>AL27*КоэффСохранения</f>
        <v/>
      </c>
      <c r="AN28" s="62">
        <f>AM27*КоэффСохранения</f>
        <v/>
      </c>
      <c r="AO28" s="62">
        <f>AN27*КоэффСохранения</f>
        <v/>
      </c>
      <c r="AP28" s="62">
        <f>AO27*КоэффСохранения</f>
        <v/>
      </c>
      <c r="AQ28" s="62">
        <f>AP27*КоэффСохранения</f>
        <v/>
      </c>
      <c r="AR28" s="62">
        <f>AQ27*КоэффСохранения</f>
        <v/>
      </c>
      <c r="AS28" s="62">
        <f>AR27*КоэффСохранения</f>
        <v/>
      </c>
      <c r="AT28" s="62">
        <f>AS27*КоэффСохранения</f>
        <v/>
      </c>
      <c r="AU28" s="62">
        <f>AT27*КоэффСохранения</f>
        <v/>
      </c>
      <c r="AV28" s="62">
        <f>AU27*КоэффСохранения</f>
        <v/>
      </c>
      <c r="AW28" s="62">
        <f>AV27*КоэффСохранения</f>
        <v/>
      </c>
      <c r="AX28" s="62">
        <f>AW27*КоэффСохранения</f>
        <v/>
      </c>
      <c r="AY28" s="62">
        <f>AX27*КоэффСохранения</f>
        <v/>
      </c>
      <c r="AZ28" s="62">
        <f>AY27*КоэффСохранения</f>
        <v/>
      </c>
      <c r="BA28" s="62">
        <f>AZ27*КоэффСохранения</f>
        <v/>
      </c>
      <c r="BB28" s="62">
        <f>BA27*КоэффСохранения</f>
        <v/>
      </c>
      <c r="BC28" s="62">
        <f>BB27*КоэффСохранения</f>
        <v/>
      </c>
      <c r="BD28" s="62">
        <f>BC27*КоэффСохранения</f>
        <v/>
      </c>
      <c r="BE28" s="62">
        <f>BD27*КоэффСохранения</f>
        <v/>
      </c>
      <c r="BF28" s="62">
        <f>BE27*КоэффСохранения</f>
        <v/>
      </c>
      <c r="BG28" s="62">
        <f>BF27*КоэффСохранения</f>
        <v/>
      </c>
      <c r="BH28" s="62">
        <f>BG27*КоэффСохранения</f>
        <v/>
      </c>
      <c r="BI28" s="62">
        <f>BH27*КоэффСохранения</f>
        <v/>
      </c>
      <c r="BJ28" s="62">
        <f>BI27*КоэффСохранения</f>
        <v/>
      </c>
      <c r="BK28" s="62">
        <f>BJ27*КоэффСохранения</f>
        <v/>
      </c>
      <c r="BL28" s="62">
        <f>BK27*КоэффСохранения</f>
        <v/>
      </c>
      <c r="BM28" s="62">
        <f>BL27*КоэффСохранения</f>
        <v/>
      </c>
      <c r="BN28" s="62">
        <f>BM27*КоэффСохранения</f>
        <v/>
      </c>
      <c r="BO28" s="62">
        <f>BN27*КоэффСохранения</f>
        <v/>
      </c>
      <c r="BP28" s="62">
        <f>BO27*КоэффСохранения</f>
        <v/>
      </c>
      <c r="BQ28" s="62">
        <f>BP27*КоэффСохранения</f>
        <v/>
      </c>
      <c r="BR28" s="62">
        <f>BQ27*КоэффСохранения</f>
        <v/>
      </c>
      <c r="BS28" s="62">
        <f>BR27*КоэффСохранения</f>
        <v/>
      </c>
      <c r="BT28" s="62">
        <f>BS27*КоэффСохранения</f>
        <v/>
      </c>
      <c r="BU28" s="62">
        <f>BT27*КоэффСохранения</f>
        <v/>
      </c>
      <c r="BV28" s="62">
        <f>BU27*КоэффСохранения</f>
        <v/>
      </c>
      <c r="BW28" s="62">
        <f>BV27*КоэффСохранения</f>
        <v/>
      </c>
      <c r="BX28" s="62">
        <f>BW27*КоэффСохранения</f>
        <v/>
      </c>
      <c r="BY28" s="62">
        <f>BX27*КоэффСохранения</f>
        <v/>
      </c>
    </row>
    <row r="29" ht="15.75" customHeight="1" s="194">
      <c r="B29" s="56" t="inlineStr">
        <is>
          <t>7 мес.</t>
        </is>
      </c>
      <c r="C29" s="56" t="inlineStr">
        <is>
          <t>шт.</t>
        </is>
      </c>
      <c r="D29" s="57" t="inlineStr">
        <is>
          <t>Внутренняя механика расчёта: годового итога у этой строки нет, смотрите итоговые строки блока ниже.</t>
        </is>
      </c>
      <c r="E29" s="58" t="n"/>
      <c r="F29" s="58" t="n"/>
      <c r="G29" s="58" t="n"/>
      <c r="H29" s="58" t="n"/>
      <c r="I29" s="58" t="n"/>
      <c r="L29" s="62">
        <f>0</f>
        <v/>
      </c>
      <c r="M29" s="62">
        <f>L28*КоэффСохранения</f>
        <v/>
      </c>
      <c r="N29" s="62">
        <f>M28*КоэффСохранения</f>
        <v/>
      </c>
      <c r="O29" s="62">
        <f>N28*КоэффСохранения</f>
        <v/>
      </c>
      <c r="P29" s="62">
        <f>O28*КоэффСохранения</f>
        <v/>
      </c>
      <c r="Q29" s="62">
        <f>P28*КоэффСохранения</f>
        <v/>
      </c>
      <c r="R29" s="62">
        <f>Q28*КоэффСохранения</f>
        <v/>
      </c>
      <c r="S29" s="62">
        <f>R28*КоэффСохранения</f>
        <v/>
      </c>
      <c r="T29" s="62">
        <f>S28*КоэффСохранения</f>
        <v/>
      </c>
      <c r="U29" s="62">
        <f>T28*КоэффСохранения</f>
        <v/>
      </c>
      <c r="V29" s="62">
        <f>U28*КоэффСохранения</f>
        <v/>
      </c>
      <c r="W29" s="62">
        <f>V28*КоэффСохранения</f>
        <v/>
      </c>
      <c r="X29" s="62">
        <f>W28*КоэффСохранения</f>
        <v/>
      </c>
      <c r="Y29" s="62">
        <f>X28*КоэффСохранения</f>
        <v/>
      </c>
      <c r="Z29" s="62">
        <f>Y28*КоэффСохранения</f>
        <v/>
      </c>
      <c r="AA29" s="62">
        <f>Z28*КоэффСохранения</f>
        <v/>
      </c>
      <c r="AB29" s="62">
        <f>AA28*КоэффСохранения</f>
        <v/>
      </c>
      <c r="AC29" s="62">
        <f>AB28*КоэффСохранения</f>
        <v/>
      </c>
      <c r="AD29" s="62">
        <f>AC28*КоэффСохранения</f>
        <v/>
      </c>
      <c r="AE29" s="62">
        <f>AD28*КоэффСохранения</f>
        <v/>
      </c>
      <c r="AF29" s="62">
        <f>AE28*КоэффСохранения</f>
        <v/>
      </c>
      <c r="AG29" s="62">
        <f>AF28*КоэффСохранения</f>
        <v/>
      </c>
      <c r="AH29" s="62">
        <f>AG28*КоэффСохранения</f>
        <v/>
      </c>
      <c r="AI29" s="62">
        <f>AH28*КоэффСохранения</f>
        <v/>
      </c>
      <c r="AJ29" s="62">
        <f>AI28*КоэффСохранения</f>
        <v/>
      </c>
      <c r="AK29" s="62">
        <f>AJ28*КоэффСохранения</f>
        <v/>
      </c>
      <c r="AL29" s="62">
        <f>AK28*КоэффСохранения</f>
        <v/>
      </c>
      <c r="AM29" s="62">
        <f>AL28*КоэффСохранения</f>
        <v/>
      </c>
      <c r="AN29" s="62">
        <f>AM28*КоэффСохранения</f>
        <v/>
      </c>
      <c r="AO29" s="62">
        <f>AN28*КоэффСохранения</f>
        <v/>
      </c>
      <c r="AP29" s="62">
        <f>AO28*КоэффСохранения</f>
        <v/>
      </c>
      <c r="AQ29" s="62">
        <f>AP28*КоэффСохранения</f>
        <v/>
      </c>
      <c r="AR29" s="62">
        <f>AQ28*КоэффСохранения</f>
        <v/>
      </c>
      <c r="AS29" s="62">
        <f>AR28*КоэффСохранения</f>
        <v/>
      </c>
      <c r="AT29" s="62">
        <f>AS28*КоэффСохранения</f>
        <v/>
      </c>
      <c r="AU29" s="62">
        <f>AT28*КоэффСохранения</f>
        <v/>
      </c>
      <c r="AV29" s="62">
        <f>AU28*КоэффСохранения</f>
        <v/>
      </c>
      <c r="AW29" s="62">
        <f>AV28*КоэффСохранения</f>
        <v/>
      </c>
      <c r="AX29" s="62">
        <f>AW28*КоэффСохранения</f>
        <v/>
      </c>
      <c r="AY29" s="62">
        <f>AX28*КоэффСохранения</f>
        <v/>
      </c>
      <c r="AZ29" s="62">
        <f>AY28*КоэффСохранения</f>
        <v/>
      </c>
      <c r="BA29" s="62">
        <f>AZ28*КоэффСохранения</f>
        <v/>
      </c>
      <c r="BB29" s="62">
        <f>BA28*КоэффСохранения</f>
        <v/>
      </c>
      <c r="BC29" s="62">
        <f>BB28*КоэффСохранения</f>
        <v/>
      </c>
      <c r="BD29" s="62">
        <f>BC28*КоэффСохранения</f>
        <v/>
      </c>
      <c r="BE29" s="62">
        <f>BD28*КоэффСохранения</f>
        <v/>
      </c>
      <c r="BF29" s="62">
        <f>BE28*КоэффСохранения</f>
        <v/>
      </c>
      <c r="BG29" s="62">
        <f>BF28*КоэффСохранения</f>
        <v/>
      </c>
      <c r="BH29" s="62">
        <f>BG28*КоэффСохранения</f>
        <v/>
      </c>
      <c r="BI29" s="62">
        <f>BH28*КоэффСохранения</f>
        <v/>
      </c>
      <c r="BJ29" s="62">
        <f>BI28*КоэффСохранения</f>
        <v/>
      </c>
      <c r="BK29" s="62">
        <f>BJ28*КоэффСохранения</f>
        <v/>
      </c>
      <c r="BL29" s="62">
        <f>BK28*КоэффСохранения</f>
        <v/>
      </c>
      <c r="BM29" s="62">
        <f>BL28*КоэффСохранения</f>
        <v/>
      </c>
      <c r="BN29" s="62">
        <f>BM28*КоэффСохранения</f>
        <v/>
      </c>
      <c r="BO29" s="62">
        <f>BN28*КоэффСохранения</f>
        <v/>
      </c>
      <c r="BP29" s="62">
        <f>BO28*КоэффСохранения</f>
        <v/>
      </c>
      <c r="BQ29" s="62">
        <f>BP28*КоэффСохранения</f>
        <v/>
      </c>
      <c r="BR29" s="62">
        <f>BQ28*КоэффСохранения</f>
        <v/>
      </c>
      <c r="BS29" s="62">
        <f>BR28*КоэффСохранения</f>
        <v/>
      </c>
      <c r="BT29" s="62">
        <f>BS28*КоэффСохранения</f>
        <v/>
      </c>
      <c r="BU29" s="62">
        <f>BT28*КоэффСохранения</f>
        <v/>
      </c>
      <c r="BV29" s="62">
        <f>BU28*КоэффСохранения</f>
        <v/>
      </c>
      <c r="BW29" s="62">
        <f>BV28*КоэффСохранения</f>
        <v/>
      </c>
      <c r="BX29" s="62">
        <f>BW28*КоэффСохранения</f>
        <v/>
      </c>
      <c r="BY29" s="62">
        <f>BX28*КоэффСохранения</f>
        <v/>
      </c>
    </row>
    <row r="30" ht="15.75" customHeight="1" s="194">
      <c r="B30" s="56" t="inlineStr">
        <is>
          <t>8 мес.</t>
        </is>
      </c>
      <c r="C30" s="56" t="inlineStr">
        <is>
          <t>шт.</t>
        </is>
      </c>
      <c r="D30" s="57" t="inlineStr">
        <is>
          <t>Внутренняя механика расчёта: годового итога у этой строки нет, смотрите итоговые строки блока ниже.</t>
        </is>
      </c>
      <c r="E30" s="58" t="n"/>
      <c r="F30" s="58" t="n"/>
      <c r="G30" s="58" t="n"/>
      <c r="H30" s="58" t="n"/>
      <c r="I30" s="58" t="n"/>
      <c r="L30" s="62">
        <f>0</f>
        <v/>
      </c>
      <c r="M30" s="62">
        <f>L29*КоэффСохранения</f>
        <v/>
      </c>
      <c r="N30" s="62">
        <f>M29*КоэффСохранения</f>
        <v/>
      </c>
      <c r="O30" s="62">
        <f>N29*КоэффСохранения</f>
        <v/>
      </c>
      <c r="P30" s="62">
        <f>O29*КоэффСохранения</f>
        <v/>
      </c>
      <c r="Q30" s="62">
        <f>P29*КоэффСохранения</f>
        <v/>
      </c>
      <c r="R30" s="62">
        <f>Q29*КоэффСохранения</f>
        <v/>
      </c>
      <c r="S30" s="62">
        <f>R29*КоэффСохранения</f>
        <v/>
      </c>
      <c r="T30" s="62">
        <f>S29*КоэффСохранения</f>
        <v/>
      </c>
      <c r="U30" s="62">
        <f>T29*КоэффСохранения</f>
        <v/>
      </c>
      <c r="V30" s="62">
        <f>U29*КоэффСохранения</f>
        <v/>
      </c>
      <c r="W30" s="62">
        <f>V29*КоэффСохранения</f>
        <v/>
      </c>
      <c r="X30" s="62">
        <f>W29*КоэффСохранения</f>
        <v/>
      </c>
      <c r="Y30" s="62">
        <f>X29*КоэффСохранения</f>
        <v/>
      </c>
      <c r="Z30" s="62">
        <f>Y29*КоэффСохранения</f>
        <v/>
      </c>
      <c r="AA30" s="62">
        <f>Z29*КоэффСохранения</f>
        <v/>
      </c>
      <c r="AB30" s="62">
        <f>AA29*КоэффСохранения</f>
        <v/>
      </c>
      <c r="AC30" s="62">
        <f>AB29*КоэффСохранения</f>
        <v/>
      </c>
      <c r="AD30" s="62">
        <f>AC29*КоэффСохранения</f>
        <v/>
      </c>
      <c r="AE30" s="62">
        <f>AD29*КоэффСохранения</f>
        <v/>
      </c>
      <c r="AF30" s="62">
        <f>AE29*КоэффСохранения</f>
        <v/>
      </c>
      <c r="AG30" s="62">
        <f>AF29*КоэффСохранения</f>
        <v/>
      </c>
      <c r="AH30" s="62">
        <f>AG29*КоэффСохранения</f>
        <v/>
      </c>
      <c r="AI30" s="62">
        <f>AH29*КоэффСохранения</f>
        <v/>
      </c>
      <c r="AJ30" s="62">
        <f>AI29*КоэффСохранения</f>
        <v/>
      </c>
      <c r="AK30" s="62">
        <f>AJ29*КоэффСохранения</f>
        <v/>
      </c>
      <c r="AL30" s="62">
        <f>AK29*КоэффСохранения</f>
        <v/>
      </c>
      <c r="AM30" s="62">
        <f>AL29*КоэффСохранения</f>
        <v/>
      </c>
      <c r="AN30" s="62">
        <f>AM29*КоэффСохранения</f>
        <v/>
      </c>
      <c r="AO30" s="62">
        <f>AN29*КоэффСохранения</f>
        <v/>
      </c>
      <c r="AP30" s="62">
        <f>AO29*КоэффСохранения</f>
        <v/>
      </c>
      <c r="AQ30" s="62">
        <f>AP29*КоэффСохранения</f>
        <v/>
      </c>
      <c r="AR30" s="62">
        <f>AQ29*КоэффСохранения</f>
        <v/>
      </c>
      <c r="AS30" s="62">
        <f>AR29*КоэффСохранения</f>
        <v/>
      </c>
      <c r="AT30" s="62">
        <f>AS29*КоэффСохранения</f>
        <v/>
      </c>
      <c r="AU30" s="62">
        <f>AT29*КоэффСохранения</f>
        <v/>
      </c>
      <c r="AV30" s="62">
        <f>AU29*КоэффСохранения</f>
        <v/>
      </c>
      <c r="AW30" s="62">
        <f>AV29*КоэффСохранения</f>
        <v/>
      </c>
      <c r="AX30" s="62">
        <f>AW29*КоэффСохранения</f>
        <v/>
      </c>
      <c r="AY30" s="62">
        <f>AX29*КоэффСохранения</f>
        <v/>
      </c>
      <c r="AZ30" s="62">
        <f>AY29*КоэффСохранения</f>
        <v/>
      </c>
      <c r="BA30" s="62">
        <f>AZ29*КоэффСохранения</f>
        <v/>
      </c>
      <c r="BB30" s="62">
        <f>BA29*КоэффСохранения</f>
        <v/>
      </c>
      <c r="BC30" s="62">
        <f>BB29*КоэффСохранения</f>
        <v/>
      </c>
      <c r="BD30" s="62">
        <f>BC29*КоэффСохранения</f>
        <v/>
      </c>
      <c r="BE30" s="62">
        <f>BD29*КоэффСохранения</f>
        <v/>
      </c>
      <c r="BF30" s="62">
        <f>BE29*КоэффСохранения</f>
        <v/>
      </c>
      <c r="BG30" s="62">
        <f>BF29*КоэффСохранения</f>
        <v/>
      </c>
      <c r="BH30" s="62">
        <f>BG29*КоэффСохранения</f>
        <v/>
      </c>
      <c r="BI30" s="62">
        <f>BH29*КоэффСохранения</f>
        <v/>
      </c>
      <c r="BJ30" s="62">
        <f>BI29*КоэффСохранения</f>
        <v/>
      </c>
      <c r="BK30" s="62">
        <f>BJ29*КоэффСохранения</f>
        <v/>
      </c>
      <c r="BL30" s="62">
        <f>BK29*КоэффСохранения</f>
        <v/>
      </c>
      <c r="BM30" s="62">
        <f>BL29*КоэффСохранения</f>
        <v/>
      </c>
      <c r="BN30" s="62">
        <f>BM29*КоэффСохранения</f>
        <v/>
      </c>
      <c r="BO30" s="62">
        <f>BN29*КоэффСохранения</f>
        <v/>
      </c>
      <c r="BP30" s="62">
        <f>BO29*КоэффСохранения</f>
        <v/>
      </c>
      <c r="BQ30" s="62">
        <f>BP29*КоэффСохранения</f>
        <v/>
      </c>
      <c r="BR30" s="62">
        <f>BQ29*КоэффСохранения</f>
        <v/>
      </c>
      <c r="BS30" s="62">
        <f>BR29*КоэффСохранения</f>
        <v/>
      </c>
      <c r="BT30" s="62">
        <f>BS29*КоэффСохранения</f>
        <v/>
      </c>
      <c r="BU30" s="62">
        <f>BT29*КоэффСохранения</f>
        <v/>
      </c>
      <c r="BV30" s="62">
        <f>BU29*КоэффСохранения</f>
        <v/>
      </c>
      <c r="BW30" s="62">
        <f>BV29*КоэффСохранения</f>
        <v/>
      </c>
      <c r="BX30" s="62">
        <f>BW29*КоэффСохранения</f>
        <v/>
      </c>
      <c r="BY30" s="62">
        <f>BX29*КоэффСохранения</f>
        <v/>
      </c>
    </row>
    <row r="31" ht="15.75" customHeight="1" s="194">
      <c r="B31" s="56" t="inlineStr">
        <is>
          <t>9 мес.</t>
        </is>
      </c>
      <c r="C31" s="56" t="inlineStr">
        <is>
          <t>шт.</t>
        </is>
      </c>
      <c r="D31" s="57" t="inlineStr">
        <is>
          <t>Внутренняя механика расчёта: годового итога у этой строки нет, смотрите итоговые строки блока ниже.</t>
        </is>
      </c>
      <c r="E31" s="58" t="n"/>
      <c r="F31" s="58" t="n"/>
      <c r="G31" s="58" t="n"/>
      <c r="H31" s="58" t="n"/>
      <c r="I31" s="58" t="n"/>
      <c r="L31" s="62">
        <f>0</f>
        <v/>
      </c>
      <c r="M31" s="62">
        <f>L30*КоэффСохранения</f>
        <v/>
      </c>
      <c r="N31" s="62">
        <f>M30*КоэффСохранения</f>
        <v/>
      </c>
      <c r="O31" s="62">
        <f>N30*КоэффСохранения</f>
        <v/>
      </c>
      <c r="P31" s="62">
        <f>O30*КоэффСохранения</f>
        <v/>
      </c>
      <c r="Q31" s="62">
        <f>P30*КоэффСохранения</f>
        <v/>
      </c>
      <c r="R31" s="62">
        <f>Q30*КоэффСохранения</f>
        <v/>
      </c>
      <c r="S31" s="62">
        <f>R30*КоэффСохранения</f>
        <v/>
      </c>
      <c r="T31" s="62">
        <f>S30*КоэффСохранения</f>
        <v/>
      </c>
      <c r="U31" s="62">
        <f>T30*КоэффСохранения</f>
        <v/>
      </c>
      <c r="V31" s="62">
        <f>U30*КоэффСохранения</f>
        <v/>
      </c>
      <c r="W31" s="62">
        <f>V30*КоэффСохранения</f>
        <v/>
      </c>
      <c r="X31" s="62">
        <f>W30*КоэффСохранения</f>
        <v/>
      </c>
      <c r="Y31" s="62">
        <f>X30*КоэффСохранения</f>
        <v/>
      </c>
      <c r="Z31" s="62">
        <f>Y30*КоэффСохранения</f>
        <v/>
      </c>
      <c r="AA31" s="62">
        <f>Z30*КоэффСохранения</f>
        <v/>
      </c>
      <c r="AB31" s="62">
        <f>AA30*КоэффСохранения</f>
        <v/>
      </c>
      <c r="AC31" s="62">
        <f>AB30*КоэффСохранения</f>
        <v/>
      </c>
      <c r="AD31" s="62">
        <f>AC30*КоэффСохранения</f>
        <v/>
      </c>
      <c r="AE31" s="62">
        <f>AD30*КоэффСохранения</f>
        <v/>
      </c>
      <c r="AF31" s="62">
        <f>AE30*КоэффСохранения</f>
        <v/>
      </c>
      <c r="AG31" s="62">
        <f>AF30*КоэффСохранения</f>
        <v/>
      </c>
      <c r="AH31" s="62">
        <f>AG30*КоэффСохранения</f>
        <v/>
      </c>
      <c r="AI31" s="62">
        <f>AH30*КоэффСохранения</f>
        <v/>
      </c>
      <c r="AJ31" s="62">
        <f>AI30*КоэффСохранения</f>
        <v/>
      </c>
      <c r="AK31" s="62">
        <f>AJ30*КоэффСохранения</f>
        <v/>
      </c>
      <c r="AL31" s="62">
        <f>AK30*КоэффСохранения</f>
        <v/>
      </c>
      <c r="AM31" s="62">
        <f>AL30*КоэффСохранения</f>
        <v/>
      </c>
      <c r="AN31" s="62">
        <f>AM30*КоэффСохранения</f>
        <v/>
      </c>
      <c r="AO31" s="62">
        <f>AN30*КоэффСохранения</f>
        <v/>
      </c>
      <c r="AP31" s="62">
        <f>AO30*КоэффСохранения</f>
        <v/>
      </c>
      <c r="AQ31" s="62">
        <f>AP30*КоэффСохранения</f>
        <v/>
      </c>
      <c r="AR31" s="62">
        <f>AQ30*КоэффСохранения</f>
        <v/>
      </c>
      <c r="AS31" s="62">
        <f>AR30*КоэффСохранения</f>
        <v/>
      </c>
      <c r="AT31" s="62">
        <f>AS30*КоэффСохранения</f>
        <v/>
      </c>
      <c r="AU31" s="62">
        <f>AT30*КоэффСохранения</f>
        <v/>
      </c>
      <c r="AV31" s="62">
        <f>AU30*КоэффСохранения</f>
        <v/>
      </c>
      <c r="AW31" s="62">
        <f>AV30*КоэффСохранения</f>
        <v/>
      </c>
      <c r="AX31" s="62">
        <f>AW30*КоэффСохранения</f>
        <v/>
      </c>
      <c r="AY31" s="62">
        <f>AX30*КоэффСохранения</f>
        <v/>
      </c>
      <c r="AZ31" s="62">
        <f>AY30*КоэффСохранения</f>
        <v/>
      </c>
      <c r="BA31" s="62">
        <f>AZ30*КоэффСохранения</f>
        <v/>
      </c>
      <c r="BB31" s="62">
        <f>BA30*КоэффСохранения</f>
        <v/>
      </c>
      <c r="BC31" s="62">
        <f>BB30*КоэффСохранения</f>
        <v/>
      </c>
      <c r="BD31" s="62">
        <f>BC30*КоэффСохранения</f>
        <v/>
      </c>
      <c r="BE31" s="62">
        <f>BD30*КоэффСохранения</f>
        <v/>
      </c>
      <c r="BF31" s="62">
        <f>BE30*КоэффСохранения</f>
        <v/>
      </c>
      <c r="BG31" s="62">
        <f>BF30*КоэффСохранения</f>
        <v/>
      </c>
      <c r="BH31" s="62">
        <f>BG30*КоэффСохранения</f>
        <v/>
      </c>
      <c r="BI31" s="62">
        <f>BH30*КоэффСохранения</f>
        <v/>
      </c>
      <c r="BJ31" s="62">
        <f>BI30*КоэффСохранения</f>
        <v/>
      </c>
      <c r="BK31" s="62">
        <f>BJ30*КоэффСохранения</f>
        <v/>
      </c>
      <c r="BL31" s="62">
        <f>BK30*КоэффСохранения</f>
        <v/>
      </c>
      <c r="BM31" s="62">
        <f>BL30*КоэффСохранения</f>
        <v/>
      </c>
      <c r="BN31" s="62">
        <f>BM30*КоэффСохранения</f>
        <v/>
      </c>
      <c r="BO31" s="62">
        <f>BN30*КоэффСохранения</f>
        <v/>
      </c>
      <c r="BP31" s="62">
        <f>BO30*КоэффСохранения</f>
        <v/>
      </c>
      <c r="BQ31" s="62">
        <f>BP30*КоэффСохранения</f>
        <v/>
      </c>
      <c r="BR31" s="62">
        <f>BQ30*КоэффСохранения</f>
        <v/>
      </c>
      <c r="BS31" s="62">
        <f>BR30*КоэффСохранения</f>
        <v/>
      </c>
      <c r="BT31" s="62">
        <f>BS30*КоэффСохранения</f>
        <v/>
      </c>
      <c r="BU31" s="62">
        <f>BT30*КоэффСохранения</f>
        <v/>
      </c>
      <c r="BV31" s="62">
        <f>BU30*КоэффСохранения</f>
        <v/>
      </c>
      <c r="BW31" s="62">
        <f>BV30*КоэффСохранения</f>
        <v/>
      </c>
      <c r="BX31" s="62">
        <f>BW30*КоэффСохранения</f>
        <v/>
      </c>
      <c r="BY31" s="62">
        <f>BX30*КоэффСохранения</f>
        <v/>
      </c>
    </row>
    <row r="32" ht="15.75" customHeight="1" s="194">
      <c r="B32" s="56" t="inlineStr">
        <is>
          <t>10 мес.</t>
        </is>
      </c>
      <c r="C32" s="56" t="inlineStr">
        <is>
          <t>шт.</t>
        </is>
      </c>
      <c r="D32" s="57" t="inlineStr">
        <is>
          <t>Внутренняя механика расчёта: годового итога у этой строки нет, смотрите итоговые строки блока ниже.</t>
        </is>
      </c>
      <c r="E32" s="58" t="n"/>
      <c r="F32" s="58" t="n"/>
      <c r="G32" s="58" t="n"/>
      <c r="H32" s="58" t="n"/>
      <c r="I32" s="58" t="n"/>
      <c r="L32" s="62">
        <f>0</f>
        <v/>
      </c>
      <c r="M32" s="62">
        <f>L31*КоэффСохранения</f>
        <v/>
      </c>
      <c r="N32" s="62">
        <f>M31*КоэффСохранения</f>
        <v/>
      </c>
      <c r="O32" s="62">
        <f>N31*КоэффСохранения</f>
        <v/>
      </c>
      <c r="P32" s="62">
        <f>O31*КоэффСохранения</f>
        <v/>
      </c>
      <c r="Q32" s="62">
        <f>P31*КоэффСохранения</f>
        <v/>
      </c>
      <c r="R32" s="62">
        <f>Q31*КоэффСохранения</f>
        <v/>
      </c>
      <c r="S32" s="62">
        <f>R31*КоэффСохранения</f>
        <v/>
      </c>
      <c r="T32" s="62">
        <f>S31*КоэффСохранения</f>
        <v/>
      </c>
      <c r="U32" s="62">
        <f>T31*КоэффСохранения</f>
        <v/>
      </c>
      <c r="V32" s="62">
        <f>U31*КоэффСохранения</f>
        <v/>
      </c>
      <c r="W32" s="62">
        <f>V31*КоэффСохранения</f>
        <v/>
      </c>
      <c r="X32" s="62">
        <f>W31*КоэффСохранения</f>
        <v/>
      </c>
      <c r="Y32" s="62">
        <f>X31*КоэффСохранения</f>
        <v/>
      </c>
      <c r="Z32" s="62">
        <f>Y31*КоэффСохранения</f>
        <v/>
      </c>
      <c r="AA32" s="62">
        <f>Z31*КоэффСохранения</f>
        <v/>
      </c>
      <c r="AB32" s="62">
        <f>AA31*КоэффСохранения</f>
        <v/>
      </c>
      <c r="AC32" s="62">
        <f>AB31*КоэффСохранения</f>
        <v/>
      </c>
      <c r="AD32" s="62">
        <f>AC31*КоэффСохранения</f>
        <v/>
      </c>
      <c r="AE32" s="62">
        <f>AD31*КоэффСохранения</f>
        <v/>
      </c>
      <c r="AF32" s="62">
        <f>AE31*КоэффСохранения</f>
        <v/>
      </c>
      <c r="AG32" s="62">
        <f>AF31*КоэффСохранения</f>
        <v/>
      </c>
      <c r="AH32" s="62">
        <f>AG31*КоэффСохранения</f>
        <v/>
      </c>
      <c r="AI32" s="62">
        <f>AH31*КоэффСохранения</f>
        <v/>
      </c>
      <c r="AJ32" s="62">
        <f>AI31*КоэффСохранения</f>
        <v/>
      </c>
      <c r="AK32" s="62">
        <f>AJ31*КоэффСохранения</f>
        <v/>
      </c>
      <c r="AL32" s="62">
        <f>AK31*КоэффСохранения</f>
        <v/>
      </c>
      <c r="AM32" s="62">
        <f>AL31*КоэффСохранения</f>
        <v/>
      </c>
      <c r="AN32" s="62">
        <f>AM31*КоэффСохранения</f>
        <v/>
      </c>
      <c r="AO32" s="62">
        <f>AN31*КоэффСохранения</f>
        <v/>
      </c>
      <c r="AP32" s="62">
        <f>AO31*КоэффСохранения</f>
        <v/>
      </c>
      <c r="AQ32" s="62">
        <f>AP31*КоэффСохранения</f>
        <v/>
      </c>
      <c r="AR32" s="62">
        <f>AQ31*КоэффСохранения</f>
        <v/>
      </c>
      <c r="AS32" s="62">
        <f>AR31*КоэффСохранения</f>
        <v/>
      </c>
      <c r="AT32" s="62">
        <f>AS31*КоэффСохранения</f>
        <v/>
      </c>
      <c r="AU32" s="62">
        <f>AT31*КоэффСохранения</f>
        <v/>
      </c>
      <c r="AV32" s="62">
        <f>AU31*КоэффСохранения</f>
        <v/>
      </c>
      <c r="AW32" s="62">
        <f>AV31*КоэффСохранения</f>
        <v/>
      </c>
      <c r="AX32" s="62">
        <f>AW31*КоэффСохранения</f>
        <v/>
      </c>
      <c r="AY32" s="62">
        <f>AX31*КоэффСохранения</f>
        <v/>
      </c>
      <c r="AZ32" s="62">
        <f>AY31*КоэффСохранения</f>
        <v/>
      </c>
      <c r="BA32" s="62">
        <f>AZ31*КоэффСохранения</f>
        <v/>
      </c>
      <c r="BB32" s="62">
        <f>BA31*КоэффСохранения</f>
        <v/>
      </c>
      <c r="BC32" s="62">
        <f>BB31*КоэффСохранения</f>
        <v/>
      </c>
      <c r="BD32" s="62">
        <f>BC31*КоэффСохранения</f>
        <v/>
      </c>
      <c r="BE32" s="62">
        <f>BD31*КоэффСохранения</f>
        <v/>
      </c>
      <c r="BF32" s="62">
        <f>BE31*КоэффСохранения</f>
        <v/>
      </c>
      <c r="BG32" s="62">
        <f>BF31*КоэффСохранения</f>
        <v/>
      </c>
      <c r="BH32" s="62">
        <f>BG31*КоэффСохранения</f>
        <v/>
      </c>
      <c r="BI32" s="62">
        <f>BH31*КоэффСохранения</f>
        <v/>
      </c>
      <c r="BJ32" s="62">
        <f>BI31*КоэффСохранения</f>
        <v/>
      </c>
      <c r="BK32" s="62">
        <f>BJ31*КоэффСохранения</f>
        <v/>
      </c>
      <c r="BL32" s="62">
        <f>BK31*КоэффСохранения</f>
        <v/>
      </c>
      <c r="BM32" s="62">
        <f>BL31*КоэффСохранения</f>
        <v/>
      </c>
      <c r="BN32" s="62">
        <f>BM31*КоэффСохранения</f>
        <v/>
      </c>
      <c r="BO32" s="62">
        <f>BN31*КоэффСохранения</f>
        <v/>
      </c>
      <c r="BP32" s="62">
        <f>BO31*КоэффСохранения</f>
        <v/>
      </c>
      <c r="BQ32" s="62">
        <f>BP31*КоэффСохранения</f>
        <v/>
      </c>
      <c r="BR32" s="62">
        <f>BQ31*КоэффСохранения</f>
        <v/>
      </c>
      <c r="BS32" s="62">
        <f>BR31*КоэффСохранения</f>
        <v/>
      </c>
      <c r="BT32" s="62">
        <f>BS31*КоэффСохранения</f>
        <v/>
      </c>
      <c r="BU32" s="62">
        <f>BT31*КоэффСохранения</f>
        <v/>
      </c>
      <c r="BV32" s="62">
        <f>BU31*КоэффСохранения</f>
        <v/>
      </c>
      <c r="BW32" s="62">
        <f>BV31*КоэффСохранения</f>
        <v/>
      </c>
      <c r="BX32" s="62">
        <f>BW31*КоэффСохранения</f>
        <v/>
      </c>
      <c r="BY32" s="62">
        <f>BX31*КоэффСохранения</f>
        <v/>
      </c>
    </row>
    <row r="33" ht="15.75" customHeight="1" s="194">
      <c r="B33" s="56" t="inlineStr">
        <is>
          <t>11 мес.</t>
        </is>
      </c>
      <c r="C33" s="56" t="inlineStr">
        <is>
          <t>шт.</t>
        </is>
      </c>
      <c r="D33" s="57" t="inlineStr">
        <is>
          <t>Внутренняя механика расчёта: годового итога у этой строки нет, смотрите итоговые строки блока ниже.</t>
        </is>
      </c>
      <c r="E33" s="58" t="n"/>
      <c r="F33" s="58" t="n"/>
      <c r="G33" s="58" t="n"/>
      <c r="H33" s="58" t="n"/>
      <c r="I33" s="58" t="n"/>
      <c r="L33" s="62">
        <f>0</f>
        <v/>
      </c>
      <c r="M33" s="62">
        <f>L32*КоэффСохранения</f>
        <v/>
      </c>
      <c r="N33" s="62">
        <f>M32*КоэффСохранения</f>
        <v/>
      </c>
      <c r="O33" s="62">
        <f>N32*КоэффСохранения</f>
        <v/>
      </c>
      <c r="P33" s="62">
        <f>O32*КоэффСохранения</f>
        <v/>
      </c>
      <c r="Q33" s="62">
        <f>P32*КоэффСохранения</f>
        <v/>
      </c>
      <c r="R33" s="62">
        <f>Q32*КоэффСохранения</f>
        <v/>
      </c>
      <c r="S33" s="62">
        <f>R32*КоэффСохранения</f>
        <v/>
      </c>
      <c r="T33" s="62">
        <f>S32*КоэффСохранения</f>
        <v/>
      </c>
      <c r="U33" s="62">
        <f>T32*КоэффСохранения</f>
        <v/>
      </c>
      <c r="V33" s="62">
        <f>U32*КоэффСохранения</f>
        <v/>
      </c>
      <c r="W33" s="62">
        <f>V32*КоэффСохранения</f>
        <v/>
      </c>
      <c r="X33" s="62">
        <f>W32*КоэффСохранения</f>
        <v/>
      </c>
      <c r="Y33" s="62">
        <f>X32*КоэффСохранения</f>
        <v/>
      </c>
      <c r="Z33" s="62">
        <f>Y32*КоэффСохранения</f>
        <v/>
      </c>
      <c r="AA33" s="62">
        <f>Z32*КоэффСохранения</f>
        <v/>
      </c>
      <c r="AB33" s="62">
        <f>AA32*КоэффСохранения</f>
        <v/>
      </c>
      <c r="AC33" s="62">
        <f>AB32*КоэффСохранения</f>
        <v/>
      </c>
      <c r="AD33" s="62">
        <f>AC32*КоэффСохранения</f>
        <v/>
      </c>
      <c r="AE33" s="62">
        <f>AD32*КоэффСохранения</f>
        <v/>
      </c>
      <c r="AF33" s="62">
        <f>AE32*КоэффСохранения</f>
        <v/>
      </c>
      <c r="AG33" s="62">
        <f>AF32*КоэффСохранения</f>
        <v/>
      </c>
      <c r="AH33" s="62">
        <f>AG32*КоэффСохранения</f>
        <v/>
      </c>
      <c r="AI33" s="62">
        <f>AH32*КоэффСохранения</f>
        <v/>
      </c>
      <c r="AJ33" s="62">
        <f>AI32*КоэффСохранения</f>
        <v/>
      </c>
      <c r="AK33" s="62">
        <f>AJ32*КоэффСохранения</f>
        <v/>
      </c>
      <c r="AL33" s="62">
        <f>AK32*КоэффСохранения</f>
        <v/>
      </c>
      <c r="AM33" s="62">
        <f>AL32*КоэффСохранения</f>
        <v/>
      </c>
      <c r="AN33" s="62">
        <f>AM32*КоэффСохранения</f>
        <v/>
      </c>
      <c r="AO33" s="62">
        <f>AN32*КоэффСохранения</f>
        <v/>
      </c>
      <c r="AP33" s="62">
        <f>AO32*КоэффСохранения</f>
        <v/>
      </c>
      <c r="AQ33" s="62">
        <f>AP32*КоэффСохранения</f>
        <v/>
      </c>
      <c r="AR33" s="62">
        <f>AQ32*КоэффСохранения</f>
        <v/>
      </c>
      <c r="AS33" s="62">
        <f>AR32*КоэффСохранения</f>
        <v/>
      </c>
      <c r="AT33" s="62">
        <f>AS32*КоэффСохранения</f>
        <v/>
      </c>
      <c r="AU33" s="62">
        <f>AT32*КоэффСохранения</f>
        <v/>
      </c>
      <c r="AV33" s="62">
        <f>AU32*КоэффСохранения</f>
        <v/>
      </c>
      <c r="AW33" s="62">
        <f>AV32*КоэффСохранения</f>
        <v/>
      </c>
      <c r="AX33" s="62">
        <f>AW32*КоэффСохранения</f>
        <v/>
      </c>
      <c r="AY33" s="62">
        <f>AX32*КоэффСохранения</f>
        <v/>
      </c>
      <c r="AZ33" s="62">
        <f>AY32*КоэффСохранения</f>
        <v/>
      </c>
      <c r="BA33" s="62">
        <f>AZ32*КоэффСохранения</f>
        <v/>
      </c>
      <c r="BB33" s="62">
        <f>BA32*КоэффСохранения</f>
        <v/>
      </c>
      <c r="BC33" s="62">
        <f>BB32*КоэффСохранения</f>
        <v/>
      </c>
      <c r="BD33" s="62">
        <f>BC32*КоэффСохранения</f>
        <v/>
      </c>
      <c r="BE33" s="62">
        <f>BD32*КоэффСохранения</f>
        <v/>
      </c>
      <c r="BF33" s="62">
        <f>BE32*КоэффСохранения</f>
        <v/>
      </c>
      <c r="BG33" s="62">
        <f>BF32*КоэффСохранения</f>
        <v/>
      </c>
      <c r="BH33" s="62">
        <f>BG32*КоэффСохранения</f>
        <v/>
      </c>
      <c r="BI33" s="62">
        <f>BH32*КоэффСохранения</f>
        <v/>
      </c>
      <c r="BJ33" s="62">
        <f>BI32*КоэффСохранения</f>
        <v/>
      </c>
      <c r="BK33" s="62">
        <f>BJ32*КоэффСохранения</f>
        <v/>
      </c>
      <c r="BL33" s="62">
        <f>BK32*КоэффСохранения</f>
        <v/>
      </c>
      <c r="BM33" s="62">
        <f>BL32*КоэффСохранения</f>
        <v/>
      </c>
      <c r="BN33" s="62">
        <f>BM32*КоэффСохранения</f>
        <v/>
      </c>
      <c r="BO33" s="62">
        <f>BN32*КоэффСохранения</f>
        <v/>
      </c>
      <c r="BP33" s="62">
        <f>BO32*КоэффСохранения</f>
        <v/>
      </c>
      <c r="BQ33" s="62">
        <f>BP32*КоэффСохранения</f>
        <v/>
      </c>
      <c r="BR33" s="62">
        <f>BQ32*КоэффСохранения</f>
        <v/>
      </c>
      <c r="BS33" s="62">
        <f>BR32*КоэффСохранения</f>
        <v/>
      </c>
      <c r="BT33" s="62">
        <f>BS32*КоэффСохранения</f>
        <v/>
      </c>
      <c r="BU33" s="62">
        <f>BT32*КоэффСохранения</f>
        <v/>
      </c>
      <c r="BV33" s="62">
        <f>BU32*КоэффСохранения</f>
        <v/>
      </c>
      <c r="BW33" s="62">
        <f>BV32*КоэффСохранения</f>
        <v/>
      </c>
      <c r="BX33" s="62">
        <f>BW32*КоэффСохранения</f>
        <v/>
      </c>
      <c r="BY33" s="62">
        <f>BX32*КоэффСохранения</f>
        <v/>
      </c>
    </row>
    <row r="34" ht="15.75" customHeight="1" s="194">
      <c r="B34" s="56" t="inlineStr">
        <is>
          <t>12 мес.</t>
        </is>
      </c>
      <c r="C34" s="56" t="inlineStr">
        <is>
          <t>шт.</t>
        </is>
      </c>
      <c r="D34" s="57" t="inlineStr">
        <is>
          <t>Внутренняя механика расчёта: годового итога у этой строки нет, смотрите итоговые строки блока ниже.</t>
        </is>
      </c>
      <c r="E34" s="58" t="n"/>
      <c r="F34" s="58" t="n"/>
      <c r="G34" s="58" t="n"/>
      <c r="H34" s="58" t="n"/>
      <c r="I34" s="58" t="n"/>
      <c r="L34" s="62">
        <f>0</f>
        <v/>
      </c>
      <c r="M34" s="62">
        <f>L33*КоэффСохранения</f>
        <v/>
      </c>
      <c r="N34" s="62">
        <f>M33*КоэффСохранения</f>
        <v/>
      </c>
      <c r="O34" s="62">
        <f>N33*КоэффСохранения</f>
        <v/>
      </c>
      <c r="P34" s="62">
        <f>O33*КоэффСохранения</f>
        <v/>
      </c>
      <c r="Q34" s="62">
        <f>P33*КоэффСохранения</f>
        <v/>
      </c>
      <c r="R34" s="62">
        <f>Q33*КоэффСохранения</f>
        <v/>
      </c>
      <c r="S34" s="62">
        <f>R33*КоэффСохранения</f>
        <v/>
      </c>
      <c r="T34" s="62">
        <f>S33*КоэффСохранения</f>
        <v/>
      </c>
      <c r="U34" s="62">
        <f>T33*КоэффСохранения</f>
        <v/>
      </c>
      <c r="V34" s="62">
        <f>U33*КоэффСохранения</f>
        <v/>
      </c>
      <c r="W34" s="62">
        <f>V33*КоэффСохранения</f>
        <v/>
      </c>
      <c r="X34" s="62">
        <f>W33*КоэффСохранения</f>
        <v/>
      </c>
      <c r="Y34" s="62">
        <f>X33*КоэффСохранения</f>
        <v/>
      </c>
      <c r="Z34" s="62">
        <f>Y33*КоэффСохранения</f>
        <v/>
      </c>
      <c r="AA34" s="62">
        <f>Z33*КоэффСохранения</f>
        <v/>
      </c>
      <c r="AB34" s="62">
        <f>AA33*КоэффСохранения</f>
        <v/>
      </c>
      <c r="AC34" s="62">
        <f>AB33*КоэффСохранения</f>
        <v/>
      </c>
      <c r="AD34" s="62">
        <f>AC33*КоэффСохранения</f>
        <v/>
      </c>
      <c r="AE34" s="62">
        <f>AD33*КоэффСохранения</f>
        <v/>
      </c>
      <c r="AF34" s="62">
        <f>AE33*КоэффСохранения</f>
        <v/>
      </c>
      <c r="AG34" s="62">
        <f>AF33*КоэффСохранения</f>
        <v/>
      </c>
      <c r="AH34" s="62">
        <f>AG33*КоэффСохранения</f>
        <v/>
      </c>
      <c r="AI34" s="62">
        <f>AH33*КоэффСохранения</f>
        <v/>
      </c>
      <c r="AJ34" s="62">
        <f>AI33*КоэффСохранения</f>
        <v/>
      </c>
      <c r="AK34" s="62">
        <f>AJ33*КоэффСохранения</f>
        <v/>
      </c>
      <c r="AL34" s="62">
        <f>AK33*КоэффСохранения</f>
        <v/>
      </c>
      <c r="AM34" s="62">
        <f>AL33*КоэффСохранения</f>
        <v/>
      </c>
      <c r="AN34" s="62">
        <f>AM33*КоэффСохранения</f>
        <v/>
      </c>
      <c r="AO34" s="62">
        <f>AN33*КоэффСохранения</f>
        <v/>
      </c>
      <c r="AP34" s="62">
        <f>AO33*КоэффСохранения</f>
        <v/>
      </c>
      <c r="AQ34" s="62">
        <f>AP33*КоэффСохранения</f>
        <v/>
      </c>
      <c r="AR34" s="62">
        <f>AQ33*КоэффСохранения</f>
        <v/>
      </c>
      <c r="AS34" s="62">
        <f>AR33*КоэффСохранения</f>
        <v/>
      </c>
      <c r="AT34" s="62">
        <f>AS33*КоэффСохранения</f>
        <v/>
      </c>
      <c r="AU34" s="62">
        <f>AT33*КоэффСохранения</f>
        <v/>
      </c>
      <c r="AV34" s="62">
        <f>AU33*КоэффСохранения</f>
        <v/>
      </c>
      <c r="AW34" s="62">
        <f>AV33*КоэффСохранения</f>
        <v/>
      </c>
      <c r="AX34" s="62">
        <f>AW33*КоэффСохранения</f>
        <v/>
      </c>
      <c r="AY34" s="62">
        <f>AX33*КоэффСохранения</f>
        <v/>
      </c>
      <c r="AZ34" s="62">
        <f>AY33*КоэффСохранения</f>
        <v/>
      </c>
      <c r="BA34" s="62">
        <f>AZ33*КоэффСохранения</f>
        <v/>
      </c>
      <c r="BB34" s="62">
        <f>BA33*КоэффСохранения</f>
        <v/>
      </c>
      <c r="BC34" s="62">
        <f>BB33*КоэффСохранения</f>
        <v/>
      </c>
      <c r="BD34" s="62">
        <f>BC33*КоэффСохранения</f>
        <v/>
      </c>
      <c r="BE34" s="62">
        <f>BD33*КоэффСохранения</f>
        <v/>
      </c>
      <c r="BF34" s="62">
        <f>BE33*КоэффСохранения</f>
        <v/>
      </c>
      <c r="BG34" s="62">
        <f>BF33*КоэффСохранения</f>
        <v/>
      </c>
      <c r="BH34" s="62">
        <f>BG33*КоэффСохранения</f>
        <v/>
      </c>
      <c r="BI34" s="62">
        <f>BH33*КоэффСохранения</f>
        <v/>
      </c>
      <c r="BJ34" s="62">
        <f>BI33*КоэффСохранения</f>
        <v/>
      </c>
      <c r="BK34" s="62">
        <f>BJ33*КоэффСохранения</f>
        <v/>
      </c>
      <c r="BL34" s="62">
        <f>BK33*КоэффСохранения</f>
        <v/>
      </c>
      <c r="BM34" s="62">
        <f>BL33*КоэффСохранения</f>
        <v/>
      </c>
      <c r="BN34" s="62">
        <f>BM33*КоэффСохранения</f>
        <v/>
      </c>
      <c r="BO34" s="62">
        <f>BN33*КоэффСохранения</f>
        <v/>
      </c>
      <c r="BP34" s="62">
        <f>BO33*КоэффСохранения</f>
        <v/>
      </c>
      <c r="BQ34" s="62">
        <f>BP33*КоэффСохранения</f>
        <v/>
      </c>
      <c r="BR34" s="62">
        <f>BQ33*КоэффСохранения</f>
        <v/>
      </c>
      <c r="BS34" s="62">
        <f>BR33*КоэффСохранения</f>
        <v/>
      </c>
      <c r="BT34" s="62">
        <f>BS33*КоэффСохранения</f>
        <v/>
      </c>
      <c r="BU34" s="62">
        <f>BT33*КоэффСохранения</f>
        <v/>
      </c>
      <c r="BV34" s="62">
        <f>BU33*КоэффСохранения</f>
        <v/>
      </c>
      <c r="BW34" s="62">
        <f>BV33*КоэффСохранения</f>
        <v/>
      </c>
      <c r="BX34" s="62">
        <f>BW33*КоэффСохранения</f>
        <v/>
      </c>
      <c r="BY34" s="62">
        <f>BX33*КоэффСохранения</f>
        <v/>
      </c>
    </row>
    <row r="35" ht="15.75" customHeight="1" s="194">
      <c r="B35" s="56" t="inlineStr">
        <is>
          <t>13 мес.</t>
        </is>
      </c>
      <c r="C35" s="56" t="inlineStr">
        <is>
          <t>шт.</t>
        </is>
      </c>
      <c r="D35" s="57" t="inlineStr">
        <is>
          <t>Внутренняя механика расчёта: годового итога у этой строки нет, смотрите итоговые строки блока ниже.</t>
        </is>
      </c>
      <c r="E35" s="58" t="n"/>
      <c r="F35" s="58" t="n"/>
      <c r="G35" s="58" t="n"/>
      <c r="H35" s="58" t="n"/>
      <c r="I35" s="58" t="n"/>
      <c r="L35" s="62">
        <f>0</f>
        <v/>
      </c>
      <c r="M35" s="62">
        <f>L34*КоэффСохранения</f>
        <v/>
      </c>
      <c r="N35" s="62">
        <f>M34*КоэффСохранения</f>
        <v/>
      </c>
      <c r="O35" s="62">
        <f>N34*КоэффСохранения</f>
        <v/>
      </c>
      <c r="P35" s="62">
        <f>O34*КоэффСохранения</f>
        <v/>
      </c>
      <c r="Q35" s="62">
        <f>P34*КоэффСохранения</f>
        <v/>
      </c>
      <c r="R35" s="62">
        <f>Q34*КоэффСохранения</f>
        <v/>
      </c>
      <c r="S35" s="62">
        <f>R34*КоэффСохранения</f>
        <v/>
      </c>
      <c r="T35" s="62">
        <f>S34*КоэффСохранения</f>
        <v/>
      </c>
      <c r="U35" s="62">
        <f>T34*КоэффСохранения</f>
        <v/>
      </c>
      <c r="V35" s="62">
        <f>U34*КоэффСохранения</f>
        <v/>
      </c>
      <c r="W35" s="62">
        <f>V34*КоэффСохранения</f>
        <v/>
      </c>
      <c r="X35" s="62">
        <f>W34*КоэффСохранения</f>
        <v/>
      </c>
      <c r="Y35" s="62">
        <f>X34*КоэффСохранения</f>
        <v/>
      </c>
      <c r="Z35" s="62">
        <f>Y34*КоэффСохранения</f>
        <v/>
      </c>
      <c r="AA35" s="62">
        <f>Z34*КоэффСохранения</f>
        <v/>
      </c>
      <c r="AB35" s="62">
        <f>AA34*КоэффСохранения</f>
        <v/>
      </c>
      <c r="AC35" s="62">
        <f>AB34*КоэффСохранения</f>
        <v/>
      </c>
      <c r="AD35" s="62">
        <f>AC34*КоэффСохранения</f>
        <v/>
      </c>
      <c r="AE35" s="62">
        <f>AD34*КоэффСохранения</f>
        <v/>
      </c>
      <c r="AF35" s="62">
        <f>AE34*КоэффСохранения</f>
        <v/>
      </c>
      <c r="AG35" s="62">
        <f>AF34*КоэффСохранения</f>
        <v/>
      </c>
      <c r="AH35" s="62">
        <f>AG34*КоэффСохранения</f>
        <v/>
      </c>
      <c r="AI35" s="62">
        <f>AH34*КоэффСохранения</f>
        <v/>
      </c>
      <c r="AJ35" s="62">
        <f>AI34*КоэффСохранения</f>
        <v/>
      </c>
      <c r="AK35" s="62">
        <f>AJ34*КоэффСохранения</f>
        <v/>
      </c>
      <c r="AL35" s="62">
        <f>AK34*КоэффСохранения</f>
        <v/>
      </c>
      <c r="AM35" s="62">
        <f>AL34*КоэффСохранения</f>
        <v/>
      </c>
      <c r="AN35" s="62">
        <f>AM34*КоэффСохранения</f>
        <v/>
      </c>
      <c r="AO35" s="62">
        <f>AN34*КоэффСохранения</f>
        <v/>
      </c>
      <c r="AP35" s="62">
        <f>AO34*КоэффСохранения</f>
        <v/>
      </c>
      <c r="AQ35" s="62">
        <f>AP34*КоэффСохранения</f>
        <v/>
      </c>
      <c r="AR35" s="62">
        <f>AQ34*КоэффСохранения</f>
        <v/>
      </c>
      <c r="AS35" s="62">
        <f>AR34*КоэффСохранения</f>
        <v/>
      </c>
      <c r="AT35" s="62">
        <f>AS34*КоэффСохранения</f>
        <v/>
      </c>
      <c r="AU35" s="62">
        <f>AT34*КоэффСохранения</f>
        <v/>
      </c>
      <c r="AV35" s="62">
        <f>AU34*КоэффСохранения</f>
        <v/>
      </c>
      <c r="AW35" s="62">
        <f>AV34*КоэффСохранения</f>
        <v/>
      </c>
      <c r="AX35" s="62">
        <f>AW34*КоэффСохранения</f>
        <v/>
      </c>
      <c r="AY35" s="62">
        <f>AX34*КоэффСохранения</f>
        <v/>
      </c>
      <c r="AZ35" s="62">
        <f>AY34*КоэффСохранения</f>
        <v/>
      </c>
      <c r="BA35" s="62">
        <f>AZ34*КоэффСохранения</f>
        <v/>
      </c>
      <c r="BB35" s="62">
        <f>BA34*КоэффСохранения</f>
        <v/>
      </c>
      <c r="BC35" s="62">
        <f>BB34*КоэффСохранения</f>
        <v/>
      </c>
      <c r="BD35" s="62">
        <f>BC34*КоэффСохранения</f>
        <v/>
      </c>
      <c r="BE35" s="62">
        <f>BD34*КоэффСохранения</f>
        <v/>
      </c>
      <c r="BF35" s="62">
        <f>BE34*КоэффСохранения</f>
        <v/>
      </c>
      <c r="BG35" s="62">
        <f>BF34*КоэффСохранения</f>
        <v/>
      </c>
      <c r="BH35" s="62">
        <f>BG34*КоэффСохранения</f>
        <v/>
      </c>
      <c r="BI35" s="62">
        <f>BH34*КоэффСохранения</f>
        <v/>
      </c>
      <c r="BJ35" s="62">
        <f>BI34*КоэффСохранения</f>
        <v/>
      </c>
      <c r="BK35" s="62">
        <f>BJ34*КоэффСохранения</f>
        <v/>
      </c>
      <c r="BL35" s="62">
        <f>BK34*КоэффСохранения</f>
        <v/>
      </c>
      <c r="BM35" s="62">
        <f>BL34*КоэффСохранения</f>
        <v/>
      </c>
      <c r="BN35" s="62">
        <f>BM34*КоэффСохранения</f>
        <v/>
      </c>
      <c r="BO35" s="62">
        <f>BN34*КоэффСохранения</f>
        <v/>
      </c>
      <c r="BP35" s="62">
        <f>BO34*КоэффСохранения</f>
        <v/>
      </c>
      <c r="BQ35" s="62">
        <f>BP34*КоэффСохранения</f>
        <v/>
      </c>
      <c r="BR35" s="62">
        <f>BQ34*КоэффСохранения</f>
        <v/>
      </c>
      <c r="BS35" s="62">
        <f>BR34*КоэффСохранения</f>
        <v/>
      </c>
      <c r="BT35" s="62">
        <f>BS34*КоэффСохранения</f>
        <v/>
      </c>
      <c r="BU35" s="62">
        <f>BT34*КоэффСохранения</f>
        <v/>
      </c>
      <c r="BV35" s="62">
        <f>BU34*КоэффСохранения</f>
        <v/>
      </c>
      <c r="BW35" s="62">
        <f>BV34*КоэффСохранения</f>
        <v/>
      </c>
      <c r="BX35" s="62">
        <f>BW34*КоэффСохранения</f>
        <v/>
      </c>
      <c r="BY35" s="62">
        <f>BX34*КоэффСохранения</f>
        <v/>
      </c>
    </row>
    <row r="36" ht="15.75" customHeight="1" s="194">
      <c r="B36" s="56" t="inlineStr">
        <is>
          <t>14 мес.</t>
        </is>
      </c>
      <c r="C36" s="56" t="inlineStr">
        <is>
          <t>шт.</t>
        </is>
      </c>
      <c r="D36" s="57" t="inlineStr">
        <is>
          <t>Внутренняя механика расчёта: годового итога у этой строки нет, смотрите итоговые строки блока ниже.</t>
        </is>
      </c>
      <c r="E36" s="58" t="n"/>
      <c r="F36" s="58" t="n"/>
      <c r="G36" s="58" t="n"/>
      <c r="H36" s="58" t="n"/>
      <c r="I36" s="58" t="n"/>
      <c r="L36" s="62">
        <f>0</f>
        <v/>
      </c>
      <c r="M36" s="62">
        <f>L35*КоэффСохранения</f>
        <v/>
      </c>
      <c r="N36" s="62">
        <f>M35*КоэффСохранения</f>
        <v/>
      </c>
      <c r="O36" s="62">
        <f>N35*КоэффСохранения</f>
        <v/>
      </c>
      <c r="P36" s="62">
        <f>O35*КоэффСохранения</f>
        <v/>
      </c>
      <c r="Q36" s="62">
        <f>P35*КоэффСохранения</f>
        <v/>
      </c>
      <c r="R36" s="62">
        <f>Q35*КоэффСохранения</f>
        <v/>
      </c>
      <c r="S36" s="62">
        <f>R35*КоэффСохранения</f>
        <v/>
      </c>
      <c r="T36" s="62">
        <f>S35*КоэффСохранения</f>
        <v/>
      </c>
      <c r="U36" s="62">
        <f>T35*КоэффСохранения</f>
        <v/>
      </c>
      <c r="V36" s="62">
        <f>U35*КоэффСохранения</f>
        <v/>
      </c>
      <c r="W36" s="62">
        <f>V35*КоэффСохранения</f>
        <v/>
      </c>
      <c r="X36" s="62">
        <f>W35*КоэффСохранения</f>
        <v/>
      </c>
      <c r="Y36" s="62">
        <f>X35*КоэффСохранения</f>
        <v/>
      </c>
      <c r="Z36" s="62">
        <f>Y35*КоэффСохранения</f>
        <v/>
      </c>
      <c r="AA36" s="62">
        <f>Z35*КоэффСохранения</f>
        <v/>
      </c>
      <c r="AB36" s="62">
        <f>AA35*КоэффСохранения</f>
        <v/>
      </c>
      <c r="AC36" s="62">
        <f>AB35*КоэффСохранения</f>
        <v/>
      </c>
      <c r="AD36" s="62">
        <f>AC35*КоэффСохранения</f>
        <v/>
      </c>
      <c r="AE36" s="62">
        <f>AD35*КоэффСохранения</f>
        <v/>
      </c>
      <c r="AF36" s="62">
        <f>AE35*КоэффСохранения</f>
        <v/>
      </c>
      <c r="AG36" s="62">
        <f>AF35*КоэффСохранения</f>
        <v/>
      </c>
      <c r="AH36" s="62">
        <f>AG35*КоэффСохранения</f>
        <v/>
      </c>
      <c r="AI36" s="62">
        <f>AH35*КоэффСохранения</f>
        <v/>
      </c>
      <c r="AJ36" s="62">
        <f>AI35*КоэффСохранения</f>
        <v/>
      </c>
      <c r="AK36" s="62">
        <f>AJ35*КоэффСохранения</f>
        <v/>
      </c>
      <c r="AL36" s="62">
        <f>AK35*КоэффСохранения</f>
        <v/>
      </c>
      <c r="AM36" s="62">
        <f>AL35*КоэффСохранения</f>
        <v/>
      </c>
      <c r="AN36" s="62">
        <f>AM35*КоэффСохранения</f>
        <v/>
      </c>
      <c r="AO36" s="62">
        <f>AN35*КоэффСохранения</f>
        <v/>
      </c>
      <c r="AP36" s="62">
        <f>AO35*КоэффСохранения</f>
        <v/>
      </c>
      <c r="AQ36" s="62">
        <f>AP35*КоэффСохранения</f>
        <v/>
      </c>
      <c r="AR36" s="62">
        <f>AQ35*КоэффСохранения</f>
        <v/>
      </c>
      <c r="AS36" s="62">
        <f>AR35*КоэффСохранения</f>
        <v/>
      </c>
      <c r="AT36" s="62">
        <f>AS35*КоэффСохранения</f>
        <v/>
      </c>
      <c r="AU36" s="62">
        <f>AT35*КоэффСохранения</f>
        <v/>
      </c>
      <c r="AV36" s="62">
        <f>AU35*КоэффСохранения</f>
        <v/>
      </c>
      <c r="AW36" s="62">
        <f>AV35*КоэффСохранения</f>
        <v/>
      </c>
      <c r="AX36" s="62">
        <f>AW35*КоэффСохранения</f>
        <v/>
      </c>
      <c r="AY36" s="62">
        <f>AX35*КоэффСохранения</f>
        <v/>
      </c>
      <c r="AZ36" s="62">
        <f>AY35*КоэффСохранения</f>
        <v/>
      </c>
      <c r="BA36" s="62">
        <f>AZ35*КоэффСохранения</f>
        <v/>
      </c>
      <c r="BB36" s="62">
        <f>BA35*КоэффСохранения</f>
        <v/>
      </c>
      <c r="BC36" s="62">
        <f>BB35*КоэффСохранения</f>
        <v/>
      </c>
      <c r="BD36" s="62">
        <f>BC35*КоэффСохранения</f>
        <v/>
      </c>
      <c r="BE36" s="62">
        <f>BD35*КоэффСохранения</f>
        <v/>
      </c>
      <c r="BF36" s="62">
        <f>BE35*КоэффСохранения</f>
        <v/>
      </c>
      <c r="BG36" s="62">
        <f>BF35*КоэффСохранения</f>
        <v/>
      </c>
      <c r="BH36" s="62">
        <f>BG35*КоэффСохранения</f>
        <v/>
      </c>
      <c r="BI36" s="62">
        <f>BH35*КоэффСохранения</f>
        <v/>
      </c>
      <c r="BJ36" s="62">
        <f>BI35*КоэффСохранения</f>
        <v/>
      </c>
      <c r="BK36" s="62">
        <f>BJ35*КоэффСохранения</f>
        <v/>
      </c>
      <c r="BL36" s="62">
        <f>BK35*КоэффСохранения</f>
        <v/>
      </c>
      <c r="BM36" s="62">
        <f>BL35*КоэффСохранения</f>
        <v/>
      </c>
      <c r="BN36" s="62">
        <f>BM35*КоэффСохранения</f>
        <v/>
      </c>
      <c r="BO36" s="62">
        <f>BN35*КоэффСохранения</f>
        <v/>
      </c>
      <c r="BP36" s="62">
        <f>BO35*КоэффСохранения</f>
        <v/>
      </c>
      <c r="BQ36" s="62">
        <f>BP35*КоэффСохранения</f>
        <v/>
      </c>
      <c r="BR36" s="62">
        <f>BQ35*КоэффСохранения</f>
        <v/>
      </c>
      <c r="BS36" s="62">
        <f>BR35*КоэффСохранения</f>
        <v/>
      </c>
      <c r="BT36" s="62">
        <f>BS35*КоэффСохранения</f>
        <v/>
      </c>
      <c r="BU36" s="62">
        <f>BT35*КоэффСохранения</f>
        <v/>
      </c>
      <c r="BV36" s="62">
        <f>BU35*КоэффСохранения</f>
        <v/>
      </c>
      <c r="BW36" s="62">
        <f>BV35*КоэффСохранения</f>
        <v/>
      </c>
      <c r="BX36" s="62">
        <f>BW35*КоэффСохранения</f>
        <v/>
      </c>
      <c r="BY36" s="62">
        <f>BX35*КоэффСохранения</f>
        <v/>
      </c>
    </row>
    <row r="37" ht="15.75" customHeight="1" s="194">
      <c r="B37" s="56" t="inlineStr">
        <is>
          <t>15 мес.</t>
        </is>
      </c>
      <c r="C37" s="56" t="inlineStr">
        <is>
          <t>шт.</t>
        </is>
      </c>
      <c r="D37" s="57" t="inlineStr">
        <is>
          <t>Внутренняя механика расчёта: годового итога у этой строки нет, смотрите итоговые строки блока ниже.</t>
        </is>
      </c>
      <c r="E37" s="58" t="n"/>
      <c r="F37" s="58" t="n"/>
      <c r="G37" s="58" t="n"/>
      <c r="H37" s="58" t="n"/>
      <c r="I37" s="58" t="n"/>
      <c r="L37" s="62">
        <f>0</f>
        <v/>
      </c>
      <c r="M37" s="62">
        <f>L36*КоэффСохранения</f>
        <v/>
      </c>
      <c r="N37" s="62">
        <f>M36*КоэффСохранения</f>
        <v/>
      </c>
      <c r="O37" s="62">
        <f>N36*КоэффСохранения</f>
        <v/>
      </c>
      <c r="P37" s="62">
        <f>O36*КоэффСохранения</f>
        <v/>
      </c>
      <c r="Q37" s="62">
        <f>P36*КоэффСохранения</f>
        <v/>
      </c>
      <c r="R37" s="62">
        <f>Q36*КоэффСохранения</f>
        <v/>
      </c>
      <c r="S37" s="62">
        <f>R36*КоэффСохранения</f>
        <v/>
      </c>
      <c r="T37" s="62">
        <f>S36*КоэффСохранения</f>
        <v/>
      </c>
      <c r="U37" s="62">
        <f>T36*КоэффСохранения</f>
        <v/>
      </c>
      <c r="V37" s="62">
        <f>U36*КоэффСохранения</f>
        <v/>
      </c>
      <c r="W37" s="62">
        <f>V36*КоэффСохранения</f>
        <v/>
      </c>
      <c r="X37" s="62">
        <f>W36*КоэффСохранения</f>
        <v/>
      </c>
      <c r="Y37" s="62">
        <f>X36*КоэффСохранения</f>
        <v/>
      </c>
      <c r="Z37" s="62">
        <f>Y36*КоэффСохранения</f>
        <v/>
      </c>
      <c r="AA37" s="62">
        <f>Z36*КоэффСохранения</f>
        <v/>
      </c>
      <c r="AB37" s="62">
        <f>AA36*КоэффСохранения</f>
        <v/>
      </c>
      <c r="AC37" s="62">
        <f>AB36*КоэффСохранения</f>
        <v/>
      </c>
      <c r="AD37" s="62">
        <f>AC36*КоэффСохранения</f>
        <v/>
      </c>
      <c r="AE37" s="62">
        <f>AD36*КоэффСохранения</f>
        <v/>
      </c>
      <c r="AF37" s="62">
        <f>AE36*КоэффСохранения</f>
        <v/>
      </c>
      <c r="AG37" s="62">
        <f>AF36*КоэффСохранения</f>
        <v/>
      </c>
      <c r="AH37" s="62">
        <f>AG36*КоэффСохранения</f>
        <v/>
      </c>
      <c r="AI37" s="62">
        <f>AH36*КоэффСохранения</f>
        <v/>
      </c>
      <c r="AJ37" s="62">
        <f>AI36*КоэффСохранения</f>
        <v/>
      </c>
      <c r="AK37" s="62">
        <f>AJ36*КоэффСохранения</f>
        <v/>
      </c>
      <c r="AL37" s="62">
        <f>AK36*КоэффСохранения</f>
        <v/>
      </c>
      <c r="AM37" s="62">
        <f>AL36*КоэффСохранения</f>
        <v/>
      </c>
      <c r="AN37" s="62">
        <f>AM36*КоэффСохранения</f>
        <v/>
      </c>
      <c r="AO37" s="62">
        <f>AN36*КоэффСохранения</f>
        <v/>
      </c>
      <c r="AP37" s="62">
        <f>AO36*КоэффСохранения</f>
        <v/>
      </c>
      <c r="AQ37" s="62">
        <f>AP36*КоэффСохранения</f>
        <v/>
      </c>
      <c r="AR37" s="62">
        <f>AQ36*КоэффСохранения</f>
        <v/>
      </c>
      <c r="AS37" s="62">
        <f>AR36*КоэффСохранения</f>
        <v/>
      </c>
      <c r="AT37" s="62">
        <f>AS36*КоэффСохранения</f>
        <v/>
      </c>
      <c r="AU37" s="62">
        <f>AT36*КоэффСохранения</f>
        <v/>
      </c>
      <c r="AV37" s="62">
        <f>AU36*КоэффСохранения</f>
        <v/>
      </c>
      <c r="AW37" s="62">
        <f>AV36*КоэффСохранения</f>
        <v/>
      </c>
      <c r="AX37" s="62">
        <f>AW36*КоэффСохранения</f>
        <v/>
      </c>
      <c r="AY37" s="62">
        <f>AX36*КоэффСохранения</f>
        <v/>
      </c>
      <c r="AZ37" s="62">
        <f>AY36*КоэффСохранения</f>
        <v/>
      </c>
      <c r="BA37" s="62">
        <f>AZ36*КоэффСохранения</f>
        <v/>
      </c>
      <c r="BB37" s="62">
        <f>BA36*КоэффСохранения</f>
        <v/>
      </c>
      <c r="BC37" s="62">
        <f>BB36*КоэффСохранения</f>
        <v/>
      </c>
      <c r="BD37" s="62">
        <f>BC36*КоэффСохранения</f>
        <v/>
      </c>
      <c r="BE37" s="62">
        <f>BD36*КоэффСохранения</f>
        <v/>
      </c>
      <c r="BF37" s="62">
        <f>BE36*КоэффСохранения</f>
        <v/>
      </c>
      <c r="BG37" s="62">
        <f>BF36*КоэффСохранения</f>
        <v/>
      </c>
      <c r="BH37" s="62">
        <f>BG36*КоэффСохранения</f>
        <v/>
      </c>
      <c r="BI37" s="62">
        <f>BH36*КоэффСохранения</f>
        <v/>
      </c>
      <c r="BJ37" s="62">
        <f>BI36*КоэффСохранения</f>
        <v/>
      </c>
      <c r="BK37" s="62">
        <f>BJ36*КоэффСохранения</f>
        <v/>
      </c>
      <c r="BL37" s="62">
        <f>BK36*КоэффСохранения</f>
        <v/>
      </c>
      <c r="BM37" s="62">
        <f>BL36*КоэффСохранения</f>
        <v/>
      </c>
      <c r="BN37" s="62">
        <f>BM36*КоэффСохранения</f>
        <v/>
      </c>
      <c r="BO37" s="62">
        <f>BN36*КоэффСохранения</f>
        <v/>
      </c>
      <c r="BP37" s="62">
        <f>BO36*КоэффСохранения</f>
        <v/>
      </c>
      <c r="BQ37" s="62">
        <f>BP36*КоэффСохранения</f>
        <v/>
      </c>
      <c r="BR37" s="62">
        <f>BQ36*КоэффСохранения</f>
        <v/>
      </c>
      <c r="BS37" s="62">
        <f>BR36*КоэффСохранения</f>
        <v/>
      </c>
      <c r="BT37" s="62">
        <f>BS36*КоэффСохранения</f>
        <v/>
      </c>
      <c r="BU37" s="62">
        <f>BT36*КоэффСохранения</f>
        <v/>
      </c>
      <c r="BV37" s="62">
        <f>BU36*КоэффСохранения</f>
        <v/>
      </c>
      <c r="BW37" s="62">
        <f>BV36*КоэффСохранения</f>
        <v/>
      </c>
      <c r="BX37" s="62">
        <f>BW36*КоэффСохранения</f>
        <v/>
      </c>
      <c r="BY37" s="62">
        <f>BX36*КоэффСохранения</f>
        <v/>
      </c>
    </row>
    <row r="38" ht="15.75" customHeight="1" s="194">
      <c r="B38" s="56" t="inlineStr">
        <is>
          <t>16 мес.</t>
        </is>
      </c>
      <c r="C38" s="56" t="inlineStr">
        <is>
          <t>шт.</t>
        </is>
      </c>
      <c r="D38" s="57" t="inlineStr">
        <is>
          <t>Внутренняя механика расчёта: годового итога у этой строки нет, смотрите итоговые строки блока ниже.</t>
        </is>
      </c>
      <c r="E38" s="58" t="n"/>
      <c r="F38" s="58" t="n"/>
      <c r="G38" s="58" t="n"/>
      <c r="H38" s="58" t="n"/>
      <c r="I38" s="58" t="n"/>
      <c r="L38" s="62">
        <f>0</f>
        <v/>
      </c>
      <c r="M38" s="62">
        <f>L37*КоэффСохранения</f>
        <v/>
      </c>
      <c r="N38" s="62">
        <f>M37*КоэффСохранения</f>
        <v/>
      </c>
      <c r="O38" s="62">
        <f>N37*КоэффСохранения</f>
        <v/>
      </c>
      <c r="P38" s="62">
        <f>O37*КоэффСохранения</f>
        <v/>
      </c>
      <c r="Q38" s="62">
        <f>P37*КоэффСохранения</f>
        <v/>
      </c>
      <c r="R38" s="62">
        <f>Q37*КоэффСохранения</f>
        <v/>
      </c>
      <c r="S38" s="62">
        <f>R37*КоэффСохранения</f>
        <v/>
      </c>
      <c r="T38" s="62">
        <f>S37*КоэффСохранения</f>
        <v/>
      </c>
      <c r="U38" s="62">
        <f>T37*КоэффСохранения</f>
        <v/>
      </c>
      <c r="V38" s="62">
        <f>U37*КоэффСохранения</f>
        <v/>
      </c>
      <c r="W38" s="62">
        <f>V37*КоэффСохранения</f>
        <v/>
      </c>
      <c r="X38" s="62">
        <f>W37*КоэффСохранения</f>
        <v/>
      </c>
      <c r="Y38" s="62">
        <f>X37*КоэффСохранения</f>
        <v/>
      </c>
      <c r="Z38" s="62">
        <f>Y37*КоэффСохранения</f>
        <v/>
      </c>
      <c r="AA38" s="62">
        <f>Z37*КоэффСохранения</f>
        <v/>
      </c>
      <c r="AB38" s="62">
        <f>AA37*КоэффСохранения</f>
        <v/>
      </c>
      <c r="AC38" s="62">
        <f>AB37*КоэффСохранения</f>
        <v/>
      </c>
      <c r="AD38" s="62">
        <f>AC37*КоэффСохранения</f>
        <v/>
      </c>
      <c r="AE38" s="62">
        <f>AD37*КоэффСохранения</f>
        <v/>
      </c>
      <c r="AF38" s="62">
        <f>AE37*КоэффСохранения</f>
        <v/>
      </c>
      <c r="AG38" s="62">
        <f>AF37*КоэффСохранения</f>
        <v/>
      </c>
      <c r="AH38" s="62">
        <f>AG37*КоэффСохранения</f>
        <v/>
      </c>
      <c r="AI38" s="62">
        <f>AH37*КоэффСохранения</f>
        <v/>
      </c>
      <c r="AJ38" s="62">
        <f>AI37*КоэффСохранения</f>
        <v/>
      </c>
      <c r="AK38" s="62">
        <f>AJ37*КоэффСохранения</f>
        <v/>
      </c>
      <c r="AL38" s="62">
        <f>AK37*КоэффСохранения</f>
        <v/>
      </c>
      <c r="AM38" s="62">
        <f>AL37*КоэффСохранения</f>
        <v/>
      </c>
      <c r="AN38" s="62">
        <f>AM37*КоэффСохранения</f>
        <v/>
      </c>
      <c r="AO38" s="62">
        <f>AN37*КоэффСохранения</f>
        <v/>
      </c>
      <c r="AP38" s="62">
        <f>AO37*КоэффСохранения</f>
        <v/>
      </c>
      <c r="AQ38" s="62">
        <f>AP37*КоэффСохранения</f>
        <v/>
      </c>
      <c r="AR38" s="62">
        <f>AQ37*КоэффСохранения</f>
        <v/>
      </c>
      <c r="AS38" s="62">
        <f>AR37*КоэффСохранения</f>
        <v/>
      </c>
      <c r="AT38" s="62">
        <f>AS37*КоэффСохранения</f>
        <v/>
      </c>
      <c r="AU38" s="62">
        <f>AT37*КоэффСохранения</f>
        <v/>
      </c>
      <c r="AV38" s="62">
        <f>AU37*КоэффСохранения</f>
        <v/>
      </c>
      <c r="AW38" s="62">
        <f>AV37*КоэффСохранения</f>
        <v/>
      </c>
      <c r="AX38" s="62">
        <f>AW37*КоэффСохранения</f>
        <v/>
      </c>
      <c r="AY38" s="62">
        <f>AX37*КоэффСохранения</f>
        <v/>
      </c>
      <c r="AZ38" s="62">
        <f>AY37*КоэффСохранения</f>
        <v/>
      </c>
      <c r="BA38" s="62">
        <f>AZ37*КоэффСохранения</f>
        <v/>
      </c>
      <c r="BB38" s="62">
        <f>BA37*КоэффСохранения</f>
        <v/>
      </c>
      <c r="BC38" s="62">
        <f>BB37*КоэффСохранения</f>
        <v/>
      </c>
      <c r="BD38" s="62">
        <f>BC37*КоэффСохранения</f>
        <v/>
      </c>
      <c r="BE38" s="62">
        <f>BD37*КоэффСохранения</f>
        <v/>
      </c>
      <c r="BF38" s="62">
        <f>BE37*КоэффСохранения</f>
        <v/>
      </c>
      <c r="BG38" s="62">
        <f>BF37*КоэффСохранения</f>
        <v/>
      </c>
      <c r="BH38" s="62">
        <f>BG37*КоэффСохранения</f>
        <v/>
      </c>
      <c r="BI38" s="62">
        <f>BH37*КоэффСохранения</f>
        <v/>
      </c>
      <c r="BJ38" s="62">
        <f>BI37*КоэффСохранения</f>
        <v/>
      </c>
      <c r="BK38" s="62">
        <f>BJ37*КоэффСохранения</f>
        <v/>
      </c>
      <c r="BL38" s="62">
        <f>BK37*КоэффСохранения</f>
        <v/>
      </c>
      <c r="BM38" s="62">
        <f>BL37*КоэффСохранения</f>
        <v/>
      </c>
      <c r="BN38" s="62">
        <f>BM37*КоэффСохранения</f>
        <v/>
      </c>
      <c r="BO38" s="62">
        <f>BN37*КоэффСохранения</f>
        <v/>
      </c>
      <c r="BP38" s="62">
        <f>BO37*КоэффСохранения</f>
        <v/>
      </c>
      <c r="BQ38" s="62">
        <f>BP37*КоэффСохранения</f>
        <v/>
      </c>
      <c r="BR38" s="62">
        <f>BQ37*КоэффСохранения</f>
        <v/>
      </c>
      <c r="BS38" s="62">
        <f>BR37*КоэффСохранения</f>
        <v/>
      </c>
      <c r="BT38" s="62">
        <f>BS37*КоэффСохранения</f>
        <v/>
      </c>
      <c r="BU38" s="62">
        <f>BT37*КоэффСохранения</f>
        <v/>
      </c>
      <c r="BV38" s="62">
        <f>BU37*КоэффСохранения</f>
        <v/>
      </c>
      <c r="BW38" s="62">
        <f>BV37*КоэффСохранения</f>
        <v/>
      </c>
      <c r="BX38" s="62">
        <f>BW37*КоэффСохранения</f>
        <v/>
      </c>
      <c r="BY38" s="62">
        <f>BX37*КоэффСохранения</f>
        <v/>
      </c>
    </row>
    <row r="39" ht="15.75" customHeight="1" s="194">
      <c r="B39" s="56" t="inlineStr">
        <is>
          <t>17 мес.</t>
        </is>
      </c>
      <c r="C39" s="56" t="inlineStr">
        <is>
          <t>шт.</t>
        </is>
      </c>
      <c r="D39" s="57" t="inlineStr">
        <is>
          <t>Внутренняя механика расчёта: годового итога у этой строки нет, смотрите итоговые строки блока ниже.</t>
        </is>
      </c>
      <c r="E39" s="58" t="n"/>
      <c r="F39" s="58" t="n"/>
      <c r="G39" s="58" t="n"/>
      <c r="H39" s="58" t="n"/>
      <c r="I39" s="58" t="n"/>
      <c r="L39" s="62">
        <f>0</f>
        <v/>
      </c>
      <c r="M39" s="62">
        <f>L38*КоэффСохранения</f>
        <v/>
      </c>
      <c r="N39" s="62">
        <f>M38*КоэффСохранения</f>
        <v/>
      </c>
      <c r="O39" s="62">
        <f>N38*КоэффСохранения</f>
        <v/>
      </c>
      <c r="P39" s="62">
        <f>O38*КоэффСохранения</f>
        <v/>
      </c>
      <c r="Q39" s="62">
        <f>P38*КоэффСохранения</f>
        <v/>
      </c>
      <c r="R39" s="62">
        <f>Q38*КоэффСохранения</f>
        <v/>
      </c>
      <c r="S39" s="62">
        <f>R38*КоэффСохранения</f>
        <v/>
      </c>
      <c r="T39" s="62">
        <f>S38*КоэффСохранения</f>
        <v/>
      </c>
      <c r="U39" s="62">
        <f>T38*КоэффСохранения</f>
        <v/>
      </c>
      <c r="V39" s="62">
        <f>U38*КоэффСохранения</f>
        <v/>
      </c>
      <c r="W39" s="62">
        <f>V38*КоэффСохранения</f>
        <v/>
      </c>
      <c r="X39" s="62">
        <f>W38*КоэффСохранения</f>
        <v/>
      </c>
      <c r="Y39" s="62">
        <f>X38*КоэффСохранения</f>
        <v/>
      </c>
      <c r="Z39" s="62">
        <f>Y38*КоэффСохранения</f>
        <v/>
      </c>
      <c r="AA39" s="62">
        <f>Z38*КоэффСохранения</f>
        <v/>
      </c>
      <c r="AB39" s="62">
        <f>AA38*КоэффСохранения</f>
        <v/>
      </c>
      <c r="AC39" s="62">
        <f>AB38*КоэффСохранения</f>
        <v/>
      </c>
      <c r="AD39" s="62">
        <f>AC38*КоэффСохранения</f>
        <v/>
      </c>
      <c r="AE39" s="62">
        <f>AD38*КоэффСохранения</f>
        <v/>
      </c>
      <c r="AF39" s="62">
        <f>AE38*КоэффСохранения</f>
        <v/>
      </c>
      <c r="AG39" s="62">
        <f>AF38*КоэффСохранения</f>
        <v/>
      </c>
      <c r="AH39" s="62">
        <f>AG38*КоэффСохранения</f>
        <v/>
      </c>
      <c r="AI39" s="62">
        <f>AH38*КоэффСохранения</f>
        <v/>
      </c>
      <c r="AJ39" s="62">
        <f>AI38*КоэффСохранения</f>
        <v/>
      </c>
      <c r="AK39" s="62">
        <f>AJ38*КоэффСохранения</f>
        <v/>
      </c>
      <c r="AL39" s="62">
        <f>AK38*КоэффСохранения</f>
        <v/>
      </c>
      <c r="AM39" s="62">
        <f>AL38*КоэффСохранения</f>
        <v/>
      </c>
      <c r="AN39" s="62">
        <f>AM38*КоэффСохранения</f>
        <v/>
      </c>
      <c r="AO39" s="62">
        <f>AN38*КоэффСохранения</f>
        <v/>
      </c>
      <c r="AP39" s="62">
        <f>AO38*КоэффСохранения</f>
        <v/>
      </c>
      <c r="AQ39" s="62">
        <f>AP38*КоэффСохранения</f>
        <v/>
      </c>
      <c r="AR39" s="62">
        <f>AQ38*КоэффСохранения</f>
        <v/>
      </c>
      <c r="AS39" s="62">
        <f>AR38*КоэффСохранения</f>
        <v/>
      </c>
      <c r="AT39" s="62">
        <f>AS38*КоэффСохранения</f>
        <v/>
      </c>
      <c r="AU39" s="62">
        <f>AT38*КоэффСохранения</f>
        <v/>
      </c>
      <c r="AV39" s="62">
        <f>AU38*КоэффСохранения</f>
        <v/>
      </c>
      <c r="AW39" s="62">
        <f>AV38*КоэффСохранения</f>
        <v/>
      </c>
      <c r="AX39" s="62">
        <f>AW38*КоэффСохранения</f>
        <v/>
      </c>
      <c r="AY39" s="62">
        <f>AX38*КоэффСохранения</f>
        <v/>
      </c>
      <c r="AZ39" s="62">
        <f>AY38*КоэффСохранения</f>
        <v/>
      </c>
      <c r="BA39" s="62">
        <f>AZ38*КоэффСохранения</f>
        <v/>
      </c>
      <c r="BB39" s="62">
        <f>BA38*КоэффСохранения</f>
        <v/>
      </c>
      <c r="BC39" s="62">
        <f>BB38*КоэффСохранения</f>
        <v/>
      </c>
      <c r="BD39" s="62">
        <f>BC38*КоэффСохранения</f>
        <v/>
      </c>
      <c r="BE39" s="62">
        <f>BD38*КоэффСохранения</f>
        <v/>
      </c>
      <c r="BF39" s="62">
        <f>BE38*КоэффСохранения</f>
        <v/>
      </c>
      <c r="BG39" s="62">
        <f>BF38*КоэффСохранения</f>
        <v/>
      </c>
      <c r="BH39" s="62">
        <f>BG38*КоэффСохранения</f>
        <v/>
      </c>
      <c r="BI39" s="62">
        <f>BH38*КоэффСохранения</f>
        <v/>
      </c>
      <c r="BJ39" s="62">
        <f>BI38*КоэффСохранения</f>
        <v/>
      </c>
      <c r="BK39" s="62">
        <f>BJ38*КоэффСохранения</f>
        <v/>
      </c>
      <c r="BL39" s="62">
        <f>BK38*КоэффСохранения</f>
        <v/>
      </c>
      <c r="BM39" s="62">
        <f>BL38*КоэффСохранения</f>
        <v/>
      </c>
      <c r="BN39" s="62">
        <f>BM38*КоэффСохранения</f>
        <v/>
      </c>
      <c r="BO39" s="62">
        <f>BN38*КоэффСохранения</f>
        <v/>
      </c>
      <c r="BP39" s="62">
        <f>BO38*КоэффСохранения</f>
        <v/>
      </c>
      <c r="BQ39" s="62">
        <f>BP38*КоэффСохранения</f>
        <v/>
      </c>
      <c r="BR39" s="62">
        <f>BQ38*КоэффСохранения</f>
        <v/>
      </c>
      <c r="BS39" s="62">
        <f>BR38*КоэффСохранения</f>
        <v/>
      </c>
      <c r="BT39" s="62">
        <f>BS38*КоэффСохранения</f>
        <v/>
      </c>
      <c r="BU39" s="62">
        <f>BT38*КоэффСохранения</f>
        <v/>
      </c>
      <c r="BV39" s="62">
        <f>BU38*КоэффСохранения</f>
        <v/>
      </c>
      <c r="BW39" s="62">
        <f>BV38*КоэффСохранения</f>
        <v/>
      </c>
      <c r="BX39" s="62">
        <f>BW38*КоэффСохранения</f>
        <v/>
      </c>
      <c r="BY39" s="62">
        <f>BX38*КоэффСохранения</f>
        <v/>
      </c>
    </row>
    <row r="40" ht="15.75" customHeight="1" s="194">
      <c r="B40" s="56" t="inlineStr">
        <is>
          <t>18 мес.</t>
        </is>
      </c>
      <c r="C40" s="56" t="inlineStr">
        <is>
          <t>шт.</t>
        </is>
      </c>
      <c r="D40" s="57" t="inlineStr">
        <is>
          <t>Внутренняя механика расчёта: годового итога у этой строки нет, смотрите итоговые строки блока ниже.</t>
        </is>
      </c>
      <c r="E40" s="58" t="n"/>
      <c r="F40" s="58" t="n"/>
      <c r="G40" s="58" t="n"/>
      <c r="H40" s="58" t="n"/>
      <c r="I40" s="58" t="n"/>
      <c r="L40" s="62">
        <f>0</f>
        <v/>
      </c>
      <c r="M40" s="62">
        <f>L39*КоэффСохранения</f>
        <v/>
      </c>
      <c r="N40" s="62">
        <f>M39*КоэффСохранения</f>
        <v/>
      </c>
      <c r="O40" s="62">
        <f>N39*КоэффСохранения</f>
        <v/>
      </c>
      <c r="P40" s="62">
        <f>O39*КоэффСохранения</f>
        <v/>
      </c>
      <c r="Q40" s="62">
        <f>P39*КоэффСохранения</f>
        <v/>
      </c>
      <c r="R40" s="62">
        <f>Q39*КоэффСохранения</f>
        <v/>
      </c>
      <c r="S40" s="62">
        <f>R39*КоэффСохранения</f>
        <v/>
      </c>
      <c r="T40" s="62">
        <f>S39*КоэффСохранения</f>
        <v/>
      </c>
      <c r="U40" s="62">
        <f>T39*КоэффСохранения</f>
        <v/>
      </c>
      <c r="V40" s="62">
        <f>U39*КоэффСохранения</f>
        <v/>
      </c>
      <c r="W40" s="62">
        <f>V39*КоэффСохранения</f>
        <v/>
      </c>
      <c r="X40" s="62">
        <f>W39*КоэффСохранения</f>
        <v/>
      </c>
      <c r="Y40" s="62">
        <f>X39*КоэффСохранения</f>
        <v/>
      </c>
      <c r="Z40" s="62">
        <f>Y39*КоэффСохранения</f>
        <v/>
      </c>
      <c r="AA40" s="62">
        <f>Z39*КоэффСохранения</f>
        <v/>
      </c>
      <c r="AB40" s="62">
        <f>AA39*КоэффСохранения</f>
        <v/>
      </c>
      <c r="AC40" s="62">
        <f>AB39*КоэффСохранения</f>
        <v/>
      </c>
      <c r="AD40" s="62">
        <f>AC39*КоэффСохранения</f>
        <v/>
      </c>
      <c r="AE40" s="62">
        <f>AD39*КоэффСохранения</f>
        <v/>
      </c>
      <c r="AF40" s="62">
        <f>AE39*КоэффСохранения</f>
        <v/>
      </c>
      <c r="AG40" s="62">
        <f>AF39*КоэффСохранения</f>
        <v/>
      </c>
      <c r="AH40" s="62">
        <f>AG39*КоэффСохранения</f>
        <v/>
      </c>
      <c r="AI40" s="62">
        <f>AH39*КоэффСохранения</f>
        <v/>
      </c>
      <c r="AJ40" s="62">
        <f>AI39*КоэффСохранения</f>
        <v/>
      </c>
      <c r="AK40" s="62">
        <f>AJ39*КоэффСохранения</f>
        <v/>
      </c>
      <c r="AL40" s="62">
        <f>AK39*КоэффСохранения</f>
        <v/>
      </c>
      <c r="AM40" s="62">
        <f>AL39*КоэффСохранения</f>
        <v/>
      </c>
      <c r="AN40" s="62">
        <f>AM39*КоэффСохранения</f>
        <v/>
      </c>
      <c r="AO40" s="62">
        <f>AN39*КоэффСохранения</f>
        <v/>
      </c>
      <c r="AP40" s="62">
        <f>AO39*КоэффСохранения</f>
        <v/>
      </c>
      <c r="AQ40" s="62">
        <f>AP39*КоэффСохранения</f>
        <v/>
      </c>
      <c r="AR40" s="62">
        <f>AQ39*КоэффСохранения</f>
        <v/>
      </c>
      <c r="AS40" s="62">
        <f>AR39*КоэффСохранения</f>
        <v/>
      </c>
      <c r="AT40" s="62">
        <f>AS39*КоэффСохранения</f>
        <v/>
      </c>
      <c r="AU40" s="62">
        <f>AT39*КоэффСохранения</f>
        <v/>
      </c>
      <c r="AV40" s="62">
        <f>AU39*КоэффСохранения</f>
        <v/>
      </c>
      <c r="AW40" s="62">
        <f>AV39*КоэффСохранения</f>
        <v/>
      </c>
      <c r="AX40" s="62">
        <f>AW39*КоэффСохранения</f>
        <v/>
      </c>
      <c r="AY40" s="62">
        <f>AX39*КоэффСохранения</f>
        <v/>
      </c>
      <c r="AZ40" s="62">
        <f>AY39*КоэффСохранения</f>
        <v/>
      </c>
      <c r="BA40" s="62">
        <f>AZ39*КоэффСохранения</f>
        <v/>
      </c>
      <c r="BB40" s="62">
        <f>BA39*КоэффСохранения</f>
        <v/>
      </c>
      <c r="BC40" s="62">
        <f>BB39*КоэффСохранения</f>
        <v/>
      </c>
      <c r="BD40" s="62">
        <f>BC39*КоэффСохранения</f>
        <v/>
      </c>
      <c r="BE40" s="62">
        <f>BD39*КоэффСохранения</f>
        <v/>
      </c>
      <c r="BF40" s="62">
        <f>BE39*КоэффСохранения</f>
        <v/>
      </c>
      <c r="BG40" s="62">
        <f>BF39*КоэффСохранения</f>
        <v/>
      </c>
      <c r="BH40" s="62">
        <f>BG39*КоэффСохранения</f>
        <v/>
      </c>
      <c r="BI40" s="62">
        <f>BH39*КоэффСохранения</f>
        <v/>
      </c>
      <c r="BJ40" s="62">
        <f>BI39*КоэффСохранения</f>
        <v/>
      </c>
      <c r="BK40" s="62">
        <f>BJ39*КоэффСохранения</f>
        <v/>
      </c>
      <c r="BL40" s="62">
        <f>BK39*КоэффСохранения</f>
        <v/>
      </c>
      <c r="BM40" s="62">
        <f>BL39*КоэффСохранения</f>
        <v/>
      </c>
      <c r="BN40" s="62">
        <f>BM39*КоэффСохранения</f>
        <v/>
      </c>
      <c r="BO40" s="62">
        <f>BN39*КоэффСохранения</f>
        <v/>
      </c>
      <c r="BP40" s="62">
        <f>BO39*КоэффСохранения</f>
        <v/>
      </c>
      <c r="BQ40" s="62">
        <f>BP39*КоэффСохранения</f>
        <v/>
      </c>
      <c r="BR40" s="62">
        <f>BQ39*КоэффСохранения</f>
        <v/>
      </c>
      <c r="BS40" s="62">
        <f>BR39*КоэффСохранения</f>
        <v/>
      </c>
      <c r="BT40" s="62">
        <f>BS39*КоэффСохранения</f>
        <v/>
      </c>
      <c r="BU40" s="62">
        <f>BT39*КоэффСохранения</f>
        <v/>
      </c>
      <c r="BV40" s="62">
        <f>BU39*КоэффСохранения</f>
        <v/>
      </c>
      <c r="BW40" s="62">
        <f>BV39*КоэффСохранения</f>
        <v/>
      </c>
      <c r="BX40" s="62">
        <f>BW39*КоэффСохранения</f>
        <v/>
      </c>
      <c r="BY40" s="62">
        <f>BX39*КоэффСохранения</f>
        <v/>
      </c>
    </row>
    <row r="41" ht="15.75" customHeight="1" s="194">
      <c r="B41" s="56" t="inlineStr">
        <is>
          <t>19 мес.</t>
        </is>
      </c>
      <c r="C41" s="56" t="inlineStr">
        <is>
          <t>шт.</t>
        </is>
      </c>
      <c r="D41" s="57" t="inlineStr">
        <is>
          <t>Внутренняя механика расчёта: годового итога у этой строки нет, смотрите итоговые строки блока ниже.</t>
        </is>
      </c>
      <c r="E41" s="58" t="n"/>
      <c r="F41" s="58" t="n"/>
      <c r="G41" s="58" t="n"/>
      <c r="H41" s="58" t="n"/>
      <c r="I41" s="58" t="n"/>
      <c r="L41" s="62">
        <f>0</f>
        <v/>
      </c>
      <c r="M41" s="62">
        <f>L40*КоэффСохранения</f>
        <v/>
      </c>
      <c r="N41" s="62">
        <f>M40*КоэффСохранения</f>
        <v/>
      </c>
      <c r="O41" s="62">
        <f>N40*КоэффСохранения</f>
        <v/>
      </c>
      <c r="P41" s="62">
        <f>O40*КоэффСохранения</f>
        <v/>
      </c>
      <c r="Q41" s="62">
        <f>P40*КоэффСохранения</f>
        <v/>
      </c>
      <c r="R41" s="62">
        <f>Q40*КоэффСохранения</f>
        <v/>
      </c>
      <c r="S41" s="62">
        <f>R40*КоэффСохранения</f>
        <v/>
      </c>
      <c r="T41" s="62">
        <f>S40*КоэффСохранения</f>
        <v/>
      </c>
      <c r="U41" s="62">
        <f>T40*КоэффСохранения</f>
        <v/>
      </c>
      <c r="V41" s="62">
        <f>U40*КоэффСохранения</f>
        <v/>
      </c>
      <c r="W41" s="62">
        <f>V40*КоэффСохранения</f>
        <v/>
      </c>
      <c r="X41" s="62">
        <f>W40*КоэффСохранения</f>
        <v/>
      </c>
      <c r="Y41" s="62">
        <f>X40*КоэффСохранения</f>
        <v/>
      </c>
      <c r="Z41" s="62">
        <f>Y40*КоэффСохранения</f>
        <v/>
      </c>
      <c r="AA41" s="62">
        <f>Z40*КоэффСохранения</f>
        <v/>
      </c>
      <c r="AB41" s="62">
        <f>AA40*КоэффСохранения</f>
        <v/>
      </c>
      <c r="AC41" s="62">
        <f>AB40*КоэффСохранения</f>
        <v/>
      </c>
      <c r="AD41" s="62">
        <f>AC40*КоэффСохранения</f>
        <v/>
      </c>
      <c r="AE41" s="62">
        <f>AD40*КоэффСохранения</f>
        <v/>
      </c>
      <c r="AF41" s="62">
        <f>AE40*КоэффСохранения</f>
        <v/>
      </c>
      <c r="AG41" s="62">
        <f>AF40*КоэффСохранения</f>
        <v/>
      </c>
      <c r="AH41" s="62">
        <f>AG40*КоэффСохранения</f>
        <v/>
      </c>
      <c r="AI41" s="62">
        <f>AH40*КоэффСохранения</f>
        <v/>
      </c>
      <c r="AJ41" s="62">
        <f>AI40*КоэффСохранения</f>
        <v/>
      </c>
      <c r="AK41" s="62">
        <f>AJ40*КоэффСохранения</f>
        <v/>
      </c>
      <c r="AL41" s="62">
        <f>AK40*КоэффСохранения</f>
        <v/>
      </c>
      <c r="AM41" s="62">
        <f>AL40*КоэффСохранения</f>
        <v/>
      </c>
      <c r="AN41" s="62">
        <f>AM40*КоэффСохранения</f>
        <v/>
      </c>
      <c r="AO41" s="62">
        <f>AN40*КоэффСохранения</f>
        <v/>
      </c>
      <c r="AP41" s="62">
        <f>AO40*КоэффСохранения</f>
        <v/>
      </c>
      <c r="AQ41" s="62">
        <f>AP40*КоэффСохранения</f>
        <v/>
      </c>
      <c r="AR41" s="62">
        <f>AQ40*КоэффСохранения</f>
        <v/>
      </c>
      <c r="AS41" s="62">
        <f>AR40*КоэффСохранения</f>
        <v/>
      </c>
      <c r="AT41" s="62">
        <f>AS40*КоэффСохранения</f>
        <v/>
      </c>
      <c r="AU41" s="62">
        <f>AT40*КоэффСохранения</f>
        <v/>
      </c>
      <c r="AV41" s="62">
        <f>AU40*КоэффСохранения</f>
        <v/>
      </c>
      <c r="AW41" s="62">
        <f>AV40*КоэффСохранения</f>
        <v/>
      </c>
      <c r="AX41" s="62">
        <f>AW40*КоэффСохранения</f>
        <v/>
      </c>
      <c r="AY41" s="62">
        <f>AX40*КоэффСохранения</f>
        <v/>
      </c>
      <c r="AZ41" s="62">
        <f>AY40*КоэффСохранения</f>
        <v/>
      </c>
      <c r="BA41" s="62">
        <f>AZ40*КоэффСохранения</f>
        <v/>
      </c>
      <c r="BB41" s="62">
        <f>BA40*КоэффСохранения</f>
        <v/>
      </c>
      <c r="BC41" s="62">
        <f>BB40*КоэффСохранения</f>
        <v/>
      </c>
      <c r="BD41" s="62">
        <f>BC40*КоэффСохранения</f>
        <v/>
      </c>
      <c r="BE41" s="62">
        <f>BD40*КоэффСохранения</f>
        <v/>
      </c>
      <c r="BF41" s="62">
        <f>BE40*КоэффСохранения</f>
        <v/>
      </c>
      <c r="BG41" s="62">
        <f>BF40*КоэффСохранения</f>
        <v/>
      </c>
      <c r="BH41" s="62">
        <f>BG40*КоэффСохранения</f>
        <v/>
      </c>
      <c r="BI41" s="62">
        <f>BH40*КоэффСохранения</f>
        <v/>
      </c>
      <c r="BJ41" s="62">
        <f>BI40*КоэффСохранения</f>
        <v/>
      </c>
      <c r="BK41" s="62">
        <f>BJ40*КоэффСохранения</f>
        <v/>
      </c>
      <c r="BL41" s="62">
        <f>BK40*КоэффСохранения</f>
        <v/>
      </c>
      <c r="BM41" s="62">
        <f>BL40*КоэффСохранения</f>
        <v/>
      </c>
      <c r="BN41" s="62">
        <f>BM40*КоэффСохранения</f>
        <v/>
      </c>
      <c r="BO41" s="62">
        <f>BN40*КоэффСохранения</f>
        <v/>
      </c>
      <c r="BP41" s="62">
        <f>BO40*КоэффСохранения</f>
        <v/>
      </c>
      <c r="BQ41" s="62">
        <f>BP40*КоэффСохранения</f>
        <v/>
      </c>
      <c r="BR41" s="62">
        <f>BQ40*КоэффСохранения</f>
        <v/>
      </c>
      <c r="BS41" s="62">
        <f>BR40*КоэффСохранения</f>
        <v/>
      </c>
      <c r="BT41" s="62">
        <f>BS40*КоэффСохранения</f>
        <v/>
      </c>
      <c r="BU41" s="62">
        <f>BT40*КоэффСохранения</f>
        <v/>
      </c>
      <c r="BV41" s="62">
        <f>BU40*КоэффСохранения</f>
        <v/>
      </c>
      <c r="BW41" s="62">
        <f>BV40*КоэффСохранения</f>
        <v/>
      </c>
      <c r="BX41" s="62">
        <f>BW40*КоэффСохранения</f>
        <v/>
      </c>
      <c r="BY41" s="62">
        <f>BX40*КоэффСохранения</f>
        <v/>
      </c>
    </row>
    <row r="42" ht="15.75" customHeight="1" s="194">
      <c r="B42" s="56" t="inlineStr">
        <is>
          <t>20 мес.</t>
        </is>
      </c>
      <c r="C42" s="56" t="inlineStr">
        <is>
          <t>шт.</t>
        </is>
      </c>
      <c r="D42" s="57" t="inlineStr">
        <is>
          <t>Внутренняя механика расчёта: годового итога у этой строки нет, смотрите итоговые строки блока ниже.</t>
        </is>
      </c>
      <c r="E42" s="58" t="n"/>
      <c r="F42" s="58" t="n"/>
      <c r="G42" s="58" t="n"/>
      <c r="H42" s="58" t="n"/>
      <c r="I42" s="58" t="n"/>
      <c r="L42" s="62">
        <f>0</f>
        <v/>
      </c>
      <c r="M42" s="62">
        <f>L41*КоэффСохранения</f>
        <v/>
      </c>
      <c r="N42" s="62">
        <f>M41*КоэффСохранения</f>
        <v/>
      </c>
      <c r="O42" s="62">
        <f>N41*КоэффСохранения</f>
        <v/>
      </c>
      <c r="P42" s="62">
        <f>O41*КоэффСохранения</f>
        <v/>
      </c>
      <c r="Q42" s="62">
        <f>P41*КоэффСохранения</f>
        <v/>
      </c>
      <c r="R42" s="62">
        <f>Q41*КоэффСохранения</f>
        <v/>
      </c>
      <c r="S42" s="62">
        <f>R41*КоэффСохранения</f>
        <v/>
      </c>
      <c r="T42" s="62">
        <f>S41*КоэффСохранения</f>
        <v/>
      </c>
      <c r="U42" s="62">
        <f>T41*КоэффСохранения</f>
        <v/>
      </c>
      <c r="V42" s="62">
        <f>U41*КоэффСохранения</f>
        <v/>
      </c>
      <c r="W42" s="62">
        <f>V41*КоэффСохранения</f>
        <v/>
      </c>
      <c r="X42" s="62">
        <f>W41*КоэффСохранения</f>
        <v/>
      </c>
      <c r="Y42" s="62">
        <f>X41*КоэффСохранения</f>
        <v/>
      </c>
      <c r="Z42" s="62">
        <f>Y41*КоэффСохранения</f>
        <v/>
      </c>
      <c r="AA42" s="62">
        <f>Z41*КоэффСохранения</f>
        <v/>
      </c>
      <c r="AB42" s="62">
        <f>AA41*КоэффСохранения</f>
        <v/>
      </c>
      <c r="AC42" s="62">
        <f>AB41*КоэффСохранения</f>
        <v/>
      </c>
      <c r="AD42" s="62">
        <f>AC41*КоэффСохранения</f>
        <v/>
      </c>
      <c r="AE42" s="62">
        <f>AD41*КоэффСохранения</f>
        <v/>
      </c>
      <c r="AF42" s="62">
        <f>AE41*КоэффСохранения</f>
        <v/>
      </c>
      <c r="AG42" s="62">
        <f>AF41*КоэффСохранения</f>
        <v/>
      </c>
      <c r="AH42" s="62">
        <f>AG41*КоэффСохранения</f>
        <v/>
      </c>
      <c r="AI42" s="62">
        <f>AH41*КоэффСохранения</f>
        <v/>
      </c>
      <c r="AJ42" s="62">
        <f>AI41*КоэффСохранения</f>
        <v/>
      </c>
      <c r="AK42" s="62">
        <f>AJ41*КоэффСохранения</f>
        <v/>
      </c>
      <c r="AL42" s="62">
        <f>AK41*КоэффСохранения</f>
        <v/>
      </c>
      <c r="AM42" s="62">
        <f>AL41*КоэффСохранения</f>
        <v/>
      </c>
      <c r="AN42" s="62">
        <f>AM41*КоэффСохранения</f>
        <v/>
      </c>
      <c r="AO42" s="62">
        <f>AN41*КоэффСохранения</f>
        <v/>
      </c>
      <c r="AP42" s="62">
        <f>AO41*КоэффСохранения</f>
        <v/>
      </c>
      <c r="AQ42" s="62">
        <f>AP41*КоэффСохранения</f>
        <v/>
      </c>
      <c r="AR42" s="62">
        <f>AQ41*КоэффСохранения</f>
        <v/>
      </c>
      <c r="AS42" s="62">
        <f>AR41*КоэффСохранения</f>
        <v/>
      </c>
      <c r="AT42" s="62">
        <f>AS41*КоэффСохранения</f>
        <v/>
      </c>
      <c r="AU42" s="62">
        <f>AT41*КоэффСохранения</f>
        <v/>
      </c>
      <c r="AV42" s="62">
        <f>AU41*КоэффСохранения</f>
        <v/>
      </c>
      <c r="AW42" s="62">
        <f>AV41*КоэффСохранения</f>
        <v/>
      </c>
      <c r="AX42" s="62">
        <f>AW41*КоэффСохранения</f>
        <v/>
      </c>
      <c r="AY42" s="62">
        <f>AX41*КоэффСохранения</f>
        <v/>
      </c>
      <c r="AZ42" s="62">
        <f>AY41*КоэффСохранения</f>
        <v/>
      </c>
      <c r="BA42" s="62">
        <f>AZ41*КоэффСохранения</f>
        <v/>
      </c>
      <c r="BB42" s="62">
        <f>BA41*КоэффСохранения</f>
        <v/>
      </c>
      <c r="BC42" s="62">
        <f>BB41*КоэффСохранения</f>
        <v/>
      </c>
      <c r="BD42" s="62">
        <f>BC41*КоэффСохранения</f>
        <v/>
      </c>
      <c r="BE42" s="62">
        <f>BD41*КоэффСохранения</f>
        <v/>
      </c>
      <c r="BF42" s="62">
        <f>BE41*КоэффСохранения</f>
        <v/>
      </c>
      <c r="BG42" s="62">
        <f>BF41*КоэффСохранения</f>
        <v/>
      </c>
      <c r="BH42" s="62">
        <f>BG41*КоэффСохранения</f>
        <v/>
      </c>
      <c r="BI42" s="62">
        <f>BH41*КоэффСохранения</f>
        <v/>
      </c>
      <c r="BJ42" s="62">
        <f>BI41*КоэффСохранения</f>
        <v/>
      </c>
      <c r="BK42" s="62">
        <f>BJ41*КоэффСохранения</f>
        <v/>
      </c>
      <c r="BL42" s="62">
        <f>BK41*КоэффСохранения</f>
        <v/>
      </c>
      <c r="BM42" s="62">
        <f>BL41*КоэффСохранения</f>
        <v/>
      </c>
      <c r="BN42" s="62">
        <f>BM41*КоэффСохранения</f>
        <v/>
      </c>
      <c r="BO42" s="62">
        <f>BN41*КоэффСохранения</f>
        <v/>
      </c>
      <c r="BP42" s="62">
        <f>BO41*КоэффСохранения</f>
        <v/>
      </c>
      <c r="BQ42" s="62">
        <f>BP41*КоэффСохранения</f>
        <v/>
      </c>
      <c r="BR42" s="62">
        <f>BQ41*КоэффСохранения</f>
        <v/>
      </c>
      <c r="BS42" s="62">
        <f>BR41*КоэффСохранения</f>
        <v/>
      </c>
      <c r="BT42" s="62">
        <f>BS41*КоэффСохранения</f>
        <v/>
      </c>
      <c r="BU42" s="62">
        <f>BT41*КоэффСохранения</f>
        <v/>
      </c>
      <c r="BV42" s="62">
        <f>BU41*КоэффСохранения</f>
        <v/>
      </c>
      <c r="BW42" s="62">
        <f>BV41*КоэффСохранения</f>
        <v/>
      </c>
      <c r="BX42" s="62">
        <f>BW41*КоэффСохранения</f>
        <v/>
      </c>
      <c r="BY42" s="62">
        <f>BX41*КоэффСохранения</f>
        <v/>
      </c>
    </row>
    <row r="43" ht="15.75" customHeight="1" s="194">
      <c r="B43" s="56" t="inlineStr">
        <is>
          <t>21 мес.</t>
        </is>
      </c>
      <c r="C43" s="56" t="inlineStr">
        <is>
          <t>шт.</t>
        </is>
      </c>
      <c r="D43" s="57" t="inlineStr">
        <is>
          <t>Внутренняя механика расчёта: годового итога у этой строки нет, смотрите итоговые строки блока ниже.</t>
        </is>
      </c>
      <c r="E43" s="58" t="n"/>
      <c r="F43" s="58" t="n"/>
      <c r="G43" s="58" t="n"/>
      <c r="H43" s="58" t="n"/>
      <c r="I43" s="58" t="n"/>
      <c r="L43" s="62">
        <f>0</f>
        <v/>
      </c>
      <c r="M43" s="62">
        <f>L42*КоэффСохранения</f>
        <v/>
      </c>
      <c r="N43" s="62">
        <f>M42*КоэффСохранения</f>
        <v/>
      </c>
      <c r="O43" s="62">
        <f>N42*КоэффСохранения</f>
        <v/>
      </c>
      <c r="P43" s="62">
        <f>O42*КоэффСохранения</f>
        <v/>
      </c>
      <c r="Q43" s="62">
        <f>P42*КоэффСохранения</f>
        <v/>
      </c>
      <c r="R43" s="62">
        <f>Q42*КоэффСохранения</f>
        <v/>
      </c>
      <c r="S43" s="62">
        <f>R42*КоэффСохранения</f>
        <v/>
      </c>
      <c r="T43" s="62">
        <f>S42*КоэффСохранения</f>
        <v/>
      </c>
      <c r="U43" s="62">
        <f>T42*КоэффСохранения</f>
        <v/>
      </c>
      <c r="V43" s="62">
        <f>U42*КоэффСохранения</f>
        <v/>
      </c>
      <c r="W43" s="62">
        <f>V42*КоэффСохранения</f>
        <v/>
      </c>
      <c r="X43" s="62">
        <f>W42*КоэффСохранения</f>
        <v/>
      </c>
      <c r="Y43" s="62">
        <f>X42*КоэффСохранения</f>
        <v/>
      </c>
      <c r="Z43" s="62">
        <f>Y42*КоэффСохранения</f>
        <v/>
      </c>
      <c r="AA43" s="62">
        <f>Z42*КоэффСохранения</f>
        <v/>
      </c>
      <c r="AB43" s="62">
        <f>AA42*КоэффСохранения</f>
        <v/>
      </c>
      <c r="AC43" s="62">
        <f>AB42*КоэффСохранения</f>
        <v/>
      </c>
      <c r="AD43" s="62">
        <f>AC42*КоэффСохранения</f>
        <v/>
      </c>
      <c r="AE43" s="62">
        <f>AD42*КоэффСохранения</f>
        <v/>
      </c>
      <c r="AF43" s="62">
        <f>AE42*КоэффСохранения</f>
        <v/>
      </c>
      <c r="AG43" s="62">
        <f>AF42*КоэффСохранения</f>
        <v/>
      </c>
      <c r="AH43" s="62">
        <f>AG42*КоэффСохранения</f>
        <v/>
      </c>
      <c r="AI43" s="62">
        <f>AH42*КоэффСохранения</f>
        <v/>
      </c>
      <c r="AJ43" s="62">
        <f>AI42*КоэффСохранения</f>
        <v/>
      </c>
      <c r="AK43" s="62">
        <f>AJ42*КоэффСохранения</f>
        <v/>
      </c>
      <c r="AL43" s="62">
        <f>AK42*КоэффСохранения</f>
        <v/>
      </c>
      <c r="AM43" s="62">
        <f>AL42*КоэффСохранения</f>
        <v/>
      </c>
      <c r="AN43" s="62">
        <f>AM42*КоэффСохранения</f>
        <v/>
      </c>
      <c r="AO43" s="62">
        <f>AN42*КоэффСохранения</f>
        <v/>
      </c>
      <c r="AP43" s="62">
        <f>AO42*КоэффСохранения</f>
        <v/>
      </c>
      <c r="AQ43" s="62">
        <f>AP42*КоэффСохранения</f>
        <v/>
      </c>
      <c r="AR43" s="62">
        <f>AQ42*КоэффСохранения</f>
        <v/>
      </c>
      <c r="AS43" s="62">
        <f>AR42*КоэффСохранения</f>
        <v/>
      </c>
      <c r="AT43" s="62">
        <f>AS42*КоэффСохранения</f>
        <v/>
      </c>
      <c r="AU43" s="62">
        <f>AT42*КоэффСохранения</f>
        <v/>
      </c>
      <c r="AV43" s="62">
        <f>AU42*КоэффСохранения</f>
        <v/>
      </c>
      <c r="AW43" s="62">
        <f>AV42*КоэффСохранения</f>
        <v/>
      </c>
      <c r="AX43" s="62">
        <f>AW42*КоэффСохранения</f>
        <v/>
      </c>
      <c r="AY43" s="62">
        <f>AX42*КоэффСохранения</f>
        <v/>
      </c>
      <c r="AZ43" s="62">
        <f>AY42*КоэффСохранения</f>
        <v/>
      </c>
      <c r="BA43" s="62">
        <f>AZ42*КоэффСохранения</f>
        <v/>
      </c>
      <c r="BB43" s="62">
        <f>BA42*КоэффСохранения</f>
        <v/>
      </c>
      <c r="BC43" s="62">
        <f>BB42*КоэффСохранения</f>
        <v/>
      </c>
      <c r="BD43" s="62">
        <f>BC42*КоэффСохранения</f>
        <v/>
      </c>
      <c r="BE43" s="62">
        <f>BD42*КоэффСохранения</f>
        <v/>
      </c>
      <c r="BF43" s="62">
        <f>BE42*КоэффСохранения</f>
        <v/>
      </c>
      <c r="BG43" s="62">
        <f>BF42*КоэффСохранения</f>
        <v/>
      </c>
      <c r="BH43" s="62">
        <f>BG42*КоэффСохранения</f>
        <v/>
      </c>
      <c r="BI43" s="62">
        <f>BH42*КоэффСохранения</f>
        <v/>
      </c>
      <c r="BJ43" s="62">
        <f>BI42*КоэффСохранения</f>
        <v/>
      </c>
      <c r="BK43" s="62">
        <f>BJ42*КоэффСохранения</f>
        <v/>
      </c>
      <c r="BL43" s="62">
        <f>BK42*КоэффСохранения</f>
        <v/>
      </c>
      <c r="BM43" s="62">
        <f>BL42*КоэффСохранения</f>
        <v/>
      </c>
      <c r="BN43" s="62">
        <f>BM42*КоэффСохранения</f>
        <v/>
      </c>
      <c r="BO43" s="62">
        <f>BN42*КоэффСохранения</f>
        <v/>
      </c>
      <c r="BP43" s="62">
        <f>BO42*КоэффСохранения</f>
        <v/>
      </c>
      <c r="BQ43" s="62">
        <f>BP42*КоэффСохранения</f>
        <v/>
      </c>
      <c r="BR43" s="62">
        <f>BQ42*КоэффСохранения</f>
        <v/>
      </c>
      <c r="BS43" s="62">
        <f>BR42*КоэффСохранения</f>
        <v/>
      </c>
      <c r="BT43" s="62">
        <f>BS42*КоэффСохранения</f>
        <v/>
      </c>
      <c r="BU43" s="62">
        <f>BT42*КоэффСохранения</f>
        <v/>
      </c>
      <c r="BV43" s="62">
        <f>BU42*КоэффСохранения</f>
        <v/>
      </c>
      <c r="BW43" s="62">
        <f>BV42*КоэффСохранения</f>
        <v/>
      </c>
      <c r="BX43" s="62">
        <f>BW42*КоэффСохранения</f>
        <v/>
      </c>
      <c r="BY43" s="62">
        <f>BX42*КоэффСохранения</f>
        <v/>
      </c>
    </row>
    <row r="44" ht="15.75" customHeight="1" s="194">
      <c r="B44" s="56" t="inlineStr">
        <is>
          <t>22 мес.</t>
        </is>
      </c>
      <c r="C44" s="56" t="inlineStr">
        <is>
          <t>шт.</t>
        </is>
      </c>
      <c r="D44" s="57" t="inlineStr">
        <is>
          <t>Внутренняя механика расчёта: годового итога у этой строки нет, смотрите итоговые строки блока ниже.</t>
        </is>
      </c>
      <c r="E44" s="58" t="n"/>
      <c r="F44" s="58" t="n"/>
      <c r="G44" s="58" t="n"/>
      <c r="H44" s="58" t="n"/>
      <c r="I44" s="58" t="n"/>
      <c r="L44" s="62">
        <f>0</f>
        <v/>
      </c>
      <c r="M44" s="62">
        <f>L43*КоэффСохранения</f>
        <v/>
      </c>
      <c r="N44" s="62">
        <f>M43*КоэффСохранения</f>
        <v/>
      </c>
      <c r="O44" s="62">
        <f>N43*КоэффСохранения</f>
        <v/>
      </c>
      <c r="P44" s="62">
        <f>O43*КоэффСохранения</f>
        <v/>
      </c>
      <c r="Q44" s="62">
        <f>P43*КоэффСохранения</f>
        <v/>
      </c>
      <c r="R44" s="62">
        <f>Q43*КоэффСохранения</f>
        <v/>
      </c>
      <c r="S44" s="62">
        <f>R43*КоэффСохранения</f>
        <v/>
      </c>
      <c r="T44" s="62">
        <f>S43*КоэффСохранения</f>
        <v/>
      </c>
      <c r="U44" s="62">
        <f>T43*КоэффСохранения</f>
        <v/>
      </c>
      <c r="V44" s="62">
        <f>U43*КоэффСохранения</f>
        <v/>
      </c>
      <c r="W44" s="62">
        <f>V43*КоэффСохранения</f>
        <v/>
      </c>
      <c r="X44" s="62">
        <f>W43*КоэффСохранения</f>
        <v/>
      </c>
      <c r="Y44" s="62">
        <f>X43*КоэффСохранения</f>
        <v/>
      </c>
      <c r="Z44" s="62">
        <f>Y43*КоэффСохранения</f>
        <v/>
      </c>
      <c r="AA44" s="62">
        <f>Z43*КоэффСохранения</f>
        <v/>
      </c>
      <c r="AB44" s="62">
        <f>AA43*КоэффСохранения</f>
        <v/>
      </c>
      <c r="AC44" s="62">
        <f>AB43*КоэффСохранения</f>
        <v/>
      </c>
      <c r="AD44" s="62">
        <f>AC43*КоэффСохранения</f>
        <v/>
      </c>
      <c r="AE44" s="62">
        <f>AD43*КоэффСохранения</f>
        <v/>
      </c>
      <c r="AF44" s="62">
        <f>AE43*КоэффСохранения</f>
        <v/>
      </c>
      <c r="AG44" s="62">
        <f>AF43*КоэффСохранения</f>
        <v/>
      </c>
      <c r="AH44" s="62">
        <f>AG43*КоэффСохранения</f>
        <v/>
      </c>
      <c r="AI44" s="62">
        <f>AH43*КоэффСохранения</f>
        <v/>
      </c>
      <c r="AJ44" s="62">
        <f>AI43*КоэффСохранения</f>
        <v/>
      </c>
      <c r="AK44" s="62">
        <f>AJ43*КоэффСохранения</f>
        <v/>
      </c>
      <c r="AL44" s="62">
        <f>AK43*КоэффСохранения</f>
        <v/>
      </c>
      <c r="AM44" s="62">
        <f>AL43*КоэффСохранения</f>
        <v/>
      </c>
      <c r="AN44" s="62">
        <f>AM43*КоэффСохранения</f>
        <v/>
      </c>
      <c r="AO44" s="62">
        <f>AN43*КоэффСохранения</f>
        <v/>
      </c>
      <c r="AP44" s="62">
        <f>AO43*КоэффСохранения</f>
        <v/>
      </c>
      <c r="AQ44" s="62">
        <f>AP43*КоэффСохранения</f>
        <v/>
      </c>
      <c r="AR44" s="62">
        <f>AQ43*КоэффСохранения</f>
        <v/>
      </c>
      <c r="AS44" s="62">
        <f>AR43*КоэффСохранения</f>
        <v/>
      </c>
      <c r="AT44" s="62">
        <f>AS43*КоэффСохранения</f>
        <v/>
      </c>
      <c r="AU44" s="62">
        <f>AT43*КоэффСохранения</f>
        <v/>
      </c>
      <c r="AV44" s="62">
        <f>AU43*КоэффСохранения</f>
        <v/>
      </c>
      <c r="AW44" s="62">
        <f>AV43*КоэффСохранения</f>
        <v/>
      </c>
      <c r="AX44" s="62">
        <f>AW43*КоэффСохранения</f>
        <v/>
      </c>
      <c r="AY44" s="62">
        <f>AX43*КоэффСохранения</f>
        <v/>
      </c>
      <c r="AZ44" s="62">
        <f>AY43*КоэффСохранения</f>
        <v/>
      </c>
      <c r="BA44" s="62">
        <f>AZ43*КоэффСохранения</f>
        <v/>
      </c>
      <c r="BB44" s="62">
        <f>BA43*КоэффСохранения</f>
        <v/>
      </c>
      <c r="BC44" s="62">
        <f>BB43*КоэффСохранения</f>
        <v/>
      </c>
      <c r="BD44" s="62">
        <f>BC43*КоэффСохранения</f>
        <v/>
      </c>
      <c r="BE44" s="62">
        <f>BD43*КоэффСохранения</f>
        <v/>
      </c>
      <c r="BF44" s="62">
        <f>BE43*КоэффСохранения</f>
        <v/>
      </c>
      <c r="BG44" s="62">
        <f>BF43*КоэффСохранения</f>
        <v/>
      </c>
      <c r="BH44" s="62">
        <f>BG43*КоэффСохранения</f>
        <v/>
      </c>
      <c r="BI44" s="62">
        <f>BH43*КоэффСохранения</f>
        <v/>
      </c>
      <c r="BJ44" s="62">
        <f>BI43*КоэффСохранения</f>
        <v/>
      </c>
      <c r="BK44" s="62">
        <f>BJ43*КоэффСохранения</f>
        <v/>
      </c>
      <c r="BL44" s="62">
        <f>BK43*КоэффСохранения</f>
        <v/>
      </c>
      <c r="BM44" s="62">
        <f>BL43*КоэффСохранения</f>
        <v/>
      </c>
      <c r="BN44" s="62">
        <f>BM43*КоэффСохранения</f>
        <v/>
      </c>
      <c r="BO44" s="62">
        <f>BN43*КоэффСохранения</f>
        <v/>
      </c>
      <c r="BP44" s="62">
        <f>BO43*КоэффСохранения</f>
        <v/>
      </c>
      <c r="BQ44" s="62">
        <f>BP43*КоэффСохранения</f>
        <v/>
      </c>
      <c r="BR44" s="62">
        <f>BQ43*КоэффСохранения</f>
        <v/>
      </c>
      <c r="BS44" s="62">
        <f>BR43*КоэффСохранения</f>
        <v/>
      </c>
      <c r="BT44" s="62">
        <f>BS43*КоэффСохранения</f>
        <v/>
      </c>
      <c r="BU44" s="62">
        <f>BT43*КоэффСохранения</f>
        <v/>
      </c>
      <c r="BV44" s="62">
        <f>BU43*КоэффСохранения</f>
        <v/>
      </c>
      <c r="BW44" s="62">
        <f>BV43*КоэффСохранения</f>
        <v/>
      </c>
      <c r="BX44" s="62">
        <f>BW43*КоэффСохранения</f>
        <v/>
      </c>
      <c r="BY44" s="62">
        <f>BX43*КоэффСохранения</f>
        <v/>
      </c>
    </row>
    <row r="45" ht="15.75" customHeight="1" s="194">
      <c r="B45" s="56" t="inlineStr">
        <is>
          <t>23 мес.</t>
        </is>
      </c>
      <c r="C45" s="56" t="inlineStr">
        <is>
          <t>шт.</t>
        </is>
      </c>
      <c r="D45" s="57" t="inlineStr">
        <is>
          <t>Внутренняя механика расчёта: годового итога у этой строки нет, смотрите итоговые строки блока ниже.</t>
        </is>
      </c>
      <c r="E45" s="58" t="n"/>
      <c r="F45" s="58" t="n"/>
      <c r="G45" s="58" t="n"/>
      <c r="H45" s="58" t="n"/>
      <c r="I45" s="58" t="n"/>
      <c r="L45" s="62">
        <f>0</f>
        <v/>
      </c>
      <c r="M45" s="62">
        <f>L44*КоэффСохранения</f>
        <v/>
      </c>
      <c r="N45" s="62">
        <f>M44*КоэффСохранения</f>
        <v/>
      </c>
      <c r="O45" s="62">
        <f>N44*КоэффСохранения</f>
        <v/>
      </c>
      <c r="P45" s="62">
        <f>O44*КоэффСохранения</f>
        <v/>
      </c>
      <c r="Q45" s="62">
        <f>P44*КоэффСохранения</f>
        <v/>
      </c>
      <c r="R45" s="62">
        <f>Q44*КоэффСохранения</f>
        <v/>
      </c>
      <c r="S45" s="62">
        <f>R44*КоэффСохранения</f>
        <v/>
      </c>
      <c r="T45" s="62">
        <f>S44*КоэффСохранения</f>
        <v/>
      </c>
      <c r="U45" s="62">
        <f>T44*КоэффСохранения</f>
        <v/>
      </c>
      <c r="V45" s="62">
        <f>U44*КоэффСохранения</f>
        <v/>
      </c>
      <c r="W45" s="62">
        <f>V44*КоэффСохранения</f>
        <v/>
      </c>
      <c r="X45" s="62">
        <f>W44*КоэффСохранения</f>
        <v/>
      </c>
      <c r="Y45" s="62">
        <f>X44*КоэффСохранения</f>
        <v/>
      </c>
      <c r="Z45" s="62">
        <f>Y44*КоэффСохранения</f>
        <v/>
      </c>
      <c r="AA45" s="62">
        <f>Z44*КоэффСохранения</f>
        <v/>
      </c>
      <c r="AB45" s="62">
        <f>AA44*КоэффСохранения</f>
        <v/>
      </c>
      <c r="AC45" s="62">
        <f>AB44*КоэффСохранения</f>
        <v/>
      </c>
      <c r="AD45" s="62">
        <f>AC44*КоэффСохранения</f>
        <v/>
      </c>
      <c r="AE45" s="62">
        <f>AD44*КоэффСохранения</f>
        <v/>
      </c>
      <c r="AF45" s="62">
        <f>AE44*КоэффСохранения</f>
        <v/>
      </c>
      <c r="AG45" s="62">
        <f>AF44*КоэффСохранения</f>
        <v/>
      </c>
      <c r="AH45" s="62">
        <f>AG44*КоэффСохранения</f>
        <v/>
      </c>
      <c r="AI45" s="62">
        <f>AH44*КоэффСохранения</f>
        <v/>
      </c>
      <c r="AJ45" s="62">
        <f>AI44*КоэффСохранения</f>
        <v/>
      </c>
      <c r="AK45" s="62">
        <f>AJ44*КоэффСохранения</f>
        <v/>
      </c>
      <c r="AL45" s="62">
        <f>AK44*КоэффСохранения</f>
        <v/>
      </c>
      <c r="AM45" s="62">
        <f>AL44*КоэффСохранения</f>
        <v/>
      </c>
      <c r="AN45" s="62">
        <f>AM44*КоэффСохранения</f>
        <v/>
      </c>
      <c r="AO45" s="62">
        <f>AN44*КоэффСохранения</f>
        <v/>
      </c>
      <c r="AP45" s="62">
        <f>AO44*КоэффСохранения</f>
        <v/>
      </c>
      <c r="AQ45" s="62">
        <f>AP44*КоэффСохранения</f>
        <v/>
      </c>
      <c r="AR45" s="62">
        <f>AQ44*КоэффСохранения</f>
        <v/>
      </c>
      <c r="AS45" s="62">
        <f>AR44*КоэффСохранения</f>
        <v/>
      </c>
      <c r="AT45" s="62">
        <f>AS44*КоэффСохранения</f>
        <v/>
      </c>
      <c r="AU45" s="62">
        <f>AT44*КоэффСохранения</f>
        <v/>
      </c>
      <c r="AV45" s="62">
        <f>AU44*КоэффСохранения</f>
        <v/>
      </c>
      <c r="AW45" s="62">
        <f>AV44*КоэффСохранения</f>
        <v/>
      </c>
      <c r="AX45" s="62">
        <f>AW44*КоэффСохранения</f>
        <v/>
      </c>
      <c r="AY45" s="62">
        <f>AX44*КоэффСохранения</f>
        <v/>
      </c>
      <c r="AZ45" s="62">
        <f>AY44*КоэффСохранения</f>
        <v/>
      </c>
      <c r="BA45" s="62">
        <f>AZ44*КоэффСохранения</f>
        <v/>
      </c>
      <c r="BB45" s="62">
        <f>BA44*КоэффСохранения</f>
        <v/>
      </c>
      <c r="BC45" s="62">
        <f>BB44*КоэффСохранения</f>
        <v/>
      </c>
      <c r="BD45" s="62">
        <f>BC44*КоэффСохранения</f>
        <v/>
      </c>
      <c r="BE45" s="62">
        <f>BD44*КоэффСохранения</f>
        <v/>
      </c>
      <c r="BF45" s="62">
        <f>BE44*КоэффСохранения</f>
        <v/>
      </c>
      <c r="BG45" s="62">
        <f>BF44*КоэффСохранения</f>
        <v/>
      </c>
      <c r="BH45" s="62">
        <f>BG44*КоэффСохранения</f>
        <v/>
      </c>
      <c r="BI45" s="62">
        <f>BH44*КоэффСохранения</f>
        <v/>
      </c>
      <c r="BJ45" s="62">
        <f>BI44*КоэффСохранения</f>
        <v/>
      </c>
      <c r="BK45" s="62">
        <f>BJ44*КоэффСохранения</f>
        <v/>
      </c>
      <c r="BL45" s="62">
        <f>BK44*КоэффСохранения</f>
        <v/>
      </c>
      <c r="BM45" s="62">
        <f>BL44*КоэффСохранения</f>
        <v/>
      </c>
      <c r="BN45" s="62">
        <f>BM44*КоэффСохранения</f>
        <v/>
      </c>
      <c r="BO45" s="62">
        <f>BN44*КоэффСохранения</f>
        <v/>
      </c>
      <c r="BP45" s="62">
        <f>BO44*КоэффСохранения</f>
        <v/>
      </c>
      <c r="BQ45" s="62">
        <f>BP44*КоэффСохранения</f>
        <v/>
      </c>
      <c r="BR45" s="62">
        <f>BQ44*КоэффСохранения</f>
        <v/>
      </c>
      <c r="BS45" s="62">
        <f>BR44*КоэффСохранения</f>
        <v/>
      </c>
      <c r="BT45" s="62">
        <f>BS44*КоэффСохранения</f>
        <v/>
      </c>
      <c r="BU45" s="62">
        <f>BT44*КоэффСохранения</f>
        <v/>
      </c>
      <c r="BV45" s="62">
        <f>BU44*КоэффСохранения</f>
        <v/>
      </c>
      <c r="BW45" s="62">
        <f>BV44*КоэффСохранения</f>
        <v/>
      </c>
      <c r="BX45" s="62">
        <f>BW44*КоэффСохранения</f>
        <v/>
      </c>
      <c r="BY45" s="62">
        <f>BX44*КоэффСохранения</f>
        <v/>
      </c>
    </row>
    <row r="46" ht="15.75" customHeight="1" s="194">
      <c r="B46" s="56" t="inlineStr">
        <is>
          <t>24 мес.</t>
        </is>
      </c>
      <c r="C46" s="56" t="inlineStr">
        <is>
          <t>шт.</t>
        </is>
      </c>
      <c r="D46" s="57" t="inlineStr">
        <is>
          <t>Внутренняя механика расчёта: годового итога у этой строки нет, смотрите итоговые строки блока ниже.</t>
        </is>
      </c>
      <c r="E46" s="58" t="n"/>
      <c r="F46" s="58" t="n"/>
      <c r="G46" s="58" t="n"/>
      <c r="H46" s="58" t="n"/>
      <c r="I46" s="58" t="n"/>
      <c r="L46" s="62">
        <f>0</f>
        <v/>
      </c>
      <c r="M46" s="62">
        <f>L45*КоэффСохранения</f>
        <v/>
      </c>
      <c r="N46" s="62">
        <f>M45*КоэффСохранения</f>
        <v/>
      </c>
      <c r="O46" s="62">
        <f>N45*КоэффСохранения</f>
        <v/>
      </c>
      <c r="P46" s="62">
        <f>O45*КоэффСохранения</f>
        <v/>
      </c>
      <c r="Q46" s="62">
        <f>P45*КоэффСохранения</f>
        <v/>
      </c>
      <c r="R46" s="62">
        <f>Q45*КоэффСохранения</f>
        <v/>
      </c>
      <c r="S46" s="62">
        <f>R45*КоэффСохранения</f>
        <v/>
      </c>
      <c r="T46" s="62">
        <f>S45*КоэффСохранения</f>
        <v/>
      </c>
      <c r="U46" s="62">
        <f>T45*КоэффСохранения</f>
        <v/>
      </c>
      <c r="V46" s="62">
        <f>U45*КоэффСохранения</f>
        <v/>
      </c>
      <c r="W46" s="62">
        <f>V45*КоэффСохранения</f>
        <v/>
      </c>
      <c r="X46" s="62">
        <f>W45*КоэффСохранения</f>
        <v/>
      </c>
      <c r="Y46" s="62">
        <f>X45*КоэффСохранения</f>
        <v/>
      </c>
      <c r="Z46" s="62">
        <f>Y45*КоэффСохранения</f>
        <v/>
      </c>
      <c r="AA46" s="62">
        <f>Z45*КоэффСохранения</f>
        <v/>
      </c>
      <c r="AB46" s="62">
        <f>AA45*КоэффСохранения</f>
        <v/>
      </c>
      <c r="AC46" s="62">
        <f>AB45*КоэффСохранения</f>
        <v/>
      </c>
      <c r="AD46" s="62">
        <f>AC45*КоэффСохранения</f>
        <v/>
      </c>
      <c r="AE46" s="62">
        <f>AD45*КоэффСохранения</f>
        <v/>
      </c>
      <c r="AF46" s="62">
        <f>AE45*КоэффСохранения</f>
        <v/>
      </c>
      <c r="AG46" s="62">
        <f>AF45*КоэффСохранения</f>
        <v/>
      </c>
      <c r="AH46" s="62">
        <f>AG45*КоэффСохранения</f>
        <v/>
      </c>
      <c r="AI46" s="62">
        <f>AH45*КоэффСохранения</f>
        <v/>
      </c>
      <c r="AJ46" s="62">
        <f>AI45*КоэффСохранения</f>
        <v/>
      </c>
      <c r="AK46" s="62">
        <f>AJ45*КоэффСохранения</f>
        <v/>
      </c>
      <c r="AL46" s="62">
        <f>AK45*КоэффСохранения</f>
        <v/>
      </c>
      <c r="AM46" s="62">
        <f>AL45*КоэффСохранения</f>
        <v/>
      </c>
      <c r="AN46" s="62">
        <f>AM45*КоэффСохранения</f>
        <v/>
      </c>
      <c r="AO46" s="62">
        <f>AN45*КоэффСохранения</f>
        <v/>
      </c>
      <c r="AP46" s="62">
        <f>AO45*КоэффСохранения</f>
        <v/>
      </c>
      <c r="AQ46" s="62">
        <f>AP45*КоэффСохранения</f>
        <v/>
      </c>
      <c r="AR46" s="62">
        <f>AQ45*КоэффСохранения</f>
        <v/>
      </c>
      <c r="AS46" s="62">
        <f>AR45*КоэффСохранения</f>
        <v/>
      </c>
      <c r="AT46" s="62">
        <f>AS45*КоэффСохранения</f>
        <v/>
      </c>
      <c r="AU46" s="62">
        <f>AT45*КоэффСохранения</f>
        <v/>
      </c>
      <c r="AV46" s="62">
        <f>AU45*КоэффСохранения</f>
        <v/>
      </c>
      <c r="AW46" s="62">
        <f>AV45*КоэффСохранения</f>
        <v/>
      </c>
      <c r="AX46" s="62">
        <f>AW45*КоэффСохранения</f>
        <v/>
      </c>
      <c r="AY46" s="62">
        <f>AX45*КоэффСохранения</f>
        <v/>
      </c>
      <c r="AZ46" s="62">
        <f>AY45*КоэффСохранения</f>
        <v/>
      </c>
      <c r="BA46" s="62">
        <f>AZ45*КоэффСохранения</f>
        <v/>
      </c>
      <c r="BB46" s="62">
        <f>BA45*КоэффСохранения</f>
        <v/>
      </c>
      <c r="BC46" s="62">
        <f>BB45*КоэффСохранения</f>
        <v/>
      </c>
      <c r="BD46" s="62">
        <f>BC45*КоэффСохранения</f>
        <v/>
      </c>
      <c r="BE46" s="62">
        <f>BD45*КоэффСохранения</f>
        <v/>
      </c>
      <c r="BF46" s="62">
        <f>BE45*КоэффСохранения</f>
        <v/>
      </c>
      <c r="BG46" s="62">
        <f>BF45*КоэффСохранения</f>
        <v/>
      </c>
      <c r="BH46" s="62">
        <f>BG45*КоэффСохранения</f>
        <v/>
      </c>
      <c r="BI46" s="62">
        <f>BH45*КоэффСохранения</f>
        <v/>
      </c>
      <c r="BJ46" s="62">
        <f>BI45*КоэффСохранения</f>
        <v/>
      </c>
      <c r="BK46" s="62">
        <f>BJ45*КоэффСохранения</f>
        <v/>
      </c>
      <c r="BL46" s="62">
        <f>BK45*КоэффСохранения</f>
        <v/>
      </c>
      <c r="BM46" s="62">
        <f>BL45*КоэффСохранения</f>
        <v/>
      </c>
      <c r="BN46" s="62">
        <f>BM45*КоэффСохранения</f>
        <v/>
      </c>
      <c r="BO46" s="62">
        <f>BN45*КоэффСохранения</f>
        <v/>
      </c>
      <c r="BP46" s="62">
        <f>BO45*КоэффСохранения</f>
        <v/>
      </c>
      <c r="BQ46" s="62">
        <f>BP45*КоэффСохранения</f>
        <v/>
      </c>
      <c r="BR46" s="62">
        <f>BQ45*КоэффСохранения</f>
        <v/>
      </c>
      <c r="BS46" s="62">
        <f>BR45*КоэффСохранения</f>
        <v/>
      </c>
      <c r="BT46" s="62">
        <f>BS45*КоэффСохранения</f>
        <v/>
      </c>
      <c r="BU46" s="62">
        <f>BT45*КоэффСохранения</f>
        <v/>
      </c>
      <c r="BV46" s="62">
        <f>BU45*КоэффСохранения</f>
        <v/>
      </c>
      <c r="BW46" s="62">
        <f>BV45*КоэффСохранения</f>
        <v/>
      </c>
      <c r="BX46" s="62">
        <f>BW45*КоэффСохранения</f>
        <v/>
      </c>
      <c r="BY46" s="62">
        <f>BX45*КоэффСохранения</f>
        <v/>
      </c>
    </row>
    <row r="47" ht="15.75" customHeight="1" s="194">
      <c r="B47" s="56" t="inlineStr">
        <is>
          <t>25+ мес. (зрелые)</t>
        </is>
      </c>
      <c r="C47" s="56" t="inlineStr">
        <is>
          <t>шт.</t>
        </is>
      </c>
      <c r="D47" s="57" t="inlineStr">
        <is>
          <t>Школы старше двух лет копятся здесь Внутренняя механика расчёта: годового итога у этой строки нет, смотрите итоговые строки блока ниже.</t>
        </is>
      </c>
      <c r="E47" s="58" t="n"/>
      <c r="F47" s="58" t="n"/>
      <c r="G47" s="58" t="n"/>
      <c r="H47" s="58" t="n"/>
      <c r="I47" s="58" t="n"/>
      <c r="L47" s="62">
        <f>0</f>
        <v/>
      </c>
      <c r="M47" s="62">
        <f>(L46+L47)*КоэффСохранения</f>
        <v/>
      </c>
      <c r="N47" s="62">
        <f>(M46+M47)*КоэффСохранения</f>
        <v/>
      </c>
      <c r="O47" s="62">
        <f>(N46+N47)*КоэффСохранения</f>
        <v/>
      </c>
      <c r="P47" s="62">
        <f>(O46+O47)*КоэффСохранения</f>
        <v/>
      </c>
      <c r="Q47" s="62">
        <f>(P46+P47)*КоэффСохранения</f>
        <v/>
      </c>
      <c r="R47" s="62">
        <f>(Q46+Q47)*КоэффСохранения</f>
        <v/>
      </c>
      <c r="S47" s="62">
        <f>(R46+R47)*КоэффСохранения</f>
        <v/>
      </c>
      <c r="T47" s="62">
        <f>(S46+S47)*КоэффСохранения</f>
        <v/>
      </c>
      <c r="U47" s="62">
        <f>(T46+T47)*КоэффСохранения</f>
        <v/>
      </c>
      <c r="V47" s="62">
        <f>(U46+U47)*КоэффСохранения</f>
        <v/>
      </c>
      <c r="W47" s="62">
        <f>(V46+V47)*КоэффСохранения</f>
        <v/>
      </c>
      <c r="X47" s="62">
        <f>(W46+W47)*КоэффСохранения</f>
        <v/>
      </c>
      <c r="Y47" s="62">
        <f>(X46+X47)*КоэффСохранения</f>
        <v/>
      </c>
      <c r="Z47" s="62">
        <f>(Y46+Y47)*КоэффСохранения</f>
        <v/>
      </c>
      <c r="AA47" s="62">
        <f>(Z46+Z47)*КоэффСохранения</f>
        <v/>
      </c>
      <c r="AB47" s="62">
        <f>(AA46+AA47)*КоэффСохранения</f>
        <v/>
      </c>
      <c r="AC47" s="62">
        <f>(AB46+AB47)*КоэффСохранения</f>
        <v/>
      </c>
      <c r="AD47" s="62">
        <f>(AC46+AC47)*КоэффСохранения</f>
        <v/>
      </c>
      <c r="AE47" s="62">
        <f>(AD46+AD47)*КоэффСохранения</f>
        <v/>
      </c>
      <c r="AF47" s="62">
        <f>(AE46+AE47)*КоэффСохранения</f>
        <v/>
      </c>
      <c r="AG47" s="62">
        <f>(AF46+AF47)*КоэффСохранения</f>
        <v/>
      </c>
      <c r="AH47" s="62">
        <f>(AG46+AG47)*КоэффСохранения</f>
        <v/>
      </c>
      <c r="AI47" s="62">
        <f>(AH46+AH47)*КоэффСохранения</f>
        <v/>
      </c>
      <c r="AJ47" s="62">
        <f>(AI46+AI47)*КоэффСохранения</f>
        <v/>
      </c>
      <c r="AK47" s="62">
        <f>(AJ46+AJ47)*КоэффСохранения</f>
        <v/>
      </c>
      <c r="AL47" s="62">
        <f>(AK46+AK47)*КоэффСохранения</f>
        <v/>
      </c>
      <c r="AM47" s="62">
        <f>(AL46+AL47)*КоэффСохранения</f>
        <v/>
      </c>
      <c r="AN47" s="62">
        <f>(AM46+AM47)*КоэффСохранения</f>
        <v/>
      </c>
      <c r="AO47" s="62">
        <f>(AN46+AN47)*КоэффСохранения</f>
        <v/>
      </c>
      <c r="AP47" s="62">
        <f>(AO46+AO47)*КоэффСохранения</f>
        <v/>
      </c>
      <c r="AQ47" s="62">
        <f>(AP46+AP47)*КоэффСохранения</f>
        <v/>
      </c>
      <c r="AR47" s="62">
        <f>(AQ46+AQ47)*КоэффСохранения</f>
        <v/>
      </c>
      <c r="AS47" s="62">
        <f>(AR46+AR47)*КоэффСохранения</f>
        <v/>
      </c>
      <c r="AT47" s="62">
        <f>(AS46+AS47)*КоэффСохранения</f>
        <v/>
      </c>
      <c r="AU47" s="62">
        <f>(AT46+AT47)*КоэффСохранения</f>
        <v/>
      </c>
      <c r="AV47" s="62">
        <f>(AU46+AU47)*КоэффСохранения</f>
        <v/>
      </c>
      <c r="AW47" s="62">
        <f>(AV46+AV47)*КоэффСохранения</f>
        <v/>
      </c>
      <c r="AX47" s="62">
        <f>(AW46+AW47)*КоэффСохранения</f>
        <v/>
      </c>
      <c r="AY47" s="62">
        <f>(AX46+AX47)*КоэффСохранения</f>
        <v/>
      </c>
      <c r="AZ47" s="62">
        <f>(AY46+AY47)*КоэффСохранения</f>
        <v/>
      </c>
      <c r="BA47" s="62">
        <f>(AZ46+AZ47)*КоэффСохранения</f>
        <v/>
      </c>
      <c r="BB47" s="62">
        <f>(BA46+BA47)*КоэффСохранения</f>
        <v/>
      </c>
      <c r="BC47" s="62">
        <f>(BB46+BB47)*КоэффСохранения</f>
        <v/>
      </c>
      <c r="BD47" s="62">
        <f>(BC46+BC47)*КоэффСохранения</f>
        <v/>
      </c>
      <c r="BE47" s="62">
        <f>(BD46+BD47)*КоэффСохранения</f>
        <v/>
      </c>
      <c r="BF47" s="62">
        <f>(BE46+BE47)*КоэффСохранения</f>
        <v/>
      </c>
      <c r="BG47" s="62">
        <f>(BF46+BF47)*КоэффСохранения</f>
        <v/>
      </c>
      <c r="BH47" s="62">
        <f>(BG46+BG47)*КоэффСохранения</f>
        <v/>
      </c>
      <c r="BI47" s="62">
        <f>(BH46+BH47)*КоэффСохранения</f>
        <v/>
      </c>
      <c r="BJ47" s="62">
        <f>(BI46+BI47)*КоэффСохранения</f>
        <v/>
      </c>
      <c r="BK47" s="62">
        <f>(BJ46+BJ47)*КоэффСохранения</f>
        <v/>
      </c>
      <c r="BL47" s="62">
        <f>(BK46+BK47)*КоэффСохранения</f>
        <v/>
      </c>
      <c r="BM47" s="62">
        <f>(BL46+BL47)*КоэффСохранения</f>
        <v/>
      </c>
      <c r="BN47" s="62">
        <f>(BM46+BM47)*КоэффСохранения</f>
        <v/>
      </c>
      <c r="BO47" s="62">
        <f>(BN46+BN47)*КоэффСохранения</f>
        <v/>
      </c>
      <c r="BP47" s="62">
        <f>(BO46+BO47)*КоэффСохранения</f>
        <v/>
      </c>
      <c r="BQ47" s="62">
        <f>(BP46+BP47)*КоэффСохранения</f>
        <v/>
      </c>
      <c r="BR47" s="62">
        <f>(BQ46+BQ47)*КоэффСохранения</f>
        <v/>
      </c>
      <c r="BS47" s="62">
        <f>(BR46+BR47)*КоэффСохранения</f>
        <v/>
      </c>
      <c r="BT47" s="62">
        <f>(BS46+BS47)*КоэффСохранения</f>
        <v/>
      </c>
      <c r="BU47" s="62">
        <f>(BT46+BT47)*КоэффСохранения</f>
        <v/>
      </c>
      <c r="BV47" s="62">
        <f>(BU46+BU47)*КоэффСохранения</f>
        <v/>
      </c>
      <c r="BW47" s="62">
        <f>(BV46+BV47)*КоэффСохранения</f>
        <v/>
      </c>
      <c r="BX47" s="62">
        <f>(BW46+BW47)*КоэффСохранения</f>
        <v/>
      </c>
      <c r="BY47" s="62">
        <f>(BX46+BX47)*КоэффСохранения</f>
        <v/>
      </c>
    </row>
    <row r="48" ht="15.75" customHeight="1" s="194"/>
    <row r="49" ht="15.75" customHeight="1" s="194">
      <c r="B49" s="54" t="inlineStr">
        <is>
          <t>Новые школы и их дети</t>
        </is>
      </c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  <c r="S49" s="55" t="n"/>
      <c r="T49" s="55" t="n"/>
      <c r="U49" s="55" t="n"/>
      <c r="V49" s="55" t="n"/>
      <c r="W49" s="55" t="n"/>
      <c r="X49" s="55" t="n"/>
      <c r="Y49" s="55" t="n"/>
      <c r="Z49" s="55" t="n"/>
      <c r="AA49" s="55" t="n"/>
      <c r="AB49" s="55" t="n"/>
      <c r="AC49" s="55" t="n"/>
      <c r="AD49" s="55" t="n"/>
      <c r="AE49" s="55" t="n"/>
      <c r="AF49" s="55" t="n"/>
      <c r="AG49" s="55" t="n"/>
      <c r="AH49" s="55" t="n"/>
      <c r="AI49" s="55" t="n"/>
      <c r="AJ49" s="55" t="n"/>
      <c r="AK49" s="55" t="n"/>
      <c r="AL49" s="55" t="n"/>
      <c r="AM49" s="55" t="n"/>
      <c r="AN49" s="55" t="n"/>
      <c r="AO49" s="55" t="n"/>
      <c r="AP49" s="55" t="n"/>
      <c r="AQ49" s="55" t="n"/>
      <c r="AR49" s="55" t="n"/>
      <c r="AS49" s="55" t="n"/>
      <c r="AT49" s="55" t="n"/>
      <c r="AU49" s="55" t="n"/>
      <c r="AV49" s="55" t="n"/>
      <c r="AW49" s="55" t="n"/>
      <c r="AX49" s="55" t="n"/>
      <c r="AY49" s="55" t="n"/>
      <c r="AZ49" s="55" t="n"/>
      <c r="BA49" s="55" t="n"/>
      <c r="BB49" s="55" t="n"/>
      <c r="BC49" s="55" t="n"/>
      <c r="BD49" s="55" t="n"/>
      <c r="BE49" s="55" t="n"/>
      <c r="BF49" s="55" t="n"/>
      <c r="BG49" s="55" t="n"/>
      <c r="BH49" s="55" t="n"/>
      <c r="BI49" s="55" t="n"/>
      <c r="BJ49" s="55" t="n"/>
      <c r="BK49" s="55" t="n"/>
      <c r="BL49" s="55" t="n"/>
      <c r="BM49" s="55" t="n"/>
      <c r="BN49" s="55" t="n"/>
      <c r="BO49" s="55" t="n"/>
      <c r="BP49" s="55" t="n"/>
      <c r="BQ49" s="55" t="n"/>
      <c r="BR49" s="55" t="n"/>
      <c r="BS49" s="55" t="n"/>
      <c r="BT49" s="55" t="n"/>
      <c r="BU49" s="55" t="n"/>
      <c r="BV49" s="55" t="n"/>
      <c r="BW49" s="55" t="n"/>
      <c r="BX49" s="55" t="n"/>
      <c r="BY49" s="55" t="n"/>
    </row>
    <row r="50" ht="15.75" customHeight="1" s="194">
      <c r="B50" s="56" t="inlineStr">
        <is>
          <t>Новые школы 1–12 мес.</t>
        </is>
      </c>
      <c r="C50" s="56" t="inlineStr">
        <is>
          <t>шт.</t>
        </is>
      </c>
      <c r="D50" s="57" t="inlineStr">
        <is>
          <t>Сумма первых двенадцати когорт В колонках лет — значение на конец года, в «Итого» — на конец пятого года. Это остаток, а не сумма.</t>
        </is>
      </c>
      <c r="E50" s="59">
        <f>W50</f>
        <v/>
      </c>
      <c r="F50" s="59">
        <f>AI50</f>
        <v/>
      </c>
      <c r="G50" s="59">
        <f>AU50</f>
        <v/>
      </c>
      <c r="H50" s="59">
        <f>BG50</f>
        <v/>
      </c>
      <c r="I50" s="59">
        <f>BS50</f>
        <v/>
      </c>
      <c r="J50" s="61">
        <f>BS50</f>
        <v/>
      </c>
      <c r="L50" s="62">
        <f>SUM(L23:L34)</f>
        <v/>
      </c>
      <c r="M50" s="62">
        <f>SUM(M23:M34)</f>
        <v/>
      </c>
      <c r="N50" s="62">
        <f>SUM(N23:N34)</f>
        <v/>
      </c>
      <c r="O50" s="62">
        <f>SUM(O23:O34)</f>
        <v/>
      </c>
      <c r="P50" s="62">
        <f>SUM(P23:P34)</f>
        <v/>
      </c>
      <c r="Q50" s="62">
        <f>SUM(Q23:Q34)</f>
        <v/>
      </c>
      <c r="R50" s="62">
        <f>SUM(R23:R34)</f>
        <v/>
      </c>
      <c r="S50" s="62">
        <f>SUM(S23:S34)</f>
        <v/>
      </c>
      <c r="T50" s="62">
        <f>SUM(T23:T34)</f>
        <v/>
      </c>
      <c r="U50" s="62">
        <f>SUM(U23:U34)</f>
        <v/>
      </c>
      <c r="V50" s="62">
        <f>SUM(V23:V34)</f>
        <v/>
      </c>
      <c r="W50" s="62">
        <f>SUM(W23:W34)</f>
        <v/>
      </c>
      <c r="X50" s="62">
        <f>SUM(X23:X34)</f>
        <v/>
      </c>
      <c r="Y50" s="62">
        <f>SUM(Y23:Y34)</f>
        <v/>
      </c>
      <c r="Z50" s="62">
        <f>SUM(Z23:Z34)</f>
        <v/>
      </c>
      <c r="AA50" s="62">
        <f>SUM(AA23:AA34)</f>
        <v/>
      </c>
      <c r="AB50" s="62">
        <f>SUM(AB23:AB34)</f>
        <v/>
      </c>
      <c r="AC50" s="62">
        <f>SUM(AC23:AC34)</f>
        <v/>
      </c>
      <c r="AD50" s="62">
        <f>SUM(AD23:AD34)</f>
        <v/>
      </c>
      <c r="AE50" s="62">
        <f>SUM(AE23:AE34)</f>
        <v/>
      </c>
      <c r="AF50" s="62">
        <f>SUM(AF23:AF34)</f>
        <v/>
      </c>
      <c r="AG50" s="62">
        <f>SUM(AG23:AG34)</f>
        <v/>
      </c>
      <c r="AH50" s="62">
        <f>SUM(AH23:AH34)</f>
        <v/>
      </c>
      <c r="AI50" s="62">
        <f>SUM(AI23:AI34)</f>
        <v/>
      </c>
      <c r="AJ50" s="62">
        <f>SUM(AJ23:AJ34)</f>
        <v/>
      </c>
      <c r="AK50" s="62">
        <f>SUM(AK23:AK34)</f>
        <v/>
      </c>
      <c r="AL50" s="62">
        <f>SUM(AL23:AL34)</f>
        <v/>
      </c>
      <c r="AM50" s="62">
        <f>SUM(AM23:AM34)</f>
        <v/>
      </c>
      <c r="AN50" s="62">
        <f>SUM(AN23:AN34)</f>
        <v/>
      </c>
      <c r="AO50" s="62">
        <f>SUM(AO23:AO34)</f>
        <v/>
      </c>
      <c r="AP50" s="62">
        <f>SUM(AP23:AP34)</f>
        <v/>
      </c>
      <c r="AQ50" s="62">
        <f>SUM(AQ23:AQ34)</f>
        <v/>
      </c>
      <c r="AR50" s="62">
        <f>SUM(AR23:AR34)</f>
        <v/>
      </c>
      <c r="AS50" s="62">
        <f>SUM(AS23:AS34)</f>
        <v/>
      </c>
      <c r="AT50" s="62">
        <f>SUM(AT23:AT34)</f>
        <v/>
      </c>
      <c r="AU50" s="62">
        <f>SUM(AU23:AU34)</f>
        <v/>
      </c>
      <c r="AV50" s="62">
        <f>SUM(AV23:AV34)</f>
        <v/>
      </c>
      <c r="AW50" s="62">
        <f>SUM(AW23:AW34)</f>
        <v/>
      </c>
      <c r="AX50" s="62">
        <f>SUM(AX23:AX34)</f>
        <v/>
      </c>
      <c r="AY50" s="62">
        <f>SUM(AY23:AY34)</f>
        <v/>
      </c>
      <c r="AZ50" s="62">
        <f>SUM(AZ23:AZ34)</f>
        <v/>
      </c>
      <c r="BA50" s="62">
        <f>SUM(BA23:BA34)</f>
        <v/>
      </c>
      <c r="BB50" s="62">
        <f>SUM(BB23:BB34)</f>
        <v/>
      </c>
      <c r="BC50" s="62">
        <f>SUM(BC23:BC34)</f>
        <v/>
      </c>
      <c r="BD50" s="62">
        <f>SUM(BD23:BD34)</f>
        <v/>
      </c>
      <c r="BE50" s="62">
        <f>SUM(BE23:BE34)</f>
        <v/>
      </c>
      <c r="BF50" s="62">
        <f>SUM(BF23:BF34)</f>
        <v/>
      </c>
      <c r="BG50" s="62">
        <f>SUM(BG23:BG34)</f>
        <v/>
      </c>
      <c r="BH50" s="62">
        <f>SUM(BH23:BH34)</f>
        <v/>
      </c>
      <c r="BI50" s="62">
        <f>SUM(BI23:BI34)</f>
        <v/>
      </c>
      <c r="BJ50" s="62">
        <f>SUM(BJ23:BJ34)</f>
        <v/>
      </c>
      <c r="BK50" s="62">
        <f>SUM(BK23:BK34)</f>
        <v/>
      </c>
      <c r="BL50" s="62">
        <f>SUM(BL23:BL34)</f>
        <v/>
      </c>
      <c r="BM50" s="62">
        <f>SUM(BM23:BM34)</f>
        <v/>
      </c>
      <c r="BN50" s="62">
        <f>SUM(BN23:BN34)</f>
        <v/>
      </c>
      <c r="BO50" s="62">
        <f>SUM(BO23:BO34)</f>
        <v/>
      </c>
      <c r="BP50" s="62">
        <f>SUM(BP23:BP34)</f>
        <v/>
      </c>
      <c r="BQ50" s="62">
        <f>SUM(BQ23:BQ34)</f>
        <v/>
      </c>
      <c r="BR50" s="62">
        <f>SUM(BR23:BR34)</f>
        <v/>
      </c>
      <c r="BS50" s="62">
        <f>SUM(BS23:BS34)</f>
        <v/>
      </c>
      <c r="BT50" s="62">
        <f>SUM(BT23:BT34)</f>
        <v/>
      </c>
      <c r="BU50" s="62">
        <f>SUM(BU23:BU34)</f>
        <v/>
      </c>
      <c r="BV50" s="62">
        <f>SUM(BV23:BV34)</f>
        <v/>
      </c>
      <c r="BW50" s="62">
        <f>SUM(BW23:BW34)</f>
        <v/>
      </c>
      <c r="BX50" s="62">
        <f>SUM(BX23:BX34)</f>
        <v/>
      </c>
      <c r="BY50" s="62">
        <f>SUM(BY23:BY34)</f>
        <v/>
      </c>
    </row>
    <row r="51" ht="15.75" customHeight="1" s="194">
      <c r="B51" s="56" t="inlineStr">
        <is>
          <t>Новые школы 13–24 мес.</t>
        </is>
      </c>
      <c r="C51" s="56" t="inlineStr">
        <is>
          <t>шт.</t>
        </is>
      </c>
      <c r="D51" s="57" t="inlineStr">
        <is>
          <t>Второй год жизни В колонках лет — значение на конец года, в «Итого» — на конец пятого года. Это остаток, а не сумма.</t>
        </is>
      </c>
      <c r="E51" s="59">
        <f>W51</f>
        <v/>
      </c>
      <c r="F51" s="59">
        <f>AI51</f>
        <v/>
      </c>
      <c r="G51" s="59">
        <f>AU51</f>
        <v/>
      </c>
      <c r="H51" s="59">
        <f>BG51</f>
        <v/>
      </c>
      <c r="I51" s="59">
        <f>BS51</f>
        <v/>
      </c>
      <c r="J51" s="61">
        <f>BS51</f>
        <v/>
      </c>
      <c r="L51" s="62">
        <f>SUM(L35:L46)</f>
        <v/>
      </c>
      <c r="M51" s="62">
        <f>SUM(M35:M46)</f>
        <v/>
      </c>
      <c r="N51" s="62">
        <f>SUM(N35:N46)</f>
        <v/>
      </c>
      <c r="O51" s="62">
        <f>SUM(O35:O46)</f>
        <v/>
      </c>
      <c r="P51" s="62">
        <f>SUM(P35:P46)</f>
        <v/>
      </c>
      <c r="Q51" s="62">
        <f>SUM(Q35:Q46)</f>
        <v/>
      </c>
      <c r="R51" s="62">
        <f>SUM(R35:R46)</f>
        <v/>
      </c>
      <c r="S51" s="62">
        <f>SUM(S35:S46)</f>
        <v/>
      </c>
      <c r="T51" s="62">
        <f>SUM(T35:T46)</f>
        <v/>
      </c>
      <c r="U51" s="62">
        <f>SUM(U35:U46)</f>
        <v/>
      </c>
      <c r="V51" s="62">
        <f>SUM(V35:V46)</f>
        <v/>
      </c>
      <c r="W51" s="62">
        <f>SUM(W35:W46)</f>
        <v/>
      </c>
      <c r="X51" s="62">
        <f>SUM(X35:X46)</f>
        <v/>
      </c>
      <c r="Y51" s="62">
        <f>SUM(Y35:Y46)</f>
        <v/>
      </c>
      <c r="Z51" s="62">
        <f>SUM(Z35:Z46)</f>
        <v/>
      </c>
      <c r="AA51" s="62">
        <f>SUM(AA35:AA46)</f>
        <v/>
      </c>
      <c r="AB51" s="62">
        <f>SUM(AB35:AB46)</f>
        <v/>
      </c>
      <c r="AC51" s="62">
        <f>SUM(AC35:AC46)</f>
        <v/>
      </c>
      <c r="AD51" s="62">
        <f>SUM(AD35:AD46)</f>
        <v/>
      </c>
      <c r="AE51" s="62">
        <f>SUM(AE35:AE46)</f>
        <v/>
      </c>
      <c r="AF51" s="62">
        <f>SUM(AF35:AF46)</f>
        <v/>
      </c>
      <c r="AG51" s="62">
        <f>SUM(AG35:AG46)</f>
        <v/>
      </c>
      <c r="AH51" s="62">
        <f>SUM(AH35:AH46)</f>
        <v/>
      </c>
      <c r="AI51" s="62">
        <f>SUM(AI35:AI46)</f>
        <v/>
      </c>
      <c r="AJ51" s="62">
        <f>SUM(AJ35:AJ46)</f>
        <v/>
      </c>
      <c r="AK51" s="62">
        <f>SUM(AK35:AK46)</f>
        <v/>
      </c>
      <c r="AL51" s="62">
        <f>SUM(AL35:AL46)</f>
        <v/>
      </c>
      <c r="AM51" s="62">
        <f>SUM(AM35:AM46)</f>
        <v/>
      </c>
      <c r="AN51" s="62">
        <f>SUM(AN35:AN46)</f>
        <v/>
      </c>
      <c r="AO51" s="62">
        <f>SUM(AO35:AO46)</f>
        <v/>
      </c>
      <c r="AP51" s="62">
        <f>SUM(AP35:AP46)</f>
        <v/>
      </c>
      <c r="AQ51" s="62">
        <f>SUM(AQ35:AQ46)</f>
        <v/>
      </c>
      <c r="AR51" s="62">
        <f>SUM(AR35:AR46)</f>
        <v/>
      </c>
      <c r="AS51" s="62">
        <f>SUM(AS35:AS46)</f>
        <v/>
      </c>
      <c r="AT51" s="62">
        <f>SUM(AT35:AT46)</f>
        <v/>
      </c>
      <c r="AU51" s="62">
        <f>SUM(AU35:AU46)</f>
        <v/>
      </c>
      <c r="AV51" s="62">
        <f>SUM(AV35:AV46)</f>
        <v/>
      </c>
      <c r="AW51" s="62">
        <f>SUM(AW35:AW46)</f>
        <v/>
      </c>
      <c r="AX51" s="62">
        <f>SUM(AX35:AX46)</f>
        <v/>
      </c>
      <c r="AY51" s="62">
        <f>SUM(AY35:AY46)</f>
        <v/>
      </c>
      <c r="AZ51" s="62">
        <f>SUM(AZ35:AZ46)</f>
        <v/>
      </c>
      <c r="BA51" s="62">
        <f>SUM(BA35:BA46)</f>
        <v/>
      </c>
      <c r="BB51" s="62">
        <f>SUM(BB35:BB46)</f>
        <v/>
      </c>
      <c r="BC51" s="62">
        <f>SUM(BC35:BC46)</f>
        <v/>
      </c>
      <c r="BD51" s="62">
        <f>SUM(BD35:BD46)</f>
        <v/>
      </c>
      <c r="BE51" s="62">
        <f>SUM(BE35:BE46)</f>
        <v/>
      </c>
      <c r="BF51" s="62">
        <f>SUM(BF35:BF46)</f>
        <v/>
      </c>
      <c r="BG51" s="62">
        <f>SUM(BG35:BG46)</f>
        <v/>
      </c>
      <c r="BH51" s="62">
        <f>SUM(BH35:BH46)</f>
        <v/>
      </c>
      <c r="BI51" s="62">
        <f>SUM(BI35:BI46)</f>
        <v/>
      </c>
      <c r="BJ51" s="62">
        <f>SUM(BJ35:BJ46)</f>
        <v/>
      </c>
      <c r="BK51" s="62">
        <f>SUM(BK35:BK46)</f>
        <v/>
      </c>
      <c r="BL51" s="62">
        <f>SUM(BL35:BL46)</f>
        <v/>
      </c>
      <c r="BM51" s="62">
        <f>SUM(BM35:BM46)</f>
        <v/>
      </c>
      <c r="BN51" s="62">
        <f>SUM(BN35:BN46)</f>
        <v/>
      </c>
      <c r="BO51" s="62">
        <f>SUM(BO35:BO46)</f>
        <v/>
      </c>
      <c r="BP51" s="62">
        <f>SUM(BP35:BP46)</f>
        <v/>
      </c>
      <c r="BQ51" s="62">
        <f>SUM(BQ35:BQ46)</f>
        <v/>
      </c>
      <c r="BR51" s="62">
        <f>SUM(BR35:BR46)</f>
        <v/>
      </c>
      <c r="BS51" s="62">
        <f>SUM(BS35:BS46)</f>
        <v/>
      </c>
      <c r="BT51" s="62">
        <f>SUM(BT35:BT46)</f>
        <v/>
      </c>
      <c r="BU51" s="62">
        <f>SUM(BU35:BU46)</f>
        <v/>
      </c>
      <c r="BV51" s="62">
        <f>SUM(BV35:BV46)</f>
        <v/>
      </c>
      <c r="BW51" s="62">
        <f>SUM(BW35:BW46)</f>
        <v/>
      </c>
      <c r="BX51" s="62">
        <f>SUM(BX35:BX46)</f>
        <v/>
      </c>
      <c r="BY51" s="62">
        <f>SUM(BY35:BY46)</f>
        <v/>
      </c>
    </row>
    <row r="52" ht="15.75" customHeight="1" s="194">
      <c r="B52" s="56" t="inlineStr">
        <is>
          <t>Новые школы зрелые</t>
        </is>
      </c>
      <c r="C52" s="56" t="inlineStr">
        <is>
          <t>шт.</t>
        </is>
      </c>
      <c r="D52" s="57" t="inlineStr">
        <is>
          <t>Старше двух лет В колонках лет — значение на конец года, в «Итого» — на конец пятого года. Это остаток, а не сумма.</t>
        </is>
      </c>
      <c r="E52" s="59">
        <f>W52</f>
        <v/>
      </c>
      <c r="F52" s="59">
        <f>AI52</f>
        <v/>
      </c>
      <c r="G52" s="59">
        <f>AU52</f>
        <v/>
      </c>
      <c r="H52" s="59">
        <f>BG52</f>
        <v/>
      </c>
      <c r="I52" s="59">
        <f>BS52</f>
        <v/>
      </c>
      <c r="J52" s="61">
        <f>BS52</f>
        <v/>
      </c>
      <c r="L52" s="62">
        <f>L47</f>
        <v/>
      </c>
      <c r="M52" s="62">
        <f>M47</f>
        <v/>
      </c>
      <c r="N52" s="62">
        <f>N47</f>
        <v/>
      </c>
      <c r="O52" s="62">
        <f>O47</f>
        <v/>
      </c>
      <c r="P52" s="62">
        <f>P47</f>
        <v/>
      </c>
      <c r="Q52" s="62">
        <f>Q47</f>
        <v/>
      </c>
      <c r="R52" s="62">
        <f>R47</f>
        <v/>
      </c>
      <c r="S52" s="62">
        <f>S47</f>
        <v/>
      </c>
      <c r="T52" s="62">
        <f>T47</f>
        <v/>
      </c>
      <c r="U52" s="62">
        <f>U47</f>
        <v/>
      </c>
      <c r="V52" s="62">
        <f>V47</f>
        <v/>
      </c>
      <c r="W52" s="62">
        <f>W47</f>
        <v/>
      </c>
      <c r="X52" s="62">
        <f>X47</f>
        <v/>
      </c>
      <c r="Y52" s="62">
        <f>Y47</f>
        <v/>
      </c>
      <c r="Z52" s="62">
        <f>Z47</f>
        <v/>
      </c>
      <c r="AA52" s="62">
        <f>AA47</f>
        <v/>
      </c>
      <c r="AB52" s="62">
        <f>AB47</f>
        <v/>
      </c>
      <c r="AC52" s="62">
        <f>AC47</f>
        <v/>
      </c>
      <c r="AD52" s="62">
        <f>AD47</f>
        <v/>
      </c>
      <c r="AE52" s="62">
        <f>AE47</f>
        <v/>
      </c>
      <c r="AF52" s="62">
        <f>AF47</f>
        <v/>
      </c>
      <c r="AG52" s="62">
        <f>AG47</f>
        <v/>
      </c>
      <c r="AH52" s="62">
        <f>AH47</f>
        <v/>
      </c>
      <c r="AI52" s="62">
        <f>AI47</f>
        <v/>
      </c>
      <c r="AJ52" s="62">
        <f>AJ47</f>
        <v/>
      </c>
      <c r="AK52" s="62">
        <f>AK47</f>
        <v/>
      </c>
      <c r="AL52" s="62">
        <f>AL47</f>
        <v/>
      </c>
      <c r="AM52" s="62">
        <f>AM47</f>
        <v/>
      </c>
      <c r="AN52" s="62">
        <f>AN47</f>
        <v/>
      </c>
      <c r="AO52" s="62">
        <f>AO47</f>
        <v/>
      </c>
      <c r="AP52" s="62">
        <f>AP47</f>
        <v/>
      </c>
      <c r="AQ52" s="62">
        <f>AQ47</f>
        <v/>
      </c>
      <c r="AR52" s="62">
        <f>AR47</f>
        <v/>
      </c>
      <c r="AS52" s="62">
        <f>AS47</f>
        <v/>
      </c>
      <c r="AT52" s="62">
        <f>AT47</f>
        <v/>
      </c>
      <c r="AU52" s="62">
        <f>AU47</f>
        <v/>
      </c>
      <c r="AV52" s="62">
        <f>AV47</f>
        <v/>
      </c>
      <c r="AW52" s="62">
        <f>AW47</f>
        <v/>
      </c>
      <c r="AX52" s="62">
        <f>AX47</f>
        <v/>
      </c>
      <c r="AY52" s="62">
        <f>AY47</f>
        <v/>
      </c>
      <c r="AZ52" s="62">
        <f>AZ47</f>
        <v/>
      </c>
      <c r="BA52" s="62">
        <f>BA47</f>
        <v/>
      </c>
      <c r="BB52" s="62">
        <f>BB47</f>
        <v/>
      </c>
      <c r="BC52" s="62">
        <f>BC47</f>
        <v/>
      </c>
      <c r="BD52" s="62">
        <f>BD47</f>
        <v/>
      </c>
      <c r="BE52" s="62">
        <f>BE47</f>
        <v/>
      </c>
      <c r="BF52" s="62">
        <f>BF47</f>
        <v/>
      </c>
      <c r="BG52" s="62">
        <f>BG47</f>
        <v/>
      </c>
      <c r="BH52" s="62">
        <f>BH47</f>
        <v/>
      </c>
      <c r="BI52" s="62">
        <f>BI47</f>
        <v/>
      </c>
      <c r="BJ52" s="62">
        <f>BJ47</f>
        <v/>
      </c>
      <c r="BK52" s="62">
        <f>BK47</f>
        <v/>
      </c>
      <c r="BL52" s="62">
        <f>BL47</f>
        <v/>
      </c>
      <c r="BM52" s="62">
        <f>BM47</f>
        <v/>
      </c>
      <c r="BN52" s="62">
        <f>BN47</f>
        <v/>
      </c>
      <c r="BO52" s="62">
        <f>BO47</f>
        <v/>
      </c>
      <c r="BP52" s="62">
        <f>BP47</f>
        <v/>
      </c>
      <c r="BQ52" s="62">
        <f>BQ47</f>
        <v/>
      </c>
      <c r="BR52" s="62">
        <f>BR47</f>
        <v/>
      </c>
      <c r="BS52" s="62">
        <f>BS47</f>
        <v/>
      </c>
      <c r="BT52" s="62">
        <f>BT47</f>
        <v/>
      </c>
      <c r="BU52" s="62">
        <f>BU47</f>
        <v/>
      </c>
      <c r="BV52" s="62">
        <f>BV47</f>
        <v/>
      </c>
      <c r="BW52" s="62">
        <f>BW47</f>
        <v/>
      </c>
      <c r="BX52" s="62">
        <f>BX47</f>
        <v/>
      </c>
      <c r="BY52" s="62">
        <f>BY47</f>
        <v/>
      </c>
    </row>
    <row r="53" ht="15.75" customHeight="1" s="194">
      <c r="B53" s="130" t="inlineStr">
        <is>
          <t>Новые школы — всего</t>
        </is>
      </c>
      <c r="C53" s="130" t="inlineStr">
        <is>
          <t>шт.</t>
        </is>
      </c>
      <c r="D53" s="156" t="inlineStr">
        <is>
          <t>В колонках лет — значение на конец года, в «Итого» — на конец пятого года. Это остаток, а не сумма.</t>
        </is>
      </c>
      <c r="E53" s="175">
        <f>W53</f>
        <v/>
      </c>
      <c r="F53" s="175">
        <f>AI53</f>
        <v/>
      </c>
      <c r="G53" s="175">
        <f>AU53</f>
        <v/>
      </c>
      <c r="H53" s="175">
        <f>BG53</f>
        <v/>
      </c>
      <c r="I53" s="175">
        <f>BS53</f>
        <v/>
      </c>
      <c r="J53" s="176">
        <f>BS53</f>
        <v/>
      </c>
      <c r="L53" s="177">
        <f>SUM(L50:L52)</f>
        <v/>
      </c>
      <c r="M53" s="177">
        <f>SUM(M50:M52)</f>
        <v/>
      </c>
      <c r="N53" s="177">
        <f>SUM(N50:N52)</f>
        <v/>
      </c>
      <c r="O53" s="177">
        <f>SUM(O50:O52)</f>
        <v/>
      </c>
      <c r="P53" s="177">
        <f>SUM(P50:P52)</f>
        <v/>
      </c>
      <c r="Q53" s="177">
        <f>SUM(Q50:Q52)</f>
        <v/>
      </c>
      <c r="R53" s="177">
        <f>SUM(R50:R52)</f>
        <v/>
      </c>
      <c r="S53" s="177">
        <f>SUM(S50:S52)</f>
        <v/>
      </c>
      <c r="T53" s="177">
        <f>SUM(T50:T52)</f>
        <v/>
      </c>
      <c r="U53" s="177">
        <f>SUM(U50:U52)</f>
        <v/>
      </c>
      <c r="V53" s="177">
        <f>SUM(V50:V52)</f>
        <v/>
      </c>
      <c r="W53" s="177">
        <f>SUM(W50:W52)</f>
        <v/>
      </c>
      <c r="X53" s="177">
        <f>SUM(X50:X52)</f>
        <v/>
      </c>
      <c r="Y53" s="177">
        <f>SUM(Y50:Y52)</f>
        <v/>
      </c>
      <c r="Z53" s="177">
        <f>SUM(Z50:Z52)</f>
        <v/>
      </c>
      <c r="AA53" s="177">
        <f>SUM(AA50:AA52)</f>
        <v/>
      </c>
      <c r="AB53" s="177">
        <f>SUM(AB50:AB52)</f>
        <v/>
      </c>
      <c r="AC53" s="177">
        <f>SUM(AC50:AC52)</f>
        <v/>
      </c>
      <c r="AD53" s="177">
        <f>SUM(AD50:AD52)</f>
        <v/>
      </c>
      <c r="AE53" s="177">
        <f>SUM(AE50:AE52)</f>
        <v/>
      </c>
      <c r="AF53" s="177">
        <f>SUM(AF50:AF52)</f>
        <v/>
      </c>
      <c r="AG53" s="177">
        <f>SUM(AG50:AG52)</f>
        <v/>
      </c>
      <c r="AH53" s="177">
        <f>SUM(AH50:AH52)</f>
        <v/>
      </c>
      <c r="AI53" s="177">
        <f>SUM(AI50:AI52)</f>
        <v/>
      </c>
      <c r="AJ53" s="177">
        <f>SUM(AJ50:AJ52)</f>
        <v/>
      </c>
      <c r="AK53" s="177">
        <f>SUM(AK50:AK52)</f>
        <v/>
      </c>
      <c r="AL53" s="177">
        <f>SUM(AL50:AL52)</f>
        <v/>
      </c>
      <c r="AM53" s="177">
        <f>SUM(AM50:AM52)</f>
        <v/>
      </c>
      <c r="AN53" s="177">
        <f>SUM(AN50:AN52)</f>
        <v/>
      </c>
      <c r="AO53" s="177">
        <f>SUM(AO50:AO52)</f>
        <v/>
      </c>
      <c r="AP53" s="177">
        <f>SUM(AP50:AP52)</f>
        <v/>
      </c>
      <c r="AQ53" s="177">
        <f>SUM(AQ50:AQ52)</f>
        <v/>
      </c>
      <c r="AR53" s="177">
        <f>SUM(AR50:AR52)</f>
        <v/>
      </c>
      <c r="AS53" s="177">
        <f>SUM(AS50:AS52)</f>
        <v/>
      </c>
      <c r="AT53" s="177">
        <f>SUM(AT50:AT52)</f>
        <v/>
      </c>
      <c r="AU53" s="177">
        <f>SUM(AU50:AU52)</f>
        <v/>
      </c>
      <c r="AV53" s="177">
        <f>SUM(AV50:AV52)</f>
        <v/>
      </c>
      <c r="AW53" s="177">
        <f>SUM(AW50:AW52)</f>
        <v/>
      </c>
      <c r="AX53" s="177">
        <f>SUM(AX50:AX52)</f>
        <v/>
      </c>
      <c r="AY53" s="177">
        <f>SUM(AY50:AY52)</f>
        <v/>
      </c>
      <c r="AZ53" s="177">
        <f>SUM(AZ50:AZ52)</f>
        <v/>
      </c>
      <c r="BA53" s="177">
        <f>SUM(BA50:BA52)</f>
        <v/>
      </c>
      <c r="BB53" s="177">
        <f>SUM(BB50:BB52)</f>
        <v/>
      </c>
      <c r="BC53" s="177">
        <f>SUM(BC50:BC52)</f>
        <v/>
      </c>
      <c r="BD53" s="177">
        <f>SUM(BD50:BD52)</f>
        <v/>
      </c>
      <c r="BE53" s="177">
        <f>SUM(BE50:BE52)</f>
        <v/>
      </c>
      <c r="BF53" s="177">
        <f>SUM(BF50:BF52)</f>
        <v/>
      </c>
      <c r="BG53" s="177">
        <f>SUM(BG50:BG52)</f>
        <v/>
      </c>
      <c r="BH53" s="177">
        <f>SUM(BH50:BH52)</f>
        <v/>
      </c>
      <c r="BI53" s="177">
        <f>SUM(BI50:BI52)</f>
        <v/>
      </c>
      <c r="BJ53" s="177">
        <f>SUM(BJ50:BJ52)</f>
        <v/>
      </c>
      <c r="BK53" s="177">
        <f>SUM(BK50:BK52)</f>
        <v/>
      </c>
      <c r="BL53" s="177">
        <f>SUM(BL50:BL52)</f>
        <v/>
      </c>
      <c r="BM53" s="177">
        <f>SUM(BM50:BM52)</f>
        <v/>
      </c>
      <c r="BN53" s="177">
        <f>SUM(BN50:BN52)</f>
        <v/>
      </c>
      <c r="BO53" s="177">
        <f>SUM(BO50:BO52)</f>
        <v/>
      </c>
      <c r="BP53" s="177">
        <f>SUM(BP50:BP52)</f>
        <v/>
      </c>
      <c r="BQ53" s="177">
        <f>SUM(BQ50:BQ52)</f>
        <v/>
      </c>
      <c r="BR53" s="177">
        <f>SUM(BR50:BR52)</f>
        <v/>
      </c>
      <c r="BS53" s="177">
        <f>SUM(BS50:BS52)</f>
        <v/>
      </c>
      <c r="BT53" s="177">
        <f>SUM(BT50:BT52)</f>
        <v/>
      </c>
      <c r="BU53" s="177">
        <f>SUM(BU50:BU52)</f>
        <v/>
      </c>
      <c r="BV53" s="177">
        <f>SUM(BV50:BV52)</f>
        <v/>
      </c>
      <c r="BW53" s="177">
        <f>SUM(BW50:BW52)</f>
        <v/>
      </c>
      <c r="BX53" s="177">
        <f>SUM(BX50:BX52)</f>
        <v/>
      </c>
      <c r="BY53" s="177">
        <f>SUM(BY50:BY52)</f>
        <v/>
      </c>
    </row>
    <row r="54" ht="15.75" customHeight="1" s="194">
      <c r="B54" s="56" t="inlineStr">
        <is>
          <t>Дети новых школ, 1–12 мес.</t>
        </is>
      </c>
      <c r="C54" s="56" t="inlineStr">
        <is>
          <t>чел.</t>
        </is>
      </c>
      <c r="D54" s="57" t="inlineStr">
        <is>
          <t>Каждая когорта умножается на ёмкость своего возраста из справочника тарифов В колонках лет — значение на конец года, в «Итого» — на конец пятого года. Это остаток, а не сумма.</t>
        </is>
      </c>
      <c r="E54" s="85">
        <f>W54</f>
        <v/>
      </c>
      <c r="F54" s="85">
        <f>AI54</f>
        <v/>
      </c>
      <c r="G54" s="85">
        <f>AU54</f>
        <v/>
      </c>
      <c r="H54" s="85">
        <f>BG54</f>
        <v/>
      </c>
      <c r="I54" s="85">
        <f>BS54</f>
        <v/>
      </c>
      <c r="J54" s="86">
        <f>BS54</f>
        <v/>
      </c>
      <c r="L54" s="87">
        <f>SUMPRODUCT(L23:L34,CapacityYear1)*МножительДетей*L10</f>
        <v/>
      </c>
      <c r="M54" s="87">
        <f>SUMPRODUCT(M23:M34,CapacityYear1)*МножительДетей*M10</f>
        <v/>
      </c>
      <c r="N54" s="87">
        <f>SUMPRODUCT(N23:N34,CapacityYear1)*МножительДетей*N10</f>
        <v/>
      </c>
      <c r="O54" s="87">
        <f>SUMPRODUCT(O23:O34,CapacityYear1)*МножительДетей*O10</f>
        <v/>
      </c>
      <c r="P54" s="87">
        <f>SUMPRODUCT(P23:P34,CapacityYear1)*МножительДетей*P10</f>
        <v/>
      </c>
      <c r="Q54" s="87">
        <f>SUMPRODUCT(Q23:Q34,CapacityYear1)*МножительДетей*Q10</f>
        <v/>
      </c>
      <c r="R54" s="87">
        <f>SUMPRODUCT(R23:R34,CapacityYear1)*МножительДетей*R10</f>
        <v/>
      </c>
      <c r="S54" s="87">
        <f>SUMPRODUCT(S23:S34,CapacityYear1)*МножительДетей*S10</f>
        <v/>
      </c>
      <c r="T54" s="87">
        <f>SUMPRODUCT(T23:T34,CapacityYear1)*МножительДетей*T10</f>
        <v/>
      </c>
      <c r="U54" s="87">
        <f>SUMPRODUCT(U23:U34,CapacityYear1)*МножительДетей*U10</f>
        <v/>
      </c>
      <c r="V54" s="87">
        <f>SUMPRODUCT(V23:V34,CapacityYear1)*МножительДетей*V10</f>
        <v/>
      </c>
      <c r="W54" s="87">
        <f>SUMPRODUCT(W23:W34,CapacityYear1)*МножительДетей*W10</f>
        <v/>
      </c>
      <c r="X54" s="87">
        <f>SUMPRODUCT(X23:X34,CapacityYear1)*МножительДетей*X10</f>
        <v/>
      </c>
      <c r="Y54" s="87">
        <f>SUMPRODUCT(Y23:Y34,CapacityYear1)*МножительДетей*Y10</f>
        <v/>
      </c>
      <c r="Z54" s="87">
        <f>SUMPRODUCT(Z23:Z34,CapacityYear1)*МножительДетей*Z10</f>
        <v/>
      </c>
      <c r="AA54" s="87">
        <f>SUMPRODUCT(AA23:AA34,CapacityYear1)*МножительДетей*AA10</f>
        <v/>
      </c>
      <c r="AB54" s="87">
        <f>SUMPRODUCT(AB23:AB34,CapacityYear1)*МножительДетей*AB10</f>
        <v/>
      </c>
      <c r="AC54" s="87">
        <f>SUMPRODUCT(AC23:AC34,CapacityYear1)*МножительДетей*AC10</f>
        <v/>
      </c>
      <c r="AD54" s="87">
        <f>SUMPRODUCT(AD23:AD34,CapacityYear1)*МножительДетей*AD10</f>
        <v/>
      </c>
      <c r="AE54" s="87">
        <f>SUMPRODUCT(AE23:AE34,CapacityYear1)*МножительДетей*AE10</f>
        <v/>
      </c>
      <c r="AF54" s="87">
        <f>SUMPRODUCT(AF23:AF34,CapacityYear1)*МножительДетей*AF10</f>
        <v/>
      </c>
      <c r="AG54" s="87">
        <f>SUMPRODUCT(AG23:AG34,CapacityYear1)*МножительДетей*AG10</f>
        <v/>
      </c>
      <c r="AH54" s="87">
        <f>SUMPRODUCT(AH23:AH34,CapacityYear1)*МножительДетей*AH10</f>
        <v/>
      </c>
      <c r="AI54" s="87">
        <f>SUMPRODUCT(AI23:AI34,CapacityYear1)*МножительДетей*AI10</f>
        <v/>
      </c>
      <c r="AJ54" s="87">
        <f>SUMPRODUCT(AJ23:AJ34,CapacityYear1)*МножительДетей*AJ10</f>
        <v/>
      </c>
      <c r="AK54" s="87">
        <f>SUMPRODUCT(AK23:AK34,CapacityYear1)*МножительДетей*AK10</f>
        <v/>
      </c>
      <c r="AL54" s="87">
        <f>SUMPRODUCT(AL23:AL34,CapacityYear1)*МножительДетей*AL10</f>
        <v/>
      </c>
      <c r="AM54" s="87">
        <f>SUMPRODUCT(AM23:AM34,CapacityYear1)*МножительДетей*AM10</f>
        <v/>
      </c>
      <c r="AN54" s="87">
        <f>SUMPRODUCT(AN23:AN34,CapacityYear1)*МножительДетей*AN10</f>
        <v/>
      </c>
      <c r="AO54" s="87">
        <f>SUMPRODUCT(AO23:AO34,CapacityYear1)*МножительДетей*AO10</f>
        <v/>
      </c>
      <c r="AP54" s="87">
        <f>SUMPRODUCT(AP23:AP34,CapacityYear1)*МножительДетей*AP10</f>
        <v/>
      </c>
      <c r="AQ54" s="87">
        <f>SUMPRODUCT(AQ23:AQ34,CapacityYear1)*МножительДетей*AQ10</f>
        <v/>
      </c>
      <c r="AR54" s="87">
        <f>SUMPRODUCT(AR23:AR34,CapacityYear1)*МножительДетей*AR10</f>
        <v/>
      </c>
      <c r="AS54" s="87">
        <f>SUMPRODUCT(AS23:AS34,CapacityYear1)*МножительДетей*AS10</f>
        <v/>
      </c>
      <c r="AT54" s="87">
        <f>SUMPRODUCT(AT23:AT34,CapacityYear1)*МножительДетей*AT10</f>
        <v/>
      </c>
      <c r="AU54" s="87">
        <f>SUMPRODUCT(AU23:AU34,CapacityYear1)*МножительДетей*AU10</f>
        <v/>
      </c>
      <c r="AV54" s="87">
        <f>SUMPRODUCT(AV23:AV34,CapacityYear1)*МножительДетей*AV10</f>
        <v/>
      </c>
      <c r="AW54" s="87">
        <f>SUMPRODUCT(AW23:AW34,CapacityYear1)*МножительДетей*AW10</f>
        <v/>
      </c>
      <c r="AX54" s="87">
        <f>SUMPRODUCT(AX23:AX34,CapacityYear1)*МножительДетей*AX10</f>
        <v/>
      </c>
      <c r="AY54" s="87">
        <f>SUMPRODUCT(AY23:AY34,CapacityYear1)*МножительДетей*AY10</f>
        <v/>
      </c>
      <c r="AZ54" s="87">
        <f>SUMPRODUCT(AZ23:AZ34,CapacityYear1)*МножительДетей*AZ10</f>
        <v/>
      </c>
      <c r="BA54" s="87">
        <f>SUMPRODUCT(BA23:BA34,CapacityYear1)*МножительДетей*BA10</f>
        <v/>
      </c>
      <c r="BB54" s="87">
        <f>SUMPRODUCT(BB23:BB34,CapacityYear1)*МножительДетей*BB10</f>
        <v/>
      </c>
      <c r="BC54" s="87">
        <f>SUMPRODUCT(BC23:BC34,CapacityYear1)*МножительДетей*BC10</f>
        <v/>
      </c>
      <c r="BD54" s="87">
        <f>SUMPRODUCT(BD23:BD34,CapacityYear1)*МножительДетей*BD10</f>
        <v/>
      </c>
      <c r="BE54" s="87">
        <f>SUMPRODUCT(BE23:BE34,CapacityYear1)*МножительДетей*BE10</f>
        <v/>
      </c>
      <c r="BF54" s="87">
        <f>SUMPRODUCT(BF23:BF34,CapacityYear1)*МножительДетей*BF10</f>
        <v/>
      </c>
      <c r="BG54" s="87">
        <f>SUMPRODUCT(BG23:BG34,CapacityYear1)*МножительДетей*BG10</f>
        <v/>
      </c>
      <c r="BH54" s="87">
        <f>SUMPRODUCT(BH23:BH34,CapacityYear1)*МножительДетей*BH10</f>
        <v/>
      </c>
      <c r="BI54" s="87">
        <f>SUMPRODUCT(BI23:BI34,CapacityYear1)*МножительДетей*BI10</f>
        <v/>
      </c>
      <c r="BJ54" s="87">
        <f>SUMPRODUCT(BJ23:BJ34,CapacityYear1)*МножительДетей*BJ10</f>
        <v/>
      </c>
      <c r="BK54" s="87">
        <f>SUMPRODUCT(BK23:BK34,CapacityYear1)*МножительДетей*BK10</f>
        <v/>
      </c>
      <c r="BL54" s="87">
        <f>SUMPRODUCT(BL23:BL34,CapacityYear1)*МножительДетей*BL10</f>
        <v/>
      </c>
      <c r="BM54" s="87">
        <f>SUMPRODUCT(BM23:BM34,CapacityYear1)*МножительДетей*BM10</f>
        <v/>
      </c>
      <c r="BN54" s="87">
        <f>SUMPRODUCT(BN23:BN34,CapacityYear1)*МножительДетей*BN10</f>
        <v/>
      </c>
      <c r="BO54" s="87">
        <f>SUMPRODUCT(BO23:BO34,CapacityYear1)*МножительДетей*BO10</f>
        <v/>
      </c>
      <c r="BP54" s="87">
        <f>SUMPRODUCT(BP23:BP34,CapacityYear1)*МножительДетей*BP10</f>
        <v/>
      </c>
      <c r="BQ54" s="87">
        <f>SUMPRODUCT(BQ23:BQ34,CapacityYear1)*МножительДетей*BQ10</f>
        <v/>
      </c>
      <c r="BR54" s="87">
        <f>SUMPRODUCT(BR23:BR34,CapacityYear1)*МножительДетей*BR10</f>
        <v/>
      </c>
      <c r="BS54" s="87">
        <f>SUMPRODUCT(BS23:BS34,CapacityYear1)*МножительДетей*BS10</f>
        <v/>
      </c>
      <c r="BT54" s="87">
        <f>SUMPRODUCT(BT23:BT34,CapacityYear1)*МножительДетей*BT10</f>
        <v/>
      </c>
      <c r="BU54" s="87">
        <f>SUMPRODUCT(BU23:BU34,CapacityYear1)*МножительДетей*BU10</f>
        <v/>
      </c>
      <c r="BV54" s="87">
        <f>SUMPRODUCT(BV23:BV34,CapacityYear1)*МножительДетей*BV10</f>
        <v/>
      </c>
      <c r="BW54" s="87">
        <f>SUMPRODUCT(BW23:BW34,CapacityYear1)*МножительДетей*BW10</f>
        <v/>
      </c>
      <c r="BX54" s="87">
        <f>SUMPRODUCT(BX23:BX34,CapacityYear1)*МножительДетей*BX10</f>
        <v/>
      </c>
      <c r="BY54" s="87">
        <f>SUMPRODUCT(BY23:BY34,CapacityYear1)*МножительДетей*BY10</f>
        <v/>
      </c>
    </row>
    <row r="55" ht="15.75" customHeight="1" s="194">
      <c r="B55" s="56" t="inlineStr">
        <is>
          <t>Дети новых школ, 13–24 мес.</t>
        </is>
      </c>
      <c r="C55" s="56" t="inlineStr">
        <is>
          <t>чел.</t>
        </is>
      </c>
      <c r="D55" s="57" t="inlineStr">
        <is>
          <t>В колонках лет — значение на конец года, в «Итого» — на конец пятого года. Это остаток, а не сумма.</t>
        </is>
      </c>
      <c r="E55" s="85">
        <f>W55</f>
        <v/>
      </c>
      <c r="F55" s="85">
        <f>AI55</f>
        <v/>
      </c>
      <c r="G55" s="85">
        <f>AU55</f>
        <v/>
      </c>
      <c r="H55" s="85">
        <f>BG55</f>
        <v/>
      </c>
      <c r="I55" s="85">
        <f>BS55</f>
        <v/>
      </c>
      <c r="J55" s="86">
        <f>BS55</f>
        <v/>
      </c>
      <c r="L55" s="87">
        <f>SUMPRODUCT(L35:L46,CapacityYear2)*МножительДетей*L10</f>
        <v/>
      </c>
      <c r="M55" s="87">
        <f>SUMPRODUCT(M35:M46,CapacityYear2)*МножительДетей*M10</f>
        <v/>
      </c>
      <c r="N55" s="87">
        <f>SUMPRODUCT(N35:N46,CapacityYear2)*МножительДетей*N10</f>
        <v/>
      </c>
      <c r="O55" s="87">
        <f>SUMPRODUCT(O35:O46,CapacityYear2)*МножительДетей*O10</f>
        <v/>
      </c>
      <c r="P55" s="87">
        <f>SUMPRODUCT(P35:P46,CapacityYear2)*МножительДетей*P10</f>
        <v/>
      </c>
      <c r="Q55" s="87">
        <f>SUMPRODUCT(Q35:Q46,CapacityYear2)*МножительДетей*Q10</f>
        <v/>
      </c>
      <c r="R55" s="87">
        <f>SUMPRODUCT(R35:R46,CapacityYear2)*МножительДетей*R10</f>
        <v/>
      </c>
      <c r="S55" s="87">
        <f>SUMPRODUCT(S35:S46,CapacityYear2)*МножительДетей*S10</f>
        <v/>
      </c>
      <c r="T55" s="87">
        <f>SUMPRODUCT(T35:T46,CapacityYear2)*МножительДетей*T10</f>
        <v/>
      </c>
      <c r="U55" s="87">
        <f>SUMPRODUCT(U35:U46,CapacityYear2)*МножительДетей*U10</f>
        <v/>
      </c>
      <c r="V55" s="87">
        <f>SUMPRODUCT(V35:V46,CapacityYear2)*МножительДетей*V10</f>
        <v/>
      </c>
      <c r="W55" s="87">
        <f>SUMPRODUCT(W35:W46,CapacityYear2)*МножительДетей*W10</f>
        <v/>
      </c>
      <c r="X55" s="87">
        <f>SUMPRODUCT(X35:X46,CapacityYear2)*МножительДетей*X10</f>
        <v/>
      </c>
      <c r="Y55" s="87">
        <f>SUMPRODUCT(Y35:Y46,CapacityYear2)*МножительДетей*Y10</f>
        <v/>
      </c>
      <c r="Z55" s="87">
        <f>SUMPRODUCT(Z35:Z46,CapacityYear2)*МножительДетей*Z10</f>
        <v/>
      </c>
      <c r="AA55" s="87">
        <f>SUMPRODUCT(AA35:AA46,CapacityYear2)*МножительДетей*AA10</f>
        <v/>
      </c>
      <c r="AB55" s="87">
        <f>SUMPRODUCT(AB35:AB46,CapacityYear2)*МножительДетей*AB10</f>
        <v/>
      </c>
      <c r="AC55" s="87">
        <f>SUMPRODUCT(AC35:AC46,CapacityYear2)*МножительДетей*AC10</f>
        <v/>
      </c>
      <c r="AD55" s="87">
        <f>SUMPRODUCT(AD35:AD46,CapacityYear2)*МножительДетей*AD10</f>
        <v/>
      </c>
      <c r="AE55" s="87">
        <f>SUMPRODUCT(AE35:AE46,CapacityYear2)*МножительДетей*AE10</f>
        <v/>
      </c>
      <c r="AF55" s="87">
        <f>SUMPRODUCT(AF35:AF46,CapacityYear2)*МножительДетей*AF10</f>
        <v/>
      </c>
      <c r="AG55" s="87">
        <f>SUMPRODUCT(AG35:AG46,CapacityYear2)*МножительДетей*AG10</f>
        <v/>
      </c>
      <c r="AH55" s="87">
        <f>SUMPRODUCT(AH35:AH46,CapacityYear2)*МножительДетей*AH10</f>
        <v/>
      </c>
      <c r="AI55" s="87">
        <f>SUMPRODUCT(AI35:AI46,CapacityYear2)*МножительДетей*AI10</f>
        <v/>
      </c>
      <c r="AJ55" s="87">
        <f>SUMPRODUCT(AJ35:AJ46,CapacityYear2)*МножительДетей*AJ10</f>
        <v/>
      </c>
      <c r="AK55" s="87">
        <f>SUMPRODUCT(AK35:AK46,CapacityYear2)*МножительДетей*AK10</f>
        <v/>
      </c>
      <c r="AL55" s="87">
        <f>SUMPRODUCT(AL35:AL46,CapacityYear2)*МножительДетей*AL10</f>
        <v/>
      </c>
      <c r="AM55" s="87">
        <f>SUMPRODUCT(AM35:AM46,CapacityYear2)*МножительДетей*AM10</f>
        <v/>
      </c>
      <c r="AN55" s="87">
        <f>SUMPRODUCT(AN35:AN46,CapacityYear2)*МножительДетей*AN10</f>
        <v/>
      </c>
      <c r="AO55" s="87">
        <f>SUMPRODUCT(AO35:AO46,CapacityYear2)*МножительДетей*AO10</f>
        <v/>
      </c>
      <c r="AP55" s="87">
        <f>SUMPRODUCT(AP35:AP46,CapacityYear2)*МножительДетей*AP10</f>
        <v/>
      </c>
      <c r="AQ55" s="87">
        <f>SUMPRODUCT(AQ35:AQ46,CapacityYear2)*МножительДетей*AQ10</f>
        <v/>
      </c>
      <c r="AR55" s="87">
        <f>SUMPRODUCT(AR35:AR46,CapacityYear2)*МножительДетей*AR10</f>
        <v/>
      </c>
      <c r="AS55" s="87">
        <f>SUMPRODUCT(AS35:AS46,CapacityYear2)*МножительДетей*AS10</f>
        <v/>
      </c>
      <c r="AT55" s="87">
        <f>SUMPRODUCT(AT35:AT46,CapacityYear2)*МножительДетей*AT10</f>
        <v/>
      </c>
      <c r="AU55" s="87">
        <f>SUMPRODUCT(AU35:AU46,CapacityYear2)*МножительДетей*AU10</f>
        <v/>
      </c>
      <c r="AV55" s="87">
        <f>SUMPRODUCT(AV35:AV46,CapacityYear2)*МножительДетей*AV10</f>
        <v/>
      </c>
      <c r="AW55" s="87">
        <f>SUMPRODUCT(AW35:AW46,CapacityYear2)*МножительДетей*AW10</f>
        <v/>
      </c>
      <c r="AX55" s="87">
        <f>SUMPRODUCT(AX35:AX46,CapacityYear2)*МножительДетей*AX10</f>
        <v/>
      </c>
      <c r="AY55" s="87">
        <f>SUMPRODUCT(AY35:AY46,CapacityYear2)*МножительДетей*AY10</f>
        <v/>
      </c>
      <c r="AZ55" s="87">
        <f>SUMPRODUCT(AZ35:AZ46,CapacityYear2)*МножительДетей*AZ10</f>
        <v/>
      </c>
      <c r="BA55" s="87">
        <f>SUMPRODUCT(BA35:BA46,CapacityYear2)*МножительДетей*BA10</f>
        <v/>
      </c>
      <c r="BB55" s="87">
        <f>SUMPRODUCT(BB35:BB46,CapacityYear2)*МножительДетей*BB10</f>
        <v/>
      </c>
      <c r="BC55" s="87">
        <f>SUMPRODUCT(BC35:BC46,CapacityYear2)*МножительДетей*BC10</f>
        <v/>
      </c>
      <c r="BD55" s="87">
        <f>SUMPRODUCT(BD35:BD46,CapacityYear2)*МножительДетей*BD10</f>
        <v/>
      </c>
      <c r="BE55" s="87">
        <f>SUMPRODUCT(BE35:BE46,CapacityYear2)*МножительДетей*BE10</f>
        <v/>
      </c>
      <c r="BF55" s="87">
        <f>SUMPRODUCT(BF35:BF46,CapacityYear2)*МножительДетей*BF10</f>
        <v/>
      </c>
      <c r="BG55" s="87">
        <f>SUMPRODUCT(BG35:BG46,CapacityYear2)*МножительДетей*BG10</f>
        <v/>
      </c>
      <c r="BH55" s="87">
        <f>SUMPRODUCT(BH35:BH46,CapacityYear2)*МножительДетей*BH10</f>
        <v/>
      </c>
      <c r="BI55" s="87">
        <f>SUMPRODUCT(BI35:BI46,CapacityYear2)*МножительДетей*BI10</f>
        <v/>
      </c>
      <c r="BJ55" s="87">
        <f>SUMPRODUCT(BJ35:BJ46,CapacityYear2)*МножительДетей*BJ10</f>
        <v/>
      </c>
      <c r="BK55" s="87">
        <f>SUMPRODUCT(BK35:BK46,CapacityYear2)*МножительДетей*BK10</f>
        <v/>
      </c>
      <c r="BL55" s="87">
        <f>SUMPRODUCT(BL35:BL46,CapacityYear2)*МножительДетей*BL10</f>
        <v/>
      </c>
      <c r="BM55" s="87">
        <f>SUMPRODUCT(BM35:BM46,CapacityYear2)*МножительДетей*BM10</f>
        <v/>
      </c>
      <c r="BN55" s="87">
        <f>SUMPRODUCT(BN35:BN46,CapacityYear2)*МножительДетей*BN10</f>
        <v/>
      </c>
      <c r="BO55" s="87">
        <f>SUMPRODUCT(BO35:BO46,CapacityYear2)*МножительДетей*BO10</f>
        <v/>
      </c>
      <c r="BP55" s="87">
        <f>SUMPRODUCT(BP35:BP46,CapacityYear2)*МножительДетей*BP10</f>
        <v/>
      </c>
      <c r="BQ55" s="87">
        <f>SUMPRODUCT(BQ35:BQ46,CapacityYear2)*МножительДетей*BQ10</f>
        <v/>
      </c>
      <c r="BR55" s="87">
        <f>SUMPRODUCT(BR35:BR46,CapacityYear2)*МножительДетей*BR10</f>
        <v/>
      </c>
      <c r="BS55" s="87">
        <f>SUMPRODUCT(BS35:BS46,CapacityYear2)*МножительДетей*BS10</f>
        <v/>
      </c>
      <c r="BT55" s="87">
        <f>SUMPRODUCT(BT35:BT46,CapacityYear2)*МножительДетей*BT10</f>
        <v/>
      </c>
      <c r="BU55" s="87">
        <f>SUMPRODUCT(BU35:BU46,CapacityYear2)*МножительДетей*BU10</f>
        <v/>
      </c>
      <c r="BV55" s="87">
        <f>SUMPRODUCT(BV35:BV46,CapacityYear2)*МножительДетей*BV10</f>
        <v/>
      </c>
      <c r="BW55" s="87">
        <f>SUMPRODUCT(BW35:BW46,CapacityYear2)*МножительДетей*BW10</f>
        <v/>
      </c>
      <c r="BX55" s="87">
        <f>SUMPRODUCT(BX35:BX46,CapacityYear2)*МножительДетей*BX10</f>
        <v/>
      </c>
      <c r="BY55" s="87">
        <f>SUMPRODUCT(BY35:BY46,CapacityYear2)*МножительДетей*BY10</f>
        <v/>
      </c>
    </row>
    <row r="56" ht="15.75" customHeight="1" s="194">
      <c r="B56" s="56" t="inlineStr">
        <is>
          <t>Дети новых школ, зрелые</t>
        </is>
      </c>
      <c r="C56" s="56" t="inlineStr">
        <is>
          <t>чел.</t>
        </is>
      </c>
      <c r="D56" s="57" t="inlineStr">
        <is>
          <t>В колонках лет — значение на конец года, в «Итого» — на конец пятого года. Это остаток, а не сумма.</t>
        </is>
      </c>
      <c r="E56" s="85">
        <f>W56</f>
        <v/>
      </c>
      <c r="F56" s="85">
        <f>AI56</f>
        <v/>
      </c>
      <c r="G56" s="85">
        <f>AU56</f>
        <v/>
      </c>
      <c r="H56" s="85">
        <f>BG56</f>
        <v/>
      </c>
      <c r="I56" s="85">
        <f>BS56</f>
        <v/>
      </c>
      <c r="J56" s="86">
        <f>BS56</f>
        <v/>
      </c>
      <c r="L56" s="87">
        <f>L47*CapacityAge25*МножительДетей*L10</f>
        <v/>
      </c>
      <c r="M56" s="87">
        <f>M47*CapacityAge25*МножительДетей*M10</f>
        <v/>
      </c>
      <c r="N56" s="87">
        <f>N47*CapacityAge25*МножительДетей*N10</f>
        <v/>
      </c>
      <c r="O56" s="87">
        <f>O47*CapacityAge25*МножительДетей*O10</f>
        <v/>
      </c>
      <c r="P56" s="87">
        <f>P47*CapacityAge25*МножительДетей*P10</f>
        <v/>
      </c>
      <c r="Q56" s="87">
        <f>Q47*CapacityAge25*МножительДетей*Q10</f>
        <v/>
      </c>
      <c r="R56" s="87">
        <f>R47*CapacityAge25*МножительДетей*R10</f>
        <v/>
      </c>
      <c r="S56" s="87">
        <f>S47*CapacityAge25*МножительДетей*S10</f>
        <v/>
      </c>
      <c r="T56" s="87">
        <f>T47*CapacityAge25*МножительДетей*T10</f>
        <v/>
      </c>
      <c r="U56" s="87">
        <f>U47*CapacityAge25*МножительДетей*U10</f>
        <v/>
      </c>
      <c r="V56" s="87">
        <f>V47*CapacityAge25*МножительДетей*V10</f>
        <v/>
      </c>
      <c r="W56" s="87">
        <f>W47*CapacityAge25*МножительДетей*W10</f>
        <v/>
      </c>
      <c r="X56" s="87">
        <f>X47*CapacityAge25*МножительДетей*X10</f>
        <v/>
      </c>
      <c r="Y56" s="87">
        <f>Y47*CapacityAge25*МножительДетей*Y10</f>
        <v/>
      </c>
      <c r="Z56" s="87">
        <f>Z47*CapacityAge25*МножительДетей*Z10</f>
        <v/>
      </c>
      <c r="AA56" s="87">
        <f>AA47*CapacityAge25*МножительДетей*AA10</f>
        <v/>
      </c>
      <c r="AB56" s="87">
        <f>AB47*CapacityAge25*МножительДетей*AB10</f>
        <v/>
      </c>
      <c r="AC56" s="87">
        <f>AC47*CapacityAge25*МножительДетей*AC10</f>
        <v/>
      </c>
      <c r="AD56" s="87">
        <f>AD47*CapacityAge25*МножительДетей*AD10</f>
        <v/>
      </c>
      <c r="AE56" s="87">
        <f>AE47*CapacityAge25*МножительДетей*AE10</f>
        <v/>
      </c>
      <c r="AF56" s="87">
        <f>AF47*CapacityAge25*МножительДетей*AF10</f>
        <v/>
      </c>
      <c r="AG56" s="87">
        <f>AG47*CapacityAge25*МножительДетей*AG10</f>
        <v/>
      </c>
      <c r="AH56" s="87">
        <f>AH47*CapacityAge25*МножительДетей*AH10</f>
        <v/>
      </c>
      <c r="AI56" s="87">
        <f>AI47*CapacityAge25*МножительДетей*AI10</f>
        <v/>
      </c>
      <c r="AJ56" s="87">
        <f>AJ47*CapacityAge25*МножительДетей*AJ10</f>
        <v/>
      </c>
      <c r="AK56" s="87">
        <f>AK47*CapacityAge25*МножительДетей*AK10</f>
        <v/>
      </c>
      <c r="AL56" s="87">
        <f>AL47*CapacityAge25*МножительДетей*AL10</f>
        <v/>
      </c>
      <c r="AM56" s="87">
        <f>AM47*CapacityAge25*МножительДетей*AM10</f>
        <v/>
      </c>
      <c r="AN56" s="87">
        <f>AN47*CapacityAge25*МножительДетей*AN10</f>
        <v/>
      </c>
      <c r="AO56" s="87">
        <f>AO47*CapacityAge25*МножительДетей*AO10</f>
        <v/>
      </c>
      <c r="AP56" s="87">
        <f>AP47*CapacityAge25*МножительДетей*AP10</f>
        <v/>
      </c>
      <c r="AQ56" s="87">
        <f>AQ47*CapacityAge25*МножительДетей*AQ10</f>
        <v/>
      </c>
      <c r="AR56" s="87">
        <f>AR47*CapacityAge25*МножительДетей*AR10</f>
        <v/>
      </c>
      <c r="AS56" s="87">
        <f>AS47*CapacityAge25*МножительДетей*AS10</f>
        <v/>
      </c>
      <c r="AT56" s="87">
        <f>AT47*CapacityAge25*МножительДетей*AT10</f>
        <v/>
      </c>
      <c r="AU56" s="87">
        <f>AU47*CapacityAge25*МножительДетей*AU10</f>
        <v/>
      </c>
      <c r="AV56" s="87">
        <f>AV47*CapacityAge25*МножительДетей*AV10</f>
        <v/>
      </c>
      <c r="AW56" s="87">
        <f>AW47*CapacityAge25*МножительДетей*AW10</f>
        <v/>
      </c>
      <c r="AX56" s="87">
        <f>AX47*CapacityAge25*МножительДетей*AX10</f>
        <v/>
      </c>
      <c r="AY56" s="87">
        <f>AY47*CapacityAge25*МножительДетей*AY10</f>
        <v/>
      </c>
      <c r="AZ56" s="87">
        <f>AZ47*CapacityAge25*МножительДетей*AZ10</f>
        <v/>
      </c>
      <c r="BA56" s="87">
        <f>BA47*CapacityAge25*МножительДетей*BA10</f>
        <v/>
      </c>
      <c r="BB56" s="87">
        <f>BB47*CapacityAge25*МножительДетей*BB10</f>
        <v/>
      </c>
      <c r="BC56" s="87">
        <f>BC47*CapacityAge25*МножительДетей*BC10</f>
        <v/>
      </c>
      <c r="BD56" s="87">
        <f>BD47*CapacityAge25*МножительДетей*BD10</f>
        <v/>
      </c>
      <c r="BE56" s="87">
        <f>BE47*CapacityAge25*МножительДетей*BE10</f>
        <v/>
      </c>
      <c r="BF56" s="87">
        <f>BF47*CapacityAge25*МножительДетей*BF10</f>
        <v/>
      </c>
      <c r="BG56" s="87">
        <f>BG47*CapacityAge25*МножительДетей*BG10</f>
        <v/>
      </c>
      <c r="BH56" s="87">
        <f>BH47*CapacityAge25*МножительДетей*BH10</f>
        <v/>
      </c>
      <c r="BI56" s="87">
        <f>BI47*CapacityAge25*МножительДетей*BI10</f>
        <v/>
      </c>
      <c r="BJ56" s="87">
        <f>BJ47*CapacityAge25*МножительДетей*BJ10</f>
        <v/>
      </c>
      <c r="BK56" s="87">
        <f>BK47*CapacityAge25*МножительДетей*BK10</f>
        <v/>
      </c>
      <c r="BL56" s="87">
        <f>BL47*CapacityAge25*МножительДетей*BL10</f>
        <v/>
      </c>
      <c r="BM56" s="87">
        <f>BM47*CapacityAge25*МножительДетей*BM10</f>
        <v/>
      </c>
      <c r="BN56" s="87">
        <f>BN47*CapacityAge25*МножительДетей*BN10</f>
        <v/>
      </c>
      <c r="BO56" s="87">
        <f>BO47*CapacityAge25*МножительДетей*BO10</f>
        <v/>
      </c>
      <c r="BP56" s="87">
        <f>BP47*CapacityAge25*МножительДетей*BP10</f>
        <v/>
      </c>
      <c r="BQ56" s="87">
        <f>BQ47*CapacityAge25*МножительДетей*BQ10</f>
        <v/>
      </c>
      <c r="BR56" s="87">
        <f>BR47*CapacityAge25*МножительДетей*BR10</f>
        <v/>
      </c>
      <c r="BS56" s="87">
        <f>BS47*CapacityAge25*МножительДетей*BS10</f>
        <v/>
      </c>
      <c r="BT56" s="87">
        <f>BT47*CapacityAge25*МножительДетей*BT10</f>
        <v/>
      </c>
      <c r="BU56" s="87">
        <f>BU47*CapacityAge25*МножительДетей*BU10</f>
        <v/>
      </c>
      <c r="BV56" s="87">
        <f>BV47*CapacityAge25*МножительДетей*BV10</f>
        <v/>
      </c>
      <c r="BW56" s="87">
        <f>BW47*CapacityAge25*МножительДетей*BW10</f>
        <v/>
      </c>
      <c r="BX56" s="87">
        <f>BX47*CapacityAge25*МножительДетей*BX10</f>
        <v/>
      </c>
      <c r="BY56" s="87">
        <f>BY47*CapacityAge25*МножительДетей*BY10</f>
        <v/>
      </c>
    </row>
    <row r="57" ht="15.75" customHeight="1" s="194">
      <c r="B57" s="130" t="inlineStr">
        <is>
          <t>Дети новых школ — всего</t>
        </is>
      </c>
      <c r="C57" s="130" t="inlineStr">
        <is>
          <t>чел.</t>
        </is>
      </c>
      <c r="D57" s="156" t="inlineStr">
        <is>
          <t>В колонках лет — значение на конец года, в «Итого» — на конец пятого года. Это остаток, а не сумма.</t>
        </is>
      </c>
      <c r="E57" s="157">
        <f>W57</f>
        <v/>
      </c>
      <c r="F57" s="157">
        <f>AI57</f>
        <v/>
      </c>
      <c r="G57" s="157">
        <f>AU57</f>
        <v/>
      </c>
      <c r="H57" s="157">
        <f>BG57</f>
        <v/>
      </c>
      <c r="I57" s="157">
        <f>BS57</f>
        <v/>
      </c>
      <c r="J57" s="134">
        <f>BS57</f>
        <v/>
      </c>
      <c r="L57" s="133">
        <f>SUM(L54:L56)</f>
        <v/>
      </c>
      <c r="M57" s="133">
        <f>SUM(M54:M56)</f>
        <v/>
      </c>
      <c r="N57" s="133">
        <f>SUM(N54:N56)</f>
        <v/>
      </c>
      <c r="O57" s="133">
        <f>SUM(O54:O56)</f>
        <v/>
      </c>
      <c r="P57" s="133">
        <f>SUM(P54:P56)</f>
        <v/>
      </c>
      <c r="Q57" s="133">
        <f>SUM(Q54:Q56)</f>
        <v/>
      </c>
      <c r="R57" s="133">
        <f>SUM(R54:R56)</f>
        <v/>
      </c>
      <c r="S57" s="133">
        <f>SUM(S54:S56)</f>
        <v/>
      </c>
      <c r="T57" s="133">
        <f>SUM(T54:T56)</f>
        <v/>
      </c>
      <c r="U57" s="133">
        <f>SUM(U54:U56)</f>
        <v/>
      </c>
      <c r="V57" s="133">
        <f>SUM(V54:V56)</f>
        <v/>
      </c>
      <c r="W57" s="133">
        <f>SUM(W54:W56)</f>
        <v/>
      </c>
      <c r="X57" s="133">
        <f>SUM(X54:X56)</f>
        <v/>
      </c>
      <c r="Y57" s="133">
        <f>SUM(Y54:Y56)</f>
        <v/>
      </c>
      <c r="Z57" s="133">
        <f>SUM(Z54:Z56)</f>
        <v/>
      </c>
      <c r="AA57" s="133">
        <f>SUM(AA54:AA56)</f>
        <v/>
      </c>
      <c r="AB57" s="133">
        <f>SUM(AB54:AB56)</f>
        <v/>
      </c>
      <c r="AC57" s="133">
        <f>SUM(AC54:AC56)</f>
        <v/>
      </c>
      <c r="AD57" s="133">
        <f>SUM(AD54:AD56)</f>
        <v/>
      </c>
      <c r="AE57" s="133">
        <f>SUM(AE54:AE56)</f>
        <v/>
      </c>
      <c r="AF57" s="133">
        <f>SUM(AF54:AF56)</f>
        <v/>
      </c>
      <c r="AG57" s="133">
        <f>SUM(AG54:AG56)</f>
        <v/>
      </c>
      <c r="AH57" s="133">
        <f>SUM(AH54:AH56)</f>
        <v/>
      </c>
      <c r="AI57" s="133">
        <f>SUM(AI54:AI56)</f>
        <v/>
      </c>
      <c r="AJ57" s="133">
        <f>SUM(AJ54:AJ56)</f>
        <v/>
      </c>
      <c r="AK57" s="133">
        <f>SUM(AK54:AK56)</f>
        <v/>
      </c>
      <c r="AL57" s="133">
        <f>SUM(AL54:AL56)</f>
        <v/>
      </c>
      <c r="AM57" s="133">
        <f>SUM(AM54:AM56)</f>
        <v/>
      </c>
      <c r="AN57" s="133">
        <f>SUM(AN54:AN56)</f>
        <v/>
      </c>
      <c r="AO57" s="133">
        <f>SUM(AO54:AO56)</f>
        <v/>
      </c>
      <c r="AP57" s="133">
        <f>SUM(AP54:AP56)</f>
        <v/>
      </c>
      <c r="AQ57" s="133">
        <f>SUM(AQ54:AQ56)</f>
        <v/>
      </c>
      <c r="AR57" s="133">
        <f>SUM(AR54:AR56)</f>
        <v/>
      </c>
      <c r="AS57" s="133">
        <f>SUM(AS54:AS56)</f>
        <v/>
      </c>
      <c r="AT57" s="133">
        <f>SUM(AT54:AT56)</f>
        <v/>
      </c>
      <c r="AU57" s="133">
        <f>SUM(AU54:AU56)</f>
        <v/>
      </c>
      <c r="AV57" s="133">
        <f>SUM(AV54:AV56)</f>
        <v/>
      </c>
      <c r="AW57" s="133">
        <f>SUM(AW54:AW56)</f>
        <v/>
      </c>
      <c r="AX57" s="133">
        <f>SUM(AX54:AX56)</f>
        <v/>
      </c>
      <c r="AY57" s="133">
        <f>SUM(AY54:AY56)</f>
        <v/>
      </c>
      <c r="AZ57" s="133">
        <f>SUM(AZ54:AZ56)</f>
        <v/>
      </c>
      <c r="BA57" s="133">
        <f>SUM(BA54:BA56)</f>
        <v/>
      </c>
      <c r="BB57" s="133">
        <f>SUM(BB54:BB56)</f>
        <v/>
      </c>
      <c r="BC57" s="133">
        <f>SUM(BC54:BC56)</f>
        <v/>
      </c>
      <c r="BD57" s="133">
        <f>SUM(BD54:BD56)</f>
        <v/>
      </c>
      <c r="BE57" s="133">
        <f>SUM(BE54:BE56)</f>
        <v/>
      </c>
      <c r="BF57" s="133">
        <f>SUM(BF54:BF56)</f>
        <v/>
      </c>
      <c r="BG57" s="133">
        <f>SUM(BG54:BG56)</f>
        <v/>
      </c>
      <c r="BH57" s="133">
        <f>SUM(BH54:BH56)</f>
        <v/>
      </c>
      <c r="BI57" s="133">
        <f>SUM(BI54:BI56)</f>
        <v/>
      </c>
      <c r="BJ57" s="133">
        <f>SUM(BJ54:BJ56)</f>
        <v/>
      </c>
      <c r="BK57" s="133">
        <f>SUM(BK54:BK56)</f>
        <v/>
      </c>
      <c r="BL57" s="133">
        <f>SUM(BL54:BL56)</f>
        <v/>
      </c>
      <c r="BM57" s="133">
        <f>SUM(BM54:BM56)</f>
        <v/>
      </c>
      <c r="BN57" s="133">
        <f>SUM(BN54:BN56)</f>
        <v/>
      </c>
      <c r="BO57" s="133">
        <f>SUM(BO54:BO56)</f>
        <v/>
      </c>
      <c r="BP57" s="133">
        <f>SUM(BP54:BP56)</f>
        <v/>
      </c>
      <c r="BQ57" s="133">
        <f>SUM(BQ54:BQ56)</f>
        <v/>
      </c>
      <c r="BR57" s="133">
        <f>SUM(BR54:BR56)</f>
        <v/>
      </c>
      <c r="BS57" s="133">
        <f>SUM(BS54:BS56)</f>
        <v/>
      </c>
      <c r="BT57" s="133">
        <f>SUM(BT54:BT56)</f>
        <v/>
      </c>
      <c r="BU57" s="133">
        <f>SUM(BU54:BU56)</f>
        <v/>
      </c>
      <c r="BV57" s="133">
        <f>SUM(BV54:BV56)</f>
        <v/>
      </c>
      <c r="BW57" s="133">
        <f>SUM(BW54:BW56)</f>
        <v/>
      </c>
      <c r="BX57" s="133">
        <f>SUM(BX54:BX56)</f>
        <v/>
      </c>
      <c r="BY57" s="133">
        <f>SUM(BY54:BY56)</f>
        <v/>
      </c>
    </row>
    <row r="58" ht="15.75" customHeight="1" s="194"/>
    <row r="59" ht="15.75" customHeight="1" s="194">
      <c r="B59" s="54" t="inlineStr">
        <is>
          <t>Итог по сети</t>
        </is>
      </c>
      <c r="C59" s="55" t="n"/>
      <c r="D59" s="55" t="n"/>
      <c r="E59" s="55" t="n"/>
      <c r="F59" s="55" t="n"/>
      <c r="G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  <c r="S59" s="55" t="n"/>
      <c r="T59" s="55" t="n"/>
      <c r="U59" s="55" t="n"/>
      <c r="V59" s="55" t="n"/>
      <c r="W59" s="55" t="n"/>
      <c r="X59" s="55" t="n"/>
      <c r="Y59" s="55" t="n"/>
      <c r="Z59" s="55" t="n"/>
      <c r="AA59" s="55" t="n"/>
      <c r="AB59" s="55" t="n"/>
      <c r="AC59" s="55" t="n"/>
      <c r="AD59" s="55" t="n"/>
      <c r="AE59" s="55" t="n"/>
      <c r="AF59" s="55" t="n"/>
      <c r="AG59" s="55" t="n"/>
      <c r="AH59" s="55" t="n"/>
      <c r="AI59" s="55" t="n"/>
      <c r="AJ59" s="55" t="n"/>
      <c r="AK59" s="55" t="n"/>
      <c r="AL59" s="55" t="n"/>
      <c r="AM59" s="55" t="n"/>
      <c r="AN59" s="55" t="n"/>
      <c r="AO59" s="55" t="n"/>
      <c r="AP59" s="55" t="n"/>
      <c r="AQ59" s="55" t="n"/>
      <c r="AR59" s="55" t="n"/>
      <c r="AS59" s="55" t="n"/>
      <c r="AT59" s="55" t="n"/>
      <c r="AU59" s="55" t="n"/>
      <c r="AV59" s="55" t="n"/>
      <c r="AW59" s="55" t="n"/>
      <c r="AX59" s="55" t="n"/>
      <c r="AY59" s="55" t="n"/>
      <c r="AZ59" s="55" t="n"/>
      <c r="BA59" s="55" t="n"/>
      <c r="BB59" s="55" t="n"/>
      <c r="BC59" s="55" t="n"/>
      <c r="BD59" s="55" t="n"/>
      <c r="BE59" s="55" t="n"/>
      <c r="BF59" s="55" t="n"/>
      <c r="BG59" s="55" t="n"/>
      <c r="BH59" s="55" t="n"/>
      <c r="BI59" s="55" t="n"/>
      <c r="BJ59" s="55" t="n"/>
      <c r="BK59" s="55" t="n"/>
      <c r="BL59" s="55" t="n"/>
      <c r="BM59" s="55" t="n"/>
      <c r="BN59" s="55" t="n"/>
      <c r="BO59" s="55" t="n"/>
      <c r="BP59" s="55" t="n"/>
      <c r="BQ59" s="55" t="n"/>
      <c r="BR59" s="55" t="n"/>
      <c r="BS59" s="55" t="n"/>
      <c r="BT59" s="55" t="n"/>
      <c r="BU59" s="55" t="n"/>
      <c r="BV59" s="55" t="n"/>
      <c r="BW59" s="55" t="n"/>
      <c r="BX59" s="55" t="n"/>
      <c r="BY59" s="55" t="n"/>
    </row>
    <row r="60" ht="15.75" customHeight="1" s="194">
      <c r="B60" s="130" t="inlineStr">
        <is>
          <t>Школы всего</t>
        </is>
      </c>
      <c r="C60" s="130" t="inlineStr">
        <is>
          <t>шт.</t>
        </is>
      </c>
      <c r="D60" s="156" t="inlineStr">
        <is>
          <t>Действующая сеть плюс новые школы В колонках лет — значение на конец года, в «Итого» — на конец пятого года. Это остаток, а не сумма.</t>
        </is>
      </c>
      <c r="E60" s="175">
        <f>W60</f>
        <v/>
      </c>
      <c r="F60" s="175">
        <f>AI60</f>
        <v/>
      </c>
      <c r="G60" s="175">
        <f>AU60</f>
        <v/>
      </c>
      <c r="H60" s="175">
        <f>BG60</f>
        <v/>
      </c>
      <c r="I60" s="175">
        <f>BS60</f>
        <v/>
      </c>
      <c r="J60" s="176">
        <f>BS60</f>
        <v/>
      </c>
      <c r="L60" s="177">
        <f>L18+L53</f>
        <v/>
      </c>
      <c r="M60" s="177">
        <f>M18+M53</f>
        <v/>
      </c>
      <c r="N60" s="177">
        <f>N18+N53</f>
        <v/>
      </c>
      <c r="O60" s="177">
        <f>O18+O53</f>
        <v/>
      </c>
      <c r="P60" s="177">
        <f>P18+P53</f>
        <v/>
      </c>
      <c r="Q60" s="177">
        <f>Q18+Q53</f>
        <v/>
      </c>
      <c r="R60" s="177">
        <f>R18+R53</f>
        <v/>
      </c>
      <c r="S60" s="177">
        <f>S18+S53</f>
        <v/>
      </c>
      <c r="T60" s="177">
        <f>T18+T53</f>
        <v/>
      </c>
      <c r="U60" s="177">
        <f>U18+U53</f>
        <v/>
      </c>
      <c r="V60" s="177">
        <f>V18+V53</f>
        <v/>
      </c>
      <c r="W60" s="177">
        <f>W18+W53</f>
        <v/>
      </c>
      <c r="X60" s="177">
        <f>X18+X53</f>
        <v/>
      </c>
      <c r="Y60" s="177">
        <f>Y18+Y53</f>
        <v/>
      </c>
      <c r="Z60" s="177">
        <f>Z18+Z53</f>
        <v/>
      </c>
      <c r="AA60" s="177">
        <f>AA18+AA53</f>
        <v/>
      </c>
      <c r="AB60" s="177">
        <f>AB18+AB53</f>
        <v/>
      </c>
      <c r="AC60" s="177">
        <f>AC18+AC53</f>
        <v/>
      </c>
      <c r="AD60" s="177">
        <f>AD18+AD53</f>
        <v/>
      </c>
      <c r="AE60" s="177">
        <f>AE18+AE53</f>
        <v/>
      </c>
      <c r="AF60" s="177">
        <f>AF18+AF53</f>
        <v/>
      </c>
      <c r="AG60" s="177">
        <f>AG18+AG53</f>
        <v/>
      </c>
      <c r="AH60" s="177">
        <f>AH18+AH53</f>
        <v/>
      </c>
      <c r="AI60" s="177">
        <f>AI18+AI53</f>
        <v/>
      </c>
      <c r="AJ60" s="177">
        <f>AJ18+AJ53</f>
        <v/>
      </c>
      <c r="AK60" s="177">
        <f>AK18+AK53</f>
        <v/>
      </c>
      <c r="AL60" s="177">
        <f>AL18+AL53</f>
        <v/>
      </c>
      <c r="AM60" s="177">
        <f>AM18+AM53</f>
        <v/>
      </c>
      <c r="AN60" s="177">
        <f>AN18+AN53</f>
        <v/>
      </c>
      <c r="AO60" s="177">
        <f>AO18+AO53</f>
        <v/>
      </c>
      <c r="AP60" s="177">
        <f>AP18+AP53</f>
        <v/>
      </c>
      <c r="AQ60" s="177">
        <f>AQ18+AQ53</f>
        <v/>
      </c>
      <c r="AR60" s="177">
        <f>AR18+AR53</f>
        <v/>
      </c>
      <c r="AS60" s="177">
        <f>AS18+AS53</f>
        <v/>
      </c>
      <c r="AT60" s="177">
        <f>AT18+AT53</f>
        <v/>
      </c>
      <c r="AU60" s="177">
        <f>AU18+AU53</f>
        <v/>
      </c>
      <c r="AV60" s="177">
        <f>AV18+AV53</f>
        <v/>
      </c>
      <c r="AW60" s="177">
        <f>AW18+AW53</f>
        <v/>
      </c>
      <c r="AX60" s="177">
        <f>AX18+AX53</f>
        <v/>
      </c>
      <c r="AY60" s="177">
        <f>AY18+AY53</f>
        <v/>
      </c>
      <c r="AZ60" s="177">
        <f>AZ18+AZ53</f>
        <v/>
      </c>
      <c r="BA60" s="177">
        <f>BA18+BA53</f>
        <v/>
      </c>
      <c r="BB60" s="177">
        <f>BB18+BB53</f>
        <v/>
      </c>
      <c r="BC60" s="177">
        <f>BC18+BC53</f>
        <v/>
      </c>
      <c r="BD60" s="177">
        <f>BD18+BD53</f>
        <v/>
      </c>
      <c r="BE60" s="177">
        <f>BE18+BE53</f>
        <v/>
      </c>
      <c r="BF60" s="177">
        <f>BF18+BF53</f>
        <v/>
      </c>
      <c r="BG60" s="177">
        <f>BG18+BG53</f>
        <v/>
      </c>
      <c r="BH60" s="177">
        <f>BH18+BH53</f>
        <v/>
      </c>
      <c r="BI60" s="177">
        <f>BI18+BI53</f>
        <v/>
      </c>
      <c r="BJ60" s="177">
        <f>BJ18+BJ53</f>
        <v/>
      </c>
      <c r="BK60" s="177">
        <f>BK18+BK53</f>
        <v/>
      </c>
      <c r="BL60" s="177">
        <f>BL18+BL53</f>
        <v/>
      </c>
      <c r="BM60" s="177">
        <f>BM18+BM53</f>
        <v/>
      </c>
      <c r="BN60" s="177">
        <f>BN18+BN53</f>
        <v/>
      </c>
      <c r="BO60" s="177">
        <f>BO18+BO53</f>
        <v/>
      </c>
      <c r="BP60" s="177">
        <f>BP18+BP53</f>
        <v/>
      </c>
      <c r="BQ60" s="177">
        <f>BQ18+BQ53</f>
        <v/>
      </c>
      <c r="BR60" s="177">
        <f>BR18+BR53</f>
        <v/>
      </c>
      <c r="BS60" s="177">
        <f>BS18+BS53</f>
        <v/>
      </c>
      <c r="BT60" s="177">
        <f>BT18+BT53</f>
        <v/>
      </c>
      <c r="BU60" s="177">
        <f>BU18+BU53</f>
        <v/>
      </c>
      <c r="BV60" s="177">
        <f>BV18+BV53</f>
        <v/>
      </c>
      <c r="BW60" s="177">
        <f>BW18+BW53</f>
        <v/>
      </c>
      <c r="BX60" s="177">
        <f>BX18+BX53</f>
        <v/>
      </c>
      <c r="BY60" s="177">
        <f>BY18+BY53</f>
        <v/>
      </c>
    </row>
    <row r="61" ht="15.75" customHeight="1" s="194">
      <c r="B61" s="130" t="inlineStr">
        <is>
          <t>Юрлица (партнёры) всего</t>
        </is>
      </c>
      <c r="C61" s="130" t="inlineStr">
        <is>
          <t>шт.</t>
        </is>
      </c>
      <c r="D61" s="156" t="inlineStr">
        <is>
          <t>Накопленные партнёры за вычетом закрытий В колонках лет — значение на конец года, в «Итого» — на конец пятого года. Это остаток, а не сумма.</t>
        </is>
      </c>
      <c r="E61" s="175">
        <f>W61</f>
        <v/>
      </c>
      <c r="F61" s="175">
        <f>AI61</f>
        <v/>
      </c>
      <c r="G61" s="175">
        <f>AU61</f>
        <v/>
      </c>
      <c r="H61" s="175">
        <f>BG61</f>
        <v/>
      </c>
      <c r="I61" s="175">
        <f>BS61</f>
        <v/>
      </c>
      <c r="J61" s="176">
        <f>BS61</f>
        <v/>
      </c>
      <c r="L61" s="177">
        <f>ЮрлицаСтарт*КоэффСохранения+$L15</f>
        <v/>
      </c>
      <c r="M61" s="177">
        <f>L61*КоэффСохранения+M15</f>
        <v/>
      </c>
      <c r="N61" s="177">
        <f>M61*КоэффСохранения+N15</f>
        <v/>
      </c>
      <c r="O61" s="177">
        <f>N61*КоэффСохранения+O15</f>
        <v/>
      </c>
      <c r="P61" s="177">
        <f>O61*КоэффСохранения+P15</f>
        <v/>
      </c>
      <c r="Q61" s="177">
        <f>P61*КоэффСохранения+Q15</f>
        <v/>
      </c>
      <c r="R61" s="177">
        <f>Q61*КоэффСохранения+R15</f>
        <v/>
      </c>
      <c r="S61" s="177">
        <f>R61*КоэффСохранения+S15</f>
        <v/>
      </c>
      <c r="T61" s="177">
        <f>S61*КоэффСохранения+T15</f>
        <v/>
      </c>
      <c r="U61" s="177">
        <f>T61*КоэффСохранения+U15</f>
        <v/>
      </c>
      <c r="V61" s="177">
        <f>U61*КоэффСохранения+V15</f>
        <v/>
      </c>
      <c r="W61" s="177">
        <f>V61*КоэффСохранения+W15</f>
        <v/>
      </c>
      <c r="X61" s="177">
        <f>W61*КоэффСохранения+X15</f>
        <v/>
      </c>
      <c r="Y61" s="177">
        <f>X61*КоэффСохранения+Y15</f>
        <v/>
      </c>
      <c r="Z61" s="177">
        <f>Y61*КоэффСохранения+Z15</f>
        <v/>
      </c>
      <c r="AA61" s="177">
        <f>Z61*КоэффСохранения+AA15</f>
        <v/>
      </c>
      <c r="AB61" s="177">
        <f>AA61*КоэффСохранения+AB15</f>
        <v/>
      </c>
      <c r="AC61" s="177">
        <f>AB61*КоэффСохранения+AC15</f>
        <v/>
      </c>
      <c r="AD61" s="177">
        <f>AC61*КоэффСохранения+AD15</f>
        <v/>
      </c>
      <c r="AE61" s="177">
        <f>AD61*КоэффСохранения+AE15</f>
        <v/>
      </c>
      <c r="AF61" s="177">
        <f>AE61*КоэффСохранения+AF15</f>
        <v/>
      </c>
      <c r="AG61" s="177">
        <f>AF61*КоэффСохранения+AG15</f>
        <v/>
      </c>
      <c r="AH61" s="177">
        <f>AG61*КоэффСохранения+AH15</f>
        <v/>
      </c>
      <c r="AI61" s="177">
        <f>AH61*КоэффСохранения+AI15</f>
        <v/>
      </c>
      <c r="AJ61" s="177">
        <f>AI61*КоэффСохранения+AJ15</f>
        <v/>
      </c>
      <c r="AK61" s="177">
        <f>AJ61*КоэффСохранения+AK15</f>
        <v/>
      </c>
      <c r="AL61" s="177">
        <f>AK61*КоэффСохранения+AL15</f>
        <v/>
      </c>
      <c r="AM61" s="177">
        <f>AL61*КоэффСохранения+AM15</f>
        <v/>
      </c>
      <c r="AN61" s="177">
        <f>AM61*КоэффСохранения+AN15</f>
        <v/>
      </c>
      <c r="AO61" s="177">
        <f>AN61*КоэффСохранения+AO15</f>
        <v/>
      </c>
      <c r="AP61" s="177">
        <f>AO61*КоэффСохранения+AP15</f>
        <v/>
      </c>
      <c r="AQ61" s="177">
        <f>AP61*КоэффСохранения+AQ15</f>
        <v/>
      </c>
      <c r="AR61" s="177">
        <f>AQ61*КоэффСохранения+AR15</f>
        <v/>
      </c>
      <c r="AS61" s="177">
        <f>AR61*КоэффСохранения+AS15</f>
        <v/>
      </c>
      <c r="AT61" s="177">
        <f>AS61*КоэффСохранения+AT15</f>
        <v/>
      </c>
      <c r="AU61" s="177">
        <f>AT61*КоэффСохранения+AU15</f>
        <v/>
      </c>
      <c r="AV61" s="177">
        <f>AU61*КоэффСохранения+AV15</f>
        <v/>
      </c>
      <c r="AW61" s="177">
        <f>AV61*КоэффСохранения+AW15</f>
        <v/>
      </c>
      <c r="AX61" s="177">
        <f>AW61*КоэффСохранения+AX15</f>
        <v/>
      </c>
      <c r="AY61" s="177">
        <f>AX61*КоэффСохранения+AY15</f>
        <v/>
      </c>
      <c r="AZ61" s="177">
        <f>AY61*КоэффСохранения+AZ15</f>
        <v/>
      </c>
      <c r="BA61" s="177">
        <f>AZ61*КоэффСохранения+BA15</f>
        <v/>
      </c>
      <c r="BB61" s="177">
        <f>BA61*КоэффСохранения+BB15</f>
        <v/>
      </c>
      <c r="BC61" s="177">
        <f>BB61*КоэффСохранения+BC15</f>
        <v/>
      </c>
      <c r="BD61" s="177">
        <f>BC61*КоэффСохранения+BD15</f>
        <v/>
      </c>
      <c r="BE61" s="177">
        <f>BD61*КоэффСохранения+BE15</f>
        <v/>
      </c>
      <c r="BF61" s="177">
        <f>BE61*КоэффСохранения+BF15</f>
        <v/>
      </c>
      <c r="BG61" s="177">
        <f>BF61*КоэффСохранения+BG15</f>
        <v/>
      </c>
      <c r="BH61" s="177">
        <f>BG61*КоэффСохранения+BH15</f>
        <v/>
      </c>
      <c r="BI61" s="177">
        <f>BH61*КоэффСохранения+BI15</f>
        <v/>
      </c>
      <c r="BJ61" s="177">
        <f>BI61*КоэффСохранения+BJ15</f>
        <v/>
      </c>
      <c r="BK61" s="177">
        <f>BJ61*КоэффСохранения+BK15</f>
        <v/>
      </c>
      <c r="BL61" s="177">
        <f>BK61*КоэффСохранения+BL15</f>
        <v/>
      </c>
      <c r="BM61" s="177">
        <f>BL61*КоэффСохранения+BM15</f>
        <v/>
      </c>
      <c r="BN61" s="177">
        <f>BM61*КоэффСохранения+BN15</f>
        <v/>
      </c>
      <c r="BO61" s="177">
        <f>BN61*КоэффСохранения+BO15</f>
        <v/>
      </c>
      <c r="BP61" s="177">
        <f>BO61*КоэффСохранения+BP15</f>
        <v/>
      </c>
      <c r="BQ61" s="177">
        <f>BP61*КоэффСохранения+BQ15</f>
        <v/>
      </c>
      <c r="BR61" s="177">
        <f>BQ61*КоэффСохранения+BR15</f>
        <v/>
      </c>
      <c r="BS61" s="177">
        <f>BR61*КоэффСохранения+BS15</f>
        <v/>
      </c>
      <c r="BT61" s="177">
        <f>BS61*КоэффСохранения+BT15</f>
        <v/>
      </c>
      <c r="BU61" s="177">
        <f>BT61*КоэффСохранения+BU15</f>
        <v/>
      </c>
      <c r="BV61" s="177">
        <f>BU61*КоэффСохранения+BV15</f>
        <v/>
      </c>
      <c r="BW61" s="177">
        <f>BV61*КоэффСохранения+BW15</f>
        <v/>
      </c>
      <c r="BX61" s="177">
        <f>BW61*КоэффСохранения+BX15</f>
        <v/>
      </c>
      <c r="BY61" s="177">
        <f>BX61*КоэффСохранения+BY15</f>
        <v/>
      </c>
    </row>
    <row r="62" ht="15.75" customHeight="1" s="194">
      <c r="B62" s="130" t="inlineStr">
        <is>
          <t>Дети всего, активные</t>
        </is>
      </c>
      <c r="C62" s="130" t="inlineStr">
        <is>
          <t>чел.</t>
        </is>
      </c>
      <c r="D62" s="156" t="inlineStr">
        <is>
          <t>Действующая сеть плюс новые школы В колонках лет — значение на конец года, в «Итого» — на конец пятого года. Это остаток, а не сумма.</t>
        </is>
      </c>
      <c r="E62" s="157">
        <f>W62</f>
        <v/>
      </c>
      <c r="F62" s="157">
        <f>AI62</f>
        <v/>
      </c>
      <c r="G62" s="157">
        <f>AU62</f>
        <v/>
      </c>
      <c r="H62" s="157">
        <f>BG62</f>
        <v/>
      </c>
      <c r="I62" s="157">
        <f>BS62</f>
        <v/>
      </c>
      <c r="J62" s="134">
        <f>BS62</f>
        <v/>
      </c>
      <c r="L62" s="133">
        <f>L20+L57</f>
        <v/>
      </c>
      <c r="M62" s="133">
        <f>M20+M57</f>
        <v/>
      </c>
      <c r="N62" s="133">
        <f>N20+N57</f>
        <v/>
      </c>
      <c r="O62" s="133">
        <f>O20+O57</f>
        <v/>
      </c>
      <c r="P62" s="133">
        <f>P20+P57</f>
        <v/>
      </c>
      <c r="Q62" s="133">
        <f>Q20+Q57</f>
        <v/>
      </c>
      <c r="R62" s="133">
        <f>R20+R57</f>
        <v/>
      </c>
      <c r="S62" s="133">
        <f>S20+S57</f>
        <v/>
      </c>
      <c r="T62" s="133">
        <f>T20+T57</f>
        <v/>
      </c>
      <c r="U62" s="133">
        <f>U20+U57</f>
        <v/>
      </c>
      <c r="V62" s="133">
        <f>V20+V57</f>
        <v/>
      </c>
      <c r="W62" s="133">
        <f>W20+W57</f>
        <v/>
      </c>
      <c r="X62" s="133">
        <f>X20+X57</f>
        <v/>
      </c>
      <c r="Y62" s="133">
        <f>Y20+Y57</f>
        <v/>
      </c>
      <c r="Z62" s="133">
        <f>Z20+Z57</f>
        <v/>
      </c>
      <c r="AA62" s="133">
        <f>AA20+AA57</f>
        <v/>
      </c>
      <c r="AB62" s="133">
        <f>AB20+AB57</f>
        <v/>
      </c>
      <c r="AC62" s="133">
        <f>AC20+AC57</f>
        <v/>
      </c>
      <c r="AD62" s="133">
        <f>AD20+AD57</f>
        <v/>
      </c>
      <c r="AE62" s="133">
        <f>AE20+AE57</f>
        <v/>
      </c>
      <c r="AF62" s="133">
        <f>AF20+AF57</f>
        <v/>
      </c>
      <c r="AG62" s="133">
        <f>AG20+AG57</f>
        <v/>
      </c>
      <c r="AH62" s="133">
        <f>AH20+AH57</f>
        <v/>
      </c>
      <c r="AI62" s="133">
        <f>AI20+AI57</f>
        <v/>
      </c>
      <c r="AJ62" s="133">
        <f>AJ20+AJ57</f>
        <v/>
      </c>
      <c r="AK62" s="133">
        <f>AK20+AK57</f>
        <v/>
      </c>
      <c r="AL62" s="133">
        <f>AL20+AL57</f>
        <v/>
      </c>
      <c r="AM62" s="133">
        <f>AM20+AM57</f>
        <v/>
      </c>
      <c r="AN62" s="133">
        <f>AN20+AN57</f>
        <v/>
      </c>
      <c r="AO62" s="133">
        <f>AO20+AO57</f>
        <v/>
      </c>
      <c r="AP62" s="133">
        <f>AP20+AP57</f>
        <v/>
      </c>
      <c r="AQ62" s="133">
        <f>AQ20+AQ57</f>
        <v/>
      </c>
      <c r="AR62" s="133">
        <f>AR20+AR57</f>
        <v/>
      </c>
      <c r="AS62" s="133">
        <f>AS20+AS57</f>
        <v/>
      </c>
      <c r="AT62" s="133">
        <f>AT20+AT57</f>
        <v/>
      </c>
      <c r="AU62" s="133">
        <f>AU20+AU57</f>
        <v/>
      </c>
      <c r="AV62" s="133">
        <f>AV20+AV57</f>
        <v/>
      </c>
      <c r="AW62" s="133">
        <f>AW20+AW57</f>
        <v/>
      </c>
      <c r="AX62" s="133">
        <f>AX20+AX57</f>
        <v/>
      </c>
      <c r="AY62" s="133">
        <f>AY20+AY57</f>
        <v/>
      </c>
      <c r="AZ62" s="133">
        <f>AZ20+AZ57</f>
        <v/>
      </c>
      <c r="BA62" s="133">
        <f>BA20+BA57</f>
        <v/>
      </c>
      <c r="BB62" s="133">
        <f>BB20+BB57</f>
        <v/>
      </c>
      <c r="BC62" s="133">
        <f>BC20+BC57</f>
        <v/>
      </c>
      <c r="BD62" s="133">
        <f>BD20+BD57</f>
        <v/>
      </c>
      <c r="BE62" s="133">
        <f>BE20+BE57</f>
        <v/>
      </c>
      <c r="BF62" s="133">
        <f>BF20+BF57</f>
        <v/>
      </c>
      <c r="BG62" s="133">
        <f>BG20+BG57</f>
        <v/>
      </c>
      <c r="BH62" s="133">
        <f>BH20+BH57</f>
        <v/>
      </c>
      <c r="BI62" s="133">
        <f>BI20+BI57</f>
        <v/>
      </c>
      <c r="BJ62" s="133">
        <f>BJ20+BJ57</f>
        <v/>
      </c>
      <c r="BK62" s="133">
        <f>BK20+BK57</f>
        <v/>
      </c>
      <c r="BL62" s="133">
        <f>BL20+BL57</f>
        <v/>
      </c>
      <c r="BM62" s="133">
        <f>BM20+BM57</f>
        <v/>
      </c>
      <c r="BN62" s="133">
        <f>BN20+BN57</f>
        <v/>
      </c>
      <c r="BO62" s="133">
        <f>BO20+BO57</f>
        <v/>
      </c>
      <c r="BP62" s="133">
        <f>BP20+BP57</f>
        <v/>
      </c>
      <c r="BQ62" s="133">
        <f>BQ20+BQ57</f>
        <v/>
      </c>
      <c r="BR62" s="133">
        <f>BR20+BR57</f>
        <v/>
      </c>
      <c r="BS62" s="133">
        <f>BS20+BS57</f>
        <v/>
      </c>
      <c r="BT62" s="133">
        <f>BT20+BT57</f>
        <v/>
      </c>
      <c r="BU62" s="133">
        <f>BU20+BU57</f>
        <v/>
      </c>
      <c r="BV62" s="133">
        <f>BV20+BV57</f>
        <v/>
      </c>
      <c r="BW62" s="133">
        <f>BW20+BW57</f>
        <v/>
      </c>
      <c r="BX62" s="133">
        <f>BX20+BX57</f>
        <v/>
      </c>
      <c r="BY62" s="133">
        <f>BY20+BY57</f>
        <v/>
      </c>
    </row>
    <row r="63" ht="15.75" customHeight="1" s="194"/>
    <row r="64" ht="15.75" customHeight="1" s="194"/>
    <row r="65" ht="15.75" customHeight="1" s="194"/>
    <row r="66" ht="15.75" customHeight="1" s="194"/>
    <row r="67" ht="15.75" customHeight="1" s="194"/>
    <row r="68" ht="15.75" customHeight="1" s="194"/>
    <row r="69" ht="15.75" customHeight="1" s="194"/>
    <row r="70" ht="15.75" customHeight="1" s="194"/>
    <row r="71" ht="15.75" customHeight="1" s="194"/>
    <row r="72" ht="15.75" customHeight="1" s="194"/>
    <row r="73" ht="15.75" customHeight="1" s="194"/>
    <row r="74" ht="15.75" customHeight="1" s="194"/>
    <row r="75" ht="15.75" customHeight="1" s="194"/>
    <row r="76" ht="15.75" customHeight="1" s="194"/>
    <row r="77" ht="15.75" customHeight="1" s="194"/>
    <row r="78" ht="15.75" customHeight="1" s="194"/>
    <row r="79" ht="15.75" customHeight="1" s="194"/>
    <row r="80" ht="15.75" customHeight="1" s="194"/>
    <row r="81" ht="15.75" customHeight="1" s="194"/>
    <row r="82" ht="15.75" customHeight="1" s="194"/>
    <row r="83" ht="15.75" customHeight="1" s="194"/>
    <row r="84" ht="15.75" customHeight="1" s="194"/>
    <row r="85" ht="15.75" customHeight="1" s="194"/>
    <row r="86" ht="15.75" customHeight="1" s="194"/>
    <row r="87" ht="15.75" customHeight="1" s="194"/>
    <row r="88" ht="15.75" customHeight="1" s="194"/>
    <row r="89" ht="15.75" customHeight="1" s="194"/>
    <row r="90" ht="15.75" customHeight="1" s="194"/>
    <row r="91" ht="15.75" customHeight="1" s="194"/>
    <row r="92" ht="15.75" customHeight="1" s="194"/>
    <row r="93" ht="15.75" customHeight="1" s="194"/>
    <row r="94" ht="15.75" customHeight="1" s="194"/>
    <row r="95" ht="15.75" customHeight="1" s="194"/>
    <row r="96" ht="15.75" customHeight="1" s="194"/>
    <row r="97" ht="15.75" customHeight="1" s="194"/>
    <row r="98" ht="15.75" customHeight="1" s="194"/>
    <row r="99" ht="15.75" customHeight="1" s="194"/>
    <row r="100" ht="15.75" customHeight="1" s="194"/>
    <row r="101" ht="15.75" customHeight="1" s="194"/>
    <row r="102" ht="15.75" customHeight="1" s="194"/>
    <row r="103" ht="15.75" customHeight="1" s="194"/>
    <row r="104" ht="15.75" customHeight="1" s="194"/>
    <row r="105" ht="15.75" customHeight="1" s="194"/>
    <row r="106" ht="15.75" customHeight="1" s="194"/>
    <row r="107" ht="15.75" customHeight="1" s="194"/>
    <row r="108" ht="15.75" customHeight="1" s="194"/>
    <row r="109" ht="15.75" customHeight="1" s="194"/>
    <row r="110" ht="15.75" customHeight="1" s="194"/>
    <row r="111" ht="15.75" customHeight="1" s="194"/>
    <row r="112" ht="15.75" customHeight="1" s="194"/>
    <row r="113" ht="15.75" customHeight="1" s="194"/>
    <row r="114" ht="15.75" customHeight="1" s="194"/>
    <row r="115" ht="15.75" customHeight="1" s="194"/>
    <row r="116" ht="15.75" customHeight="1" s="194"/>
    <row r="117" ht="15.75" customHeight="1" s="194"/>
    <row r="118" ht="15.75" customHeight="1" s="194"/>
    <row r="119" ht="15.75" customHeight="1" s="194"/>
    <row r="120" ht="15.75" customHeight="1" s="194"/>
    <row r="121" ht="15.75" customHeight="1" s="194"/>
    <row r="122" ht="15.75" customHeight="1" s="194"/>
    <row r="123" ht="15.75" customHeight="1" s="194"/>
    <row r="124" ht="15.75" customHeight="1" s="194"/>
    <row r="125" ht="15.75" customHeight="1" s="194"/>
    <row r="126" ht="15.75" customHeight="1" s="194"/>
    <row r="127" ht="15.75" customHeight="1" s="194"/>
    <row r="128" ht="15.75" customHeight="1" s="194"/>
    <row r="129" ht="15.75" customHeight="1" s="194"/>
    <row r="130" ht="15.75" customHeight="1" s="194"/>
    <row r="131" ht="15.75" customHeight="1" s="194"/>
    <row r="132" ht="15.75" customHeight="1" s="194"/>
    <row r="133" ht="15.75" customHeight="1" s="194"/>
    <row r="134" ht="15.75" customHeight="1" s="194"/>
    <row r="135" ht="15.75" customHeight="1" s="194"/>
    <row r="136" ht="15.75" customHeight="1" s="194"/>
    <row r="137" ht="15.75" customHeight="1" s="194"/>
    <row r="138" ht="15.75" customHeight="1" s="194"/>
    <row r="139" ht="15.75" customHeight="1" s="194"/>
    <row r="140" ht="15.75" customHeight="1" s="194"/>
    <row r="141" ht="15.75" customHeight="1" s="194"/>
    <row r="142" ht="15.75" customHeight="1" s="194"/>
    <row r="143" ht="15.75" customHeight="1" s="194"/>
    <row r="144" ht="15.75" customHeight="1" s="194"/>
    <row r="145" ht="15.75" customHeight="1" s="194"/>
    <row r="146" ht="15.75" customHeight="1" s="194"/>
    <row r="147" ht="15.75" customHeight="1" s="194"/>
    <row r="148" ht="15.75" customHeight="1" s="194"/>
    <row r="149" ht="15.75" customHeight="1" s="194"/>
    <row r="150" ht="15.75" customHeight="1" s="194"/>
    <row r="151" ht="15.75" customHeight="1" s="194"/>
    <row r="152" ht="15.75" customHeight="1" s="194"/>
    <row r="153" ht="15.75" customHeight="1" s="194"/>
    <row r="154" ht="15.75" customHeight="1" s="194"/>
    <row r="155" ht="15.75" customHeight="1" s="194"/>
    <row r="156" ht="15.75" customHeight="1" s="194"/>
    <row r="157" ht="15.75" customHeight="1" s="194"/>
    <row r="158" ht="15.75" customHeight="1" s="194"/>
    <row r="159" ht="15.75" customHeight="1" s="194"/>
    <row r="160" ht="15.75" customHeight="1" s="194"/>
    <row r="161" ht="15.75" customHeight="1" s="194"/>
    <row r="162" ht="15.75" customHeight="1" s="194"/>
    <row r="163" ht="15.75" customHeight="1" s="194"/>
    <row r="164" ht="15.75" customHeight="1" s="194"/>
    <row r="165" ht="15.75" customHeight="1" s="194"/>
    <row r="166" ht="15.75" customHeight="1" s="194"/>
    <row r="167" ht="15.75" customHeight="1" s="194"/>
    <row r="168" ht="15.75" customHeight="1" s="194"/>
    <row r="169" ht="15.75" customHeight="1" s="194"/>
    <row r="170" ht="15.75" customHeight="1" s="194"/>
    <row r="171" ht="15.75" customHeight="1" s="194"/>
    <row r="172" ht="15.75" customHeight="1" s="194"/>
    <row r="173" ht="15.75" customHeight="1" s="194"/>
    <row r="174" ht="15.75" customHeight="1" s="194"/>
    <row r="175" ht="15.75" customHeight="1" s="194"/>
    <row r="176" ht="15.75" customHeight="1" s="194"/>
    <row r="177" ht="15.75" customHeight="1" s="194"/>
    <row r="178" ht="15.75" customHeight="1" s="194"/>
    <row r="179" ht="15.75" customHeight="1" s="194"/>
    <row r="180" ht="15.75" customHeight="1" s="194"/>
    <row r="181" ht="15.75" customHeight="1" s="194"/>
    <row r="182" ht="15.75" customHeight="1" s="194"/>
    <row r="183" ht="15.75" customHeight="1" s="194"/>
    <row r="184" ht="15.75" customHeight="1" s="194"/>
    <row r="185" ht="15.75" customHeight="1" s="194"/>
    <row r="186" ht="15.75" customHeight="1" s="194"/>
    <row r="187" ht="15.75" customHeight="1" s="194"/>
    <row r="188" ht="15.75" customHeight="1" s="194"/>
    <row r="189" ht="15.75" customHeight="1" s="194"/>
    <row r="190" ht="15.75" customHeight="1" s="194"/>
    <row r="191" ht="15.75" customHeight="1" s="194"/>
    <row r="192" ht="15.75" customHeight="1" s="194"/>
    <row r="193" ht="15.75" customHeight="1" s="194"/>
    <row r="194" ht="15.75" customHeight="1" s="194"/>
    <row r="195" ht="15.75" customHeight="1" s="194"/>
    <row r="196" ht="15.75" customHeight="1" s="194"/>
    <row r="197" ht="15.75" customHeight="1" s="194"/>
    <row r="198" ht="15.75" customHeight="1" s="194"/>
    <row r="199" ht="15.75" customHeight="1" s="194"/>
    <row r="200" ht="15.75" customHeight="1" s="194"/>
    <row r="201" ht="15.75" customHeight="1" s="194"/>
    <row r="202" ht="15.75" customHeight="1" s="194"/>
    <row r="203" ht="15.75" customHeight="1" s="194"/>
    <row r="204" ht="15.75" customHeight="1" s="194"/>
    <row r="205" ht="15.75" customHeight="1" s="194"/>
    <row r="206" ht="15.75" customHeight="1" s="194"/>
    <row r="207" ht="15.75" customHeight="1" s="194"/>
    <row r="208" ht="15.75" customHeight="1" s="194"/>
    <row r="209" ht="15.75" customHeight="1" s="194"/>
    <row r="210" ht="15.75" customHeight="1" s="194"/>
    <row r="211" ht="15.75" customHeight="1" s="194"/>
    <row r="212" ht="15.75" customHeight="1" s="194"/>
    <row r="213" ht="15.75" customHeight="1" s="194"/>
    <row r="214" ht="15.75" customHeight="1" s="194"/>
    <row r="215" ht="15.75" customHeight="1" s="194"/>
    <row r="216" ht="15.75" customHeight="1" s="194"/>
    <row r="217" ht="15.75" customHeight="1" s="194"/>
    <row r="218" ht="15.75" customHeight="1" s="194"/>
    <row r="219" ht="15.75" customHeight="1" s="194"/>
    <row r="220" ht="15.75" customHeight="1" s="194"/>
    <row r="221" ht="15.75" customHeight="1" s="194"/>
    <row r="222" ht="15.75" customHeight="1" s="194"/>
    <row r="223" ht="15.75" customHeight="1" s="194"/>
    <row r="224" ht="15.75" customHeight="1" s="194"/>
    <row r="225" ht="15.75" customHeight="1" s="194"/>
    <row r="226" ht="15.75" customHeight="1" s="194"/>
    <row r="227" ht="15.75" customHeight="1" s="194"/>
    <row r="228" ht="15.75" customHeight="1" s="194"/>
    <row r="229" ht="15.75" customHeight="1" s="194"/>
    <row r="230" ht="15.75" customHeight="1" s="194"/>
    <row r="231" ht="15.75" customHeight="1" s="194"/>
    <row r="232" ht="15.75" customHeight="1" s="194"/>
    <row r="233" ht="15.75" customHeight="1" s="194"/>
    <row r="234" ht="15.75" customHeight="1" s="194"/>
    <row r="235" ht="15.75" customHeight="1" s="194"/>
    <row r="236" ht="15.75" customHeight="1" s="194"/>
    <row r="237" ht="15.75" customHeight="1" s="194"/>
    <row r="238" ht="15.75" customHeight="1" s="194"/>
    <row r="239" ht="15.75" customHeight="1" s="194"/>
    <row r="240" ht="15.75" customHeight="1" s="194"/>
    <row r="241" ht="15.75" customHeight="1" s="194"/>
    <row r="242" ht="15.75" customHeight="1" s="194"/>
    <row r="243" ht="15.75" customHeight="1" s="194"/>
    <row r="244" ht="15.75" customHeight="1" s="194"/>
    <row r="245" ht="15.75" customHeight="1" s="194"/>
    <row r="246" ht="15.75" customHeight="1" s="194"/>
    <row r="247" ht="15.75" customHeight="1" s="194"/>
    <row r="248" ht="15.75" customHeight="1" s="194"/>
    <row r="249" ht="15.75" customHeight="1" s="194"/>
    <row r="250" ht="15.75" customHeight="1" s="194"/>
    <row r="251" ht="15.75" customHeight="1" s="194"/>
    <row r="252" ht="15.75" customHeight="1" s="194"/>
    <row r="253" ht="15.75" customHeight="1" s="194"/>
    <row r="254" ht="15.75" customHeight="1" s="194"/>
    <row r="255" ht="15.75" customHeight="1" s="194"/>
    <row r="256" ht="15.75" customHeight="1" s="194"/>
    <row r="257" ht="15.75" customHeight="1" s="194"/>
    <row r="258" ht="15.75" customHeight="1" s="194"/>
    <row r="259" ht="15.75" customHeight="1" s="194"/>
    <row r="260" ht="15.75" customHeight="1" s="194"/>
    <row r="261" ht="15.75" customHeight="1" s="194"/>
    <row r="262" ht="15.75" customHeight="1" s="194"/>
    <row r="263" ht="15.75" customHeight="1" s="194"/>
    <row r="264" ht="15.75" customHeight="1" s="194"/>
    <row r="265" ht="15.75" customHeight="1" s="194"/>
    <row r="266" ht="15.75" customHeight="1" s="194"/>
    <row r="267" ht="15.75" customHeight="1" s="194"/>
    <row r="268" ht="15.75" customHeight="1" s="194"/>
    <row r="269" ht="15.75" customHeight="1" s="194"/>
    <row r="270" ht="15.75" customHeight="1" s="194"/>
    <row r="271" ht="15.75" customHeight="1" s="194"/>
    <row r="272" ht="15.75" customHeight="1" s="194"/>
    <row r="273" ht="15.75" customHeight="1" s="194"/>
    <row r="274" ht="15.75" customHeight="1" s="194"/>
    <row r="275" ht="15.75" customHeight="1" s="194"/>
    <row r="276" ht="15.75" customHeight="1" s="194"/>
    <row r="277" ht="15.75" customHeight="1" s="194"/>
    <row r="278" ht="15.75" customHeight="1" s="194"/>
    <row r="279" ht="15.75" customHeight="1" s="194"/>
    <row r="280" ht="15.75" customHeight="1" s="194"/>
    <row r="281" ht="15.75" customHeight="1" s="194"/>
    <row r="282" ht="15.75" customHeight="1" s="194"/>
    <row r="283" ht="15.75" customHeight="1" s="194"/>
    <row r="284" ht="15.75" customHeight="1" s="194"/>
    <row r="285" ht="15.75" customHeight="1" s="194"/>
    <row r="286" ht="15.75" customHeight="1" s="194"/>
    <row r="287" ht="15.75" customHeight="1" s="194"/>
    <row r="288" ht="15.75" customHeight="1" s="194"/>
    <row r="289" ht="15.75" customHeight="1" s="194"/>
    <row r="290" ht="15.75" customHeight="1" s="194"/>
    <row r="291" ht="15.75" customHeight="1" s="194"/>
    <row r="292" ht="15.75" customHeight="1" s="194"/>
    <row r="293" ht="15.75" customHeight="1" s="194"/>
    <row r="294" ht="15.75" customHeight="1" s="194"/>
    <row r="295" ht="15.75" customHeight="1" s="194"/>
    <row r="296" ht="15.75" customHeight="1" s="194"/>
    <row r="297" ht="15.75" customHeight="1" s="194"/>
    <row r="298" ht="15.75" customHeight="1" s="194"/>
    <row r="299" ht="15.75" customHeight="1" s="194"/>
    <row r="300" ht="15.75" customHeight="1" s="194"/>
    <row r="301" ht="15.75" customHeight="1" s="194"/>
    <row r="302" ht="15.75" customHeight="1" s="194"/>
    <row r="303" ht="15.75" customHeight="1" s="194"/>
    <row r="304" ht="15.75" customHeight="1" s="194"/>
    <row r="305" ht="15.75" customHeight="1" s="194"/>
    <row r="306" ht="15.75" customHeight="1" s="194"/>
    <row r="307" ht="15.75" customHeight="1" s="194"/>
    <row r="308" ht="15.75" customHeight="1" s="194"/>
    <row r="309" ht="15.75" customHeight="1" s="194"/>
    <row r="310" ht="15.75" customHeight="1" s="194"/>
    <row r="311" ht="15.75" customHeight="1" s="194"/>
    <row r="312" ht="15.75" customHeight="1" s="194"/>
    <row r="313" ht="15.75" customHeight="1" s="194"/>
    <row r="314" ht="15.75" customHeight="1" s="194"/>
    <row r="315" ht="15.75" customHeight="1" s="194"/>
    <row r="316" ht="15.75" customHeight="1" s="194"/>
    <row r="317" ht="15.75" customHeight="1" s="194"/>
    <row r="318" ht="15.75" customHeight="1" s="194"/>
    <row r="319" ht="15.75" customHeight="1" s="194"/>
    <row r="320" ht="15.75" customHeight="1" s="194"/>
    <row r="321" ht="15.75" customHeight="1" s="194"/>
    <row r="322" ht="15.75" customHeight="1" s="194"/>
    <row r="323" ht="15.75" customHeight="1" s="194"/>
    <row r="324" ht="15.75" customHeight="1" s="194"/>
    <row r="325" ht="15.75" customHeight="1" s="194"/>
    <row r="326" ht="15.75" customHeight="1" s="194"/>
    <row r="327" ht="15.75" customHeight="1" s="194"/>
    <row r="328" ht="15.75" customHeight="1" s="194"/>
    <row r="329" ht="15.75" customHeight="1" s="194"/>
    <row r="330" ht="15.75" customHeight="1" s="194"/>
    <row r="331" ht="15.75" customHeight="1" s="194"/>
    <row r="332" ht="15.75" customHeight="1" s="194"/>
    <row r="333" ht="15.75" customHeight="1" s="194"/>
    <row r="334" ht="15.75" customHeight="1" s="194"/>
    <row r="335" ht="15.75" customHeight="1" s="194"/>
    <row r="336" ht="15.75" customHeight="1" s="194"/>
    <row r="337" ht="15.75" customHeight="1" s="194"/>
    <row r="338" ht="15.75" customHeight="1" s="194"/>
    <row r="339" ht="15.75" customHeight="1" s="194"/>
    <row r="340" ht="15.75" customHeight="1" s="194"/>
    <row r="341" ht="15.75" customHeight="1" s="194"/>
    <row r="342" ht="15.75" customHeight="1" s="194"/>
    <row r="343" ht="15.75" customHeight="1" s="194"/>
    <row r="344" ht="15.75" customHeight="1" s="194"/>
    <row r="345" ht="15.75" customHeight="1" s="194"/>
    <row r="346" ht="15.75" customHeight="1" s="194"/>
    <row r="347" ht="15.75" customHeight="1" s="194"/>
    <row r="348" ht="15.75" customHeight="1" s="194"/>
    <row r="349" ht="15.75" customHeight="1" s="194"/>
    <row r="350" ht="15.75" customHeight="1" s="194"/>
    <row r="351" ht="15.75" customHeight="1" s="194"/>
    <row r="352" ht="15.75" customHeight="1" s="194"/>
    <row r="353" ht="15.75" customHeight="1" s="194"/>
    <row r="354" ht="15.75" customHeight="1" s="194"/>
    <row r="355" ht="15.75" customHeight="1" s="194"/>
    <row r="356" ht="15.75" customHeight="1" s="194"/>
    <row r="357" ht="15.75" customHeight="1" s="194"/>
    <row r="358" ht="15.75" customHeight="1" s="194"/>
    <row r="359" ht="15.75" customHeight="1" s="194"/>
    <row r="360" ht="15.75" customHeight="1" s="194"/>
    <row r="361" ht="15.75" customHeight="1" s="194"/>
    <row r="362" ht="15.75" customHeight="1" s="194"/>
    <row r="363" ht="15.75" customHeight="1" s="194"/>
    <row r="364" ht="15.75" customHeight="1" s="194"/>
    <row r="365" ht="15.75" customHeight="1" s="194"/>
    <row r="366" ht="15.75" customHeight="1" s="194"/>
    <row r="367" ht="15.75" customHeight="1" s="194"/>
    <row r="368" ht="15.75" customHeight="1" s="194"/>
    <row r="369" ht="15.75" customHeight="1" s="194"/>
    <row r="370" ht="15.75" customHeight="1" s="194"/>
    <row r="371" ht="15.75" customHeight="1" s="194"/>
    <row r="372" ht="15.75" customHeight="1" s="194"/>
    <row r="373" ht="15.75" customHeight="1" s="194"/>
    <row r="374" ht="15.75" customHeight="1" s="194"/>
    <row r="375" ht="15.75" customHeight="1" s="194"/>
    <row r="376" ht="15.75" customHeight="1" s="194"/>
    <row r="377" ht="15.75" customHeight="1" s="194"/>
    <row r="378" ht="15.75" customHeight="1" s="194"/>
    <row r="379" ht="15.75" customHeight="1" s="194"/>
    <row r="380" ht="15.75" customHeight="1" s="194"/>
    <row r="381" ht="15.75" customHeight="1" s="194"/>
    <row r="382" ht="15.75" customHeight="1" s="194"/>
    <row r="383" ht="15.75" customHeight="1" s="194"/>
    <row r="384" ht="15.75" customHeight="1" s="194"/>
    <row r="385" ht="15.75" customHeight="1" s="194"/>
    <row r="386" ht="15.75" customHeight="1" s="194"/>
    <row r="387" ht="15.75" customHeight="1" s="194"/>
    <row r="388" ht="15.75" customHeight="1" s="194"/>
    <row r="389" ht="15.75" customHeight="1" s="194"/>
    <row r="390" ht="15.75" customHeight="1" s="194"/>
    <row r="391" ht="15.75" customHeight="1" s="194"/>
    <row r="392" ht="15.75" customHeight="1" s="194"/>
    <row r="393" ht="15.75" customHeight="1" s="194"/>
    <row r="394" ht="15.75" customHeight="1" s="194"/>
    <row r="395" ht="15.75" customHeight="1" s="194"/>
    <row r="396" ht="15.75" customHeight="1" s="194"/>
    <row r="397" ht="15.75" customHeight="1" s="194"/>
    <row r="398" ht="15.75" customHeight="1" s="194"/>
    <row r="399" ht="15.75" customHeight="1" s="194"/>
    <row r="400" ht="15.75" customHeight="1" s="194"/>
    <row r="401" ht="15.75" customHeight="1" s="194"/>
    <row r="402" ht="15.75" customHeight="1" s="194"/>
    <row r="403" ht="15.75" customHeight="1" s="194"/>
    <row r="404" ht="15.75" customHeight="1" s="194"/>
    <row r="405" ht="15.75" customHeight="1" s="194"/>
    <row r="406" ht="15.75" customHeight="1" s="194"/>
    <row r="407" ht="15.75" customHeight="1" s="194"/>
    <row r="408" ht="15.75" customHeight="1" s="194"/>
    <row r="409" ht="15.75" customHeight="1" s="194"/>
    <row r="410" ht="15.75" customHeight="1" s="194"/>
    <row r="411" ht="15.75" customHeight="1" s="194"/>
    <row r="412" ht="15.75" customHeight="1" s="194"/>
    <row r="413" ht="15.75" customHeight="1" s="194"/>
    <row r="414" ht="15.75" customHeight="1" s="194"/>
    <row r="415" ht="15.75" customHeight="1" s="194"/>
    <row r="416" ht="15.75" customHeight="1" s="194"/>
    <row r="417" ht="15.75" customHeight="1" s="194"/>
    <row r="418" ht="15.75" customHeight="1" s="194"/>
    <row r="419" ht="15.75" customHeight="1" s="194"/>
    <row r="420" ht="15.75" customHeight="1" s="194"/>
    <row r="421" ht="15.75" customHeight="1" s="194"/>
    <row r="422" ht="15.75" customHeight="1" s="194"/>
    <row r="423" ht="15.75" customHeight="1" s="194"/>
    <row r="424" ht="15.75" customHeight="1" s="194"/>
    <row r="425" ht="15.75" customHeight="1" s="194"/>
    <row r="426" ht="15.75" customHeight="1" s="194"/>
    <row r="427" ht="15.75" customHeight="1" s="194"/>
    <row r="428" ht="15.75" customHeight="1" s="194"/>
    <row r="429" ht="15.75" customHeight="1" s="194"/>
    <row r="430" ht="15.75" customHeight="1" s="194"/>
    <row r="431" ht="15.75" customHeight="1" s="194"/>
    <row r="432" ht="15.75" customHeight="1" s="194"/>
    <row r="433" ht="15.75" customHeight="1" s="194"/>
    <row r="434" ht="15.75" customHeight="1" s="194"/>
    <row r="435" ht="15.75" customHeight="1" s="194"/>
    <row r="436" ht="15.75" customHeight="1" s="194"/>
    <row r="437" ht="15.75" customHeight="1" s="194"/>
    <row r="438" ht="15.75" customHeight="1" s="194"/>
    <row r="439" ht="15.75" customHeight="1" s="194"/>
    <row r="440" ht="15.75" customHeight="1" s="194"/>
    <row r="441" ht="15.75" customHeight="1" s="194"/>
    <row r="442" ht="15.75" customHeight="1" s="194"/>
    <row r="443" ht="15.75" customHeight="1" s="194"/>
    <row r="444" ht="15.75" customHeight="1" s="194"/>
    <row r="445" ht="15.75" customHeight="1" s="194"/>
    <row r="446" ht="15.75" customHeight="1" s="194"/>
    <row r="447" ht="15.75" customHeight="1" s="194"/>
    <row r="448" ht="15.75" customHeight="1" s="194"/>
    <row r="449" ht="15.75" customHeight="1" s="194"/>
    <row r="450" ht="15.75" customHeight="1" s="194"/>
    <row r="451" ht="15.75" customHeight="1" s="194"/>
    <row r="452" ht="15.75" customHeight="1" s="194"/>
    <row r="453" ht="15.75" customHeight="1" s="194"/>
    <row r="454" ht="15.75" customHeight="1" s="194"/>
    <row r="455" ht="15.75" customHeight="1" s="194"/>
    <row r="456" ht="15.75" customHeight="1" s="194"/>
    <row r="457" ht="15.75" customHeight="1" s="194"/>
    <row r="458" ht="15.75" customHeight="1" s="194"/>
    <row r="459" ht="15.75" customHeight="1" s="194"/>
    <row r="460" ht="15.75" customHeight="1" s="194"/>
    <row r="461" ht="15.75" customHeight="1" s="194"/>
    <row r="462" ht="15.75" customHeight="1" s="194"/>
    <row r="463" ht="15.75" customHeight="1" s="194"/>
    <row r="464" ht="15.75" customHeight="1" s="194"/>
    <row r="465" ht="15.75" customHeight="1" s="194"/>
    <row r="466" ht="15.75" customHeight="1" s="194"/>
    <row r="467" ht="15.75" customHeight="1" s="194"/>
    <row r="468" ht="15.75" customHeight="1" s="194"/>
    <row r="469" ht="15.75" customHeight="1" s="194"/>
    <row r="470" ht="15.75" customHeight="1" s="194"/>
    <row r="471" ht="15.75" customHeight="1" s="194"/>
    <row r="472" ht="15.75" customHeight="1" s="194"/>
    <row r="473" ht="15.75" customHeight="1" s="194"/>
    <row r="474" ht="15.75" customHeight="1" s="194"/>
    <row r="475" ht="15.75" customHeight="1" s="194"/>
    <row r="476" ht="15.75" customHeight="1" s="194"/>
    <row r="477" ht="15.75" customHeight="1" s="194"/>
    <row r="478" ht="15.75" customHeight="1" s="194"/>
    <row r="479" ht="15.75" customHeight="1" s="194"/>
    <row r="480" ht="15.75" customHeight="1" s="194"/>
    <row r="481" ht="15.75" customHeight="1" s="194"/>
    <row r="482" ht="15.75" customHeight="1" s="194"/>
    <row r="483" ht="15.75" customHeight="1" s="194"/>
    <row r="484" ht="15.75" customHeight="1" s="194"/>
    <row r="485" ht="15.75" customHeight="1" s="194"/>
    <row r="486" ht="15.75" customHeight="1" s="194"/>
    <row r="487" ht="15.75" customHeight="1" s="194"/>
    <row r="488" ht="15.75" customHeight="1" s="194"/>
    <row r="489" ht="15.75" customHeight="1" s="194"/>
    <row r="490" ht="15.75" customHeight="1" s="194"/>
    <row r="491" ht="15.75" customHeight="1" s="194"/>
    <row r="492" ht="15.75" customHeight="1" s="194"/>
    <row r="493" ht="15.75" customHeight="1" s="194"/>
    <row r="494" ht="15.75" customHeight="1" s="194"/>
    <row r="495" ht="15.75" customHeight="1" s="194"/>
    <row r="496" ht="15.75" customHeight="1" s="194"/>
    <row r="497" ht="15.75" customHeight="1" s="194"/>
    <row r="498" ht="15.75" customHeight="1" s="194"/>
    <row r="499" ht="15.75" customHeight="1" s="194"/>
    <row r="500" ht="15.75" customHeight="1" s="194"/>
    <row r="501" ht="15.75" customHeight="1" s="194"/>
    <row r="502" ht="15.75" customHeight="1" s="194"/>
    <row r="503" ht="15.75" customHeight="1" s="194"/>
    <row r="504" ht="15.75" customHeight="1" s="194"/>
    <row r="505" ht="15.75" customHeight="1" s="194"/>
    <row r="506" ht="15.75" customHeight="1" s="194"/>
    <row r="507" ht="15.75" customHeight="1" s="194"/>
    <row r="508" ht="15.75" customHeight="1" s="194"/>
    <row r="509" ht="15.75" customHeight="1" s="194"/>
    <row r="510" ht="15.75" customHeight="1" s="194"/>
    <row r="511" ht="15.75" customHeight="1" s="194"/>
    <row r="512" ht="15.75" customHeight="1" s="194"/>
    <row r="513" ht="15.75" customHeight="1" s="194"/>
    <row r="514" ht="15.75" customHeight="1" s="194"/>
    <row r="515" ht="15.75" customHeight="1" s="194"/>
    <row r="516" ht="15.75" customHeight="1" s="194"/>
    <row r="517" ht="15.75" customHeight="1" s="194"/>
    <row r="518" ht="15.75" customHeight="1" s="194"/>
    <row r="519" ht="15.75" customHeight="1" s="194"/>
    <row r="520" ht="15.75" customHeight="1" s="194"/>
    <row r="521" ht="15.75" customHeight="1" s="194"/>
    <row r="522" ht="15.75" customHeight="1" s="194"/>
    <row r="523" ht="15.75" customHeight="1" s="194"/>
    <row r="524" ht="15.75" customHeight="1" s="194"/>
    <row r="525" ht="15.75" customHeight="1" s="194"/>
    <row r="526" ht="15.75" customHeight="1" s="194"/>
    <row r="527" ht="15.75" customHeight="1" s="194"/>
    <row r="528" ht="15.75" customHeight="1" s="194"/>
    <row r="529" ht="15.75" customHeight="1" s="194"/>
    <row r="530" ht="15.75" customHeight="1" s="194"/>
    <row r="531" ht="15.75" customHeight="1" s="194"/>
    <row r="532" ht="15.75" customHeight="1" s="194"/>
    <row r="533" ht="15.75" customHeight="1" s="194"/>
    <row r="534" ht="15.75" customHeight="1" s="194"/>
    <row r="535" ht="15.75" customHeight="1" s="194"/>
    <row r="536" ht="15.75" customHeight="1" s="194"/>
    <row r="537" ht="15.75" customHeight="1" s="194"/>
    <row r="538" ht="15.75" customHeight="1" s="194"/>
    <row r="539" ht="15.75" customHeight="1" s="194"/>
    <row r="540" ht="15.75" customHeight="1" s="194"/>
    <row r="541" ht="15.75" customHeight="1" s="194"/>
    <row r="542" ht="15.75" customHeight="1" s="194"/>
    <row r="543" ht="15.75" customHeight="1" s="194"/>
    <row r="544" ht="15.75" customHeight="1" s="194"/>
    <row r="545" ht="15.75" customHeight="1" s="194"/>
    <row r="546" ht="15.75" customHeight="1" s="194"/>
    <row r="547" ht="15.75" customHeight="1" s="194"/>
    <row r="548" ht="15.75" customHeight="1" s="194"/>
    <row r="549" ht="15.75" customHeight="1" s="194"/>
    <row r="550" ht="15.75" customHeight="1" s="194"/>
    <row r="551" ht="15.75" customHeight="1" s="194"/>
    <row r="552" ht="15.75" customHeight="1" s="194"/>
    <row r="553" ht="15.75" customHeight="1" s="194"/>
    <row r="554" ht="15.75" customHeight="1" s="194"/>
    <row r="555" ht="15.75" customHeight="1" s="194"/>
    <row r="556" ht="15.75" customHeight="1" s="194"/>
    <row r="557" ht="15.75" customHeight="1" s="194"/>
    <row r="558" ht="15.75" customHeight="1" s="194"/>
    <row r="559" ht="15.75" customHeight="1" s="194"/>
    <row r="560" ht="15.75" customHeight="1" s="194"/>
    <row r="561" ht="15.75" customHeight="1" s="194"/>
    <row r="562" ht="15.75" customHeight="1" s="194"/>
    <row r="563" ht="15.75" customHeight="1" s="194"/>
    <row r="564" ht="15.75" customHeight="1" s="194"/>
    <row r="565" ht="15.75" customHeight="1" s="194"/>
    <row r="566" ht="15.75" customHeight="1" s="194"/>
    <row r="567" ht="15.75" customHeight="1" s="194"/>
    <row r="568" ht="15.75" customHeight="1" s="194"/>
    <row r="569" ht="15.75" customHeight="1" s="194"/>
    <row r="570" ht="15.75" customHeight="1" s="194"/>
    <row r="571" ht="15.75" customHeight="1" s="194"/>
    <row r="572" ht="15.75" customHeight="1" s="194"/>
    <row r="573" ht="15.75" customHeight="1" s="194"/>
    <row r="574" ht="15.75" customHeight="1" s="194"/>
    <row r="575" ht="15.75" customHeight="1" s="194"/>
    <row r="576" ht="15.75" customHeight="1" s="194"/>
    <row r="577" ht="15.75" customHeight="1" s="194"/>
    <row r="578" ht="15.75" customHeight="1" s="194"/>
    <row r="579" ht="15.75" customHeight="1" s="194"/>
    <row r="580" ht="15.75" customHeight="1" s="194"/>
    <row r="581" ht="15.75" customHeight="1" s="194"/>
    <row r="582" ht="15.75" customHeight="1" s="194"/>
    <row r="583" ht="15.75" customHeight="1" s="194"/>
    <row r="584" ht="15.75" customHeight="1" s="194"/>
    <row r="585" ht="15.75" customHeight="1" s="194"/>
    <row r="586" ht="15.75" customHeight="1" s="194"/>
    <row r="587" ht="15.75" customHeight="1" s="194"/>
    <row r="588" ht="15.75" customHeight="1" s="194"/>
    <row r="589" ht="15.75" customHeight="1" s="194"/>
    <row r="590" ht="15.75" customHeight="1" s="194"/>
    <row r="591" ht="15.75" customHeight="1" s="194"/>
    <row r="592" ht="15.75" customHeight="1" s="194"/>
    <row r="593" ht="15.75" customHeight="1" s="194"/>
    <row r="594" ht="15.75" customHeight="1" s="194"/>
    <row r="595" ht="15.75" customHeight="1" s="194"/>
    <row r="596" ht="15.75" customHeight="1" s="194"/>
    <row r="597" ht="15.75" customHeight="1" s="194"/>
    <row r="598" ht="15.75" customHeight="1" s="194"/>
    <row r="599" ht="15.75" customHeight="1" s="194"/>
    <row r="600" ht="15.75" customHeight="1" s="194"/>
    <row r="601" ht="15.75" customHeight="1" s="194"/>
    <row r="602" ht="15.75" customHeight="1" s="194"/>
    <row r="603" ht="15.75" customHeight="1" s="194"/>
    <row r="604" ht="15.75" customHeight="1" s="194"/>
    <row r="605" ht="15.75" customHeight="1" s="194"/>
    <row r="606" ht="15.75" customHeight="1" s="194"/>
    <row r="607" ht="15.75" customHeight="1" s="194"/>
    <row r="608" ht="15.75" customHeight="1" s="194"/>
    <row r="609" ht="15.75" customHeight="1" s="194"/>
    <row r="610" ht="15.75" customHeight="1" s="194"/>
    <row r="611" ht="15.75" customHeight="1" s="194"/>
    <row r="612" ht="15.75" customHeight="1" s="194"/>
    <row r="613" ht="15.75" customHeight="1" s="194"/>
    <row r="614" ht="15.75" customHeight="1" s="194"/>
    <row r="615" ht="15.75" customHeight="1" s="194"/>
    <row r="616" ht="15.75" customHeight="1" s="194"/>
    <row r="617" ht="15.75" customHeight="1" s="194"/>
    <row r="618" ht="15.75" customHeight="1" s="194"/>
    <row r="619" ht="15.75" customHeight="1" s="194"/>
    <row r="620" ht="15.75" customHeight="1" s="194"/>
    <row r="621" ht="15.75" customHeight="1" s="194"/>
    <row r="622" ht="15.75" customHeight="1" s="194"/>
    <row r="623" ht="15.75" customHeight="1" s="194"/>
    <row r="624" ht="15.75" customHeight="1" s="194"/>
    <row r="625" ht="15.75" customHeight="1" s="194"/>
    <row r="626" ht="15.75" customHeight="1" s="194"/>
    <row r="627" ht="15.75" customHeight="1" s="194"/>
    <row r="628" ht="15.75" customHeight="1" s="194"/>
    <row r="629" ht="15.75" customHeight="1" s="194"/>
    <row r="630" ht="15.75" customHeight="1" s="194"/>
    <row r="631" ht="15.75" customHeight="1" s="194"/>
    <row r="632" ht="15.75" customHeight="1" s="194"/>
    <row r="633" ht="15.75" customHeight="1" s="194"/>
    <row r="634" ht="15.75" customHeight="1" s="194"/>
    <row r="635" ht="15.75" customHeight="1" s="194"/>
    <row r="636" ht="15.75" customHeight="1" s="194"/>
    <row r="637" ht="15.75" customHeight="1" s="194"/>
    <row r="638" ht="15.75" customHeight="1" s="194"/>
    <row r="639" ht="15.75" customHeight="1" s="194"/>
    <row r="640" ht="15.75" customHeight="1" s="194"/>
    <row r="641" ht="15.75" customHeight="1" s="194"/>
    <row r="642" ht="15.75" customHeight="1" s="194"/>
    <row r="643" ht="15.75" customHeight="1" s="194"/>
    <row r="644" ht="15.75" customHeight="1" s="194"/>
    <row r="645" ht="15.75" customHeight="1" s="194"/>
    <row r="646" ht="15.75" customHeight="1" s="194"/>
    <row r="647" ht="15.75" customHeight="1" s="194"/>
    <row r="648" ht="15.75" customHeight="1" s="194"/>
    <row r="649" ht="15.75" customHeight="1" s="194"/>
    <row r="650" ht="15.75" customHeight="1" s="194"/>
    <row r="651" ht="15.75" customHeight="1" s="194"/>
    <row r="652" ht="15.75" customHeight="1" s="194"/>
    <row r="653" ht="15.75" customHeight="1" s="194"/>
    <row r="654" ht="15.75" customHeight="1" s="194"/>
    <row r="655" ht="15.75" customHeight="1" s="194"/>
    <row r="656" ht="15.75" customHeight="1" s="194"/>
    <row r="657" ht="15.75" customHeight="1" s="194"/>
    <row r="658" ht="15.75" customHeight="1" s="194"/>
    <row r="659" ht="15.75" customHeight="1" s="194"/>
    <row r="660" ht="15.75" customHeight="1" s="194"/>
    <row r="661" ht="15.75" customHeight="1" s="194"/>
    <row r="662" ht="15.75" customHeight="1" s="194"/>
    <row r="663" ht="15.75" customHeight="1" s="194"/>
    <row r="664" ht="15.75" customHeight="1" s="194"/>
    <row r="665" ht="15.75" customHeight="1" s="194"/>
    <row r="666" ht="15.75" customHeight="1" s="194"/>
    <row r="667" ht="15.75" customHeight="1" s="194"/>
    <row r="668" ht="15.75" customHeight="1" s="194"/>
    <row r="669" ht="15.75" customHeight="1" s="194"/>
    <row r="670" ht="15.75" customHeight="1" s="194"/>
    <row r="671" ht="15.75" customHeight="1" s="194"/>
    <row r="672" ht="15.75" customHeight="1" s="194"/>
    <row r="673" ht="15.75" customHeight="1" s="194"/>
    <row r="674" ht="15.75" customHeight="1" s="194"/>
    <row r="675" ht="15.75" customHeight="1" s="194"/>
    <row r="676" ht="15.75" customHeight="1" s="194"/>
    <row r="677" ht="15.75" customHeight="1" s="194"/>
    <row r="678" ht="15.75" customHeight="1" s="194"/>
    <row r="679" ht="15.75" customHeight="1" s="194"/>
    <row r="680" ht="15.75" customHeight="1" s="194"/>
    <row r="681" ht="15.75" customHeight="1" s="194"/>
    <row r="682" ht="15.75" customHeight="1" s="194"/>
    <row r="683" ht="15.75" customHeight="1" s="194"/>
    <row r="684" ht="15.75" customHeight="1" s="194"/>
    <row r="685" ht="15.75" customHeight="1" s="194"/>
    <row r="686" ht="15.75" customHeight="1" s="194"/>
    <row r="687" ht="15.75" customHeight="1" s="194"/>
    <row r="688" ht="15.75" customHeight="1" s="194"/>
    <row r="689" ht="15.75" customHeight="1" s="194"/>
    <row r="690" ht="15.75" customHeight="1" s="194"/>
    <row r="691" ht="15.75" customHeight="1" s="194"/>
    <row r="692" ht="15.75" customHeight="1" s="194"/>
    <row r="693" ht="15.75" customHeight="1" s="194"/>
    <row r="694" ht="15.75" customHeight="1" s="194"/>
    <row r="695" ht="15.75" customHeight="1" s="194"/>
    <row r="696" ht="15.75" customHeight="1" s="194"/>
    <row r="697" ht="15.75" customHeight="1" s="194"/>
    <row r="698" ht="15.75" customHeight="1" s="194"/>
    <row r="699" ht="15.75" customHeight="1" s="194"/>
    <row r="700" ht="15.75" customHeight="1" s="194"/>
    <row r="701" ht="15.75" customHeight="1" s="194"/>
    <row r="702" ht="15.75" customHeight="1" s="194"/>
    <row r="703" ht="15.75" customHeight="1" s="194"/>
    <row r="704" ht="15.75" customHeight="1" s="194"/>
    <row r="705" ht="15.75" customHeight="1" s="194"/>
    <row r="706" ht="15.75" customHeight="1" s="194"/>
    <row r="707" ht="15.75" customHeight="1" s="194"/>
    <row r="708" ht="15.75" customHeight="1" s="194"/>
    <row r="709" ht="15.75" customHeight="1" s="194"/>
    <row r="710" ht="15.75" customHeight="1" s="194"/>
    <row r="711" ht="15.75" customHeight="1" s="194"/>
    <row r="712" ht="15.75" customHeight="1" s="194"/>
    <row r="713" ht="15.75" customHeight="1" s="194"/>
    <row r="714" ht="15.75" customHeight="1" s="194"/>
    <row r="715" ht="15.75" customHeight="1" s="194"/>
    <row r="716" ht="15.75" customHeight="1" s="194"/>
    <row r="717" ht="15.75" customHeight="1" s="194"/>
    <row r="718" ht="15.75" customHeight="1" s="194"/>
    <row r="719" ht="15.75" customHeight="1" s="194"/>
    <row r="720" ht="15.75" customHeight="1" s="194"/>
    <row r="721" ht="15.75" customHeight="1" s="194"/>
    <row r="722" ht="15.75" customHeight="1" s="194"/>
    <row r="723" ht="15.75" customHeight="1" s="194"/>
    <row r="724" ht="15.75" customHeight="1" s="194"/>
    <row r="725" ht="15.75" customHeight="1" s="194"/>
    <row r="726" ht="15.75" customHeight="1" s="194"/>
    <row r="727" ht="15.75" customHeight="1" s="194"/>
    <row r="728" ht="15.75" customHeight="1" s="194"/>
    <row r="729" ht="15.75" customHeight="1" s="194"/>
    <row r="730" ht="15.75" customHeight="1" s="194"/>
    <row r="731" ht="15.75" customHeight="1" s="194"/>
    <row r="732" ht="15.75" customHeight="1" s="194"/>
    <row r="733" ht="15.75" customHeight="1" s="194"/>
    <row r="734" ht="15.75" customHeight="1" s="194"/>
    <row r="735" ht="15.75" customHeight="1" s="194"/>
    <row r="736" ht="15.75" customHeight="1" s="194"/>
    <row r="737" ht="15.75" customHeight="1" s="194"/>
    <row r="738" ht="15.75" customHeight="1" s="194"/>
    <row r="739" ht="15.75" customHeight="1" s="194"/>
    <row r="740" ht="15.75" customHeight="1" s="194"/>
    <row r="741" ht="15.75" customHeight="1" s="194"/>
    <row r="742" ht="15.75" customHeight="1" s="194"/>
    <row r="743" ht="15.75" customHeight="1" s="194"/>
    <row r="744" ht="15.75" customHeight="1" s="194"/>
    <row r="745" ht="15.75" customHeight="1" s="194"/>
    <row r="746" ht="15.75" customHeight="1" s="194"/>
    <row r="747" ht="15.75" customHeight="1" s="194"/>
    <row r="748" ht="15.75" customHeight="1" s="194"/>
    <row r="749" ht="15.75" customHeight="1" s="194"/>
    <row r="750" ht="15.75" customHeight="1" s="194"/>
    <row r="751" ht="15.75" customHeight="1" s="194"/>
    <row r="752" ht="15.75" customHeight="1" s="194"/>
    <row r="753" ht="15.75" customHeight="1" s="194"/>
    <row r="754" ht="15.75" customHeight="1" s="194"/>
    <row r="755" ht="15.75" customHeight="1" s="194"/>
    <row r="756" ht="15.75" customHeight="1" s="194"/>
    <row r="757" ht="15.75" customHeight="1" s="194"/>
    <row r="758" ht="15.75" customHeight="1" s="194"/>
    <row r="759" ht="15.75" customHeight="1" s="194"/>
    <row r="760" ht="15.75" customHeight="1" s="194"/>
    <row r="761" ht="15.75" customHeight="1" s="194"/>
    <row r="762" ht="15.75" customHeight="1" s="194"/>
    <row r="763" ht="15.75" customHeight="1" s="194"/>
    <row r="764" ht="15.75" customHeight="1" s="194"/>
    <row r="765" ht="15.75" customHeight="1" s="194"/>
    <row r="766" ht="15.75" customHeight="1" s="194"/>
    <row r="767" ht="15.75" customHeight="1" s="194"/>
    <row r="768" ht="15.75" customHeight="1" s="194"/>
    <row r="769" ht="15.75" customHeight="1" s="194"/>
    <row r="770" ht="15.75" customHeight="1" s="194"/>
    <row r="771" ht="15.75" customHeight="1" s="194"/>
    <row r="772" ht="15.75" customHeight="1" s="194"/>
    <row r="773" ht="15.75" customHeight="1" s="194"/>
    <row r="774" ht="15.75" customHeight="1" s="194"/>
    <row r="775" ht="15.75" customHeight="1" s="194"/>
    <row r="776" ht="15.75" customHeight="1" s="194"/>
    <row r="777" ht="15.75" customHeight="1" s="194"/>
    <row r="778" ht="15.75" customHeight="1" s="194"/>
    <row r="779" ht="15.75" customHeight="1" s="194"/>
    <row r="780" ht="15.75" customHeight="1" s="194"/>
    <row r="781" ht="15.75" customHeight="1" s="194"/>
    <row r="782" ht="15.75" customHeight="1" s="194"/>
    <row r="783" ht="15.75" customHeight="1" s="194"/>
    <row r="784" ht="15.75" customHeight="1" s="194"/>
    <row r="785" ht="15.75" customHeight="1" s="194"/>
    <row r="786" ht="15.75" customHeight="1" s="194"/>
    <row r="787" ht="15.75" customHeight="1" s="194"/>
    <row r="788" ht="15.75" customHeight="1" s="194"/>
    <row r="789" ht="15.75" customHeight="1" s="194"/>
    <row r="790" ht="15.75" customHeight="1" s="194"/>
    <row r="791" ht="15.75" customHeight="1" s="194"/>
    <row r="792" ht="15.75" customHeight="1" s="194"/>
    <row r="793" ht="15.75" customHeight="1" s="194"/>
    <row r="794" ht="15.75" customHeight="1" s="194"/>
    <row r="795" ht="15.75" customHeight="1" s="194"/>
    <row r="796" ht="15.75" customHeight="1" s="194"/>
    <row r="797" ht="15.75" customHeight="1" s="194"/>
    <row r="798" ht="15.75" customHeight="1" s="194"/>
    <row r="799" ht="15.75" customHeight="1" s="194"/>
    <row r="800" ht="15.75" customHeight="1" s="194"/>
    <row r="801" ht="15.75" customHeight="1" s="194"/>
    <row r="802" ht="15.75" customHeight="1" s="194"/>
    <row r="803" ht="15.75" customHeight="1" s="194"/>
    <row r="804" ht="15.75" customHeight="1" s="194"/>
    <row r="805" ht="15.75" customHeight="1" s="194"/>
    <row r="806" ht="15.75" customHeight="1" s="194"/>
    <row r="807" ht="15.75" customHeight="1" s="194"/>
    <row r="808" ht="15.75" customHeight="1" s="194"/>
    <row r="809" ht="15.75" customHeight="1" s="194"/>
    <row r="810" ht="15.75" customHeight="1" s="194"/>
    <row r="811" ht="15.75" customHeight="1" s="194"/>
    <row r="812" ht="15.75" customHeight="1" s="194"/>
    <row r="813" ht="15.75" customHeight="1" s="194"/>
    <row r="814" ht="15.75" customHeight="1" s="194"/>
    <row r="815" ht="15.75" customHeight="1" s="194"/>
    <row r="816" ht="15.75" customHeight="1" s="194"/>
    <row r="817" ht="15.75" customHeight="1" s="194"/>
    <row r="818" ht="15.75" customHeight="1" s="194"/>
    <row r="819" ht="15.75" customHeight="1" s="194"/>
    <row r="820" ht="15.75" customHeight="1" s="194"/>
    <row r="821" ht="15.75" customHeight="1" s="194"/>
    <row r="822" ht="15.75" customHeight="1" s="194"/>
    <row r="823" ht="15.75" customHeight="1" s="194"/>
    <row r="824" ht="15.75" customHeight="1" s="194"/>
    <row r="825" ht="15.75" customHeight="1" s="194"/>
    <row r="826" ht="15.75" customHeight="1" s="194"/>
    <row r="827" ht="15.75" customHeight="1" s="194"/>
    <row r="828" ht="15.75" customHeight="1" s="194"/>
    <row r="829" ht="15.75" customHeight="1" s="194"/>
    <row r="830" ht="15.75" customHeight="1" s="194"/>
    <row r="831" ht="15.75" customHeight="1" s="194"/>
    <row r="832" ht="15.75" customHeight="1" s="194"/>
    <row r="833" ht="15.75" customHeight="1" s="194"/>
    <row r="834" ht="15.75" customHeight="1" s="194"/>
    <row r="835" ht="15.75" customHeight="1" s="194"/>
    <row r="836" ht="15.75" customHeight="1" s="194"/>
    <row r="837" ht="15.75" customHeight="1" s="194"/>
    <row r="838" ht="15.75" customHeight="1" s="194"/>
    <row r="839" ht="15.75" customHeight="1" s="194"/>
    <row r="840" ht="15.75" customHeight="1" s="194"/>
    <row r="841" ht="15.75" customHeight="1" s="194"/>
    <row r="842" ht="15.75" customHeight="1" s="194"/>
    <row r="843" ht="15.75" customHeight="1" s="194"/>
    <row r="844" ht="15.75" customHeight="1" s="194"/>
    <row r="845" ht="15.75" customHeight="1" s="194"/>
    <row r="846" ht="15.75" customHeight="1" s="194"/>
    <row r="847" ht="15.75" customHeight="1" s="194"/>
    <row r="848" ht="15.75" customHeight="1" s="194"/>
    <row r="849" ht="15.75" customHeight="1" s="194"/>
    <row r="850" ht="15.75" customHeight="1" s="194"/>
    <row r="851" ht="15.75" customHeight="1" s="194"/>
    <row r="852" ht="15.75" customHeight="1" s="194"/>
    <row r="853" ht="15.75" customHeight="1" s="194"/>
    <row r="854" ht="15.75" customHeight="1" s="194"/>
    <row r="855" ht="15.75" customHeight="1" s="194"/>
    <row r="856" ht="15.75" customHeight="1" s="194"/>
    <row r="857" ht="15.75" customHeight="1" s="194"/>
    <row r="858" ht="15.75" customHeight="1" s="194"/>
    <row r="859" ht="15.75" customHeight="1" s="194"/>
    <row r="860" ht="15.75" customHeight="1" s="194"/>
    <row r="861" ht="15.75" customHeight="1" s="194"/>
    <row r="862" ht="15.75" customHeight="1" s="194"/>
    <row r="863" ht="15.75" customHeight="1" s="194"/>
    <row r="864" ht="15.75" customHeight="1" s="194"/>
    <row r="865" ht="15.75" customHeight="1" s="194"/>
    <row r="866" ht="15.75" customHeight="1" s="194"/>
    <row r="867" ht="15.75" customHeight="1" s="194"/>
    <row r="868" ht="15.75" customHeight="1" s="194"/>
    <row r="869" ht="15.75" customHeight="1" s="194"/>
    <row r="870" ht="15.75" customHeight="1" s="194"/>
    <row r="871" ht="15.75" customHeight="1" s="194"/>
    <row r="872" ht="15.75" customHeight="1" s="194"/>
    <row r="873" ht="15.75" customHeight="1" s="194"/>
    <row r="874" ht="15.75" customHeight="1" s="194"/>
    <row r="875" ht="15.75" customHeight="1" s="194"/>
    <row r="876" ht="15.75" customHeight="1" s="194"/>
    <row r="877" ht="15.75" customHeight="1" s="194"/>
    <row r="878" ht="15.75" customHeight="1" s="194"/>
    <row r="879" ht="15.75" customHeight="1" s="194"/>
    <row r="880" ht="15.75" customHeight="1" s="194"/>
    <row r="881" ht="15.75" customHeight="1" s="194"/>
    <row r="882" ht="15.75" customHeight="1" s="194"/>
    <row r="883" ht="15.75" customHeight="1" s="194"/>
    <row r="884" ht="15.75" customHeight="1" s="194"/>
    <row r="885" ht="15.75" customHeight="1" s="194"/>
    <row r="886" ht="15.75" customHeight="1" s="194"/>
    <row r="887" ht="15.75" customHeight="1" s="194"/>
    <row r="888" ht="15.75" customHeight="1" s="194"/>
    <row r="889" ht="15.75" customHeight="1" s="194"/>
    <row r="890" ht="15.75" customHeight="1" s="194"/>
    <row r="891" ht="15.75" customHeight="1" s="194"/>
    <row r="892" ht="15.75" customHeight="1" s="194"/>
    <row r="893" ht="15.75" customHeight="1" s="194"/>
    <row r="894" ht="15.75" customHeight="1" s="194"/>
    <row r="895" ht="15.75" customHeight="1" s="194"/>
    <row r="896" ht="15.75" customHeight="1" s="194"/>
    <row r="897" ht="15.75" customHeight="1" s="194"/>
    <row r="898" ht="15.75" customHeight="1" s="194"/>
    <row r="899" ht="15.75" customHeight="1" s="194"/>
    <row r="900" ht="15.75" customHeight="1" s="194"/>
    <row r="901" ht="15.75" customHeight="1" s="194"/>
    <row r="902" ht="15.75" customHeight="1" s="194"/>
    <row r="903" ht="15.75" customHeight="1" s="194"/>
    <row r="904" ht="15.75" customHeight="1" s="194"/>
    <row r="905" ht="15.75" customHeight="1" s="194"/>
    <row r="906" ht="15.75" customHeight="1" s="194"/>
    <row r="907" ht="15.75" customHeight="1" s="194"/>
    <row r="908" ht="15.75" customHeight="1" s="194"/>
    <row r="909" ht="15.75" customHeight="1" s="194"/>
    <row r="910" ht="15.75" customHeight="1" s="194"/>
    <row r="911" ht="15.75" customHeight="1" s="194"/>
    <row r="912" ht="15.75" customHeight="1" s="194"/>
    <row r="913" ht="15.75" customHeight="1" s="194"/>
    <row r="914" ht="15.75" customHeight="1" s="194"/>
    <row r="915" ht="15.75" customHeight="1" s="194"/>
    <row r="916" ht="15.75" customHeight="1" s="194"/>
    <row r="917" ht="15.75" customHeight="1" s="194"/>
    <row r="918" ht="15.75" customHeight="1" s="194"/>
    <row r="919" ht="15.75" customHeight="1" s="194"/>
    <row r="920" ht="15.75" customHeight="1" s="194"/>
    <row r="921" ht="15.75" customHeight="1" s="194"/>
    <row r="922" ht="15.75" customHeight="1" s="194"/>
    <row r="923" ht="15.75" customHeight="1" s="194"/>
    <row r="924" ht="15.75" customHeight="1" s="194"/>
    <row r="925" ht="15.75" customHeight="1" s="194"/>
    <row r="926" ht="15.75" customHeight="1" s="194"/>
    <row r="927" ht="15.75" customHeight="1" s="194"/>
    <row r="928" ht="15.75" customHeight="1" s="194"/>
    <row r="929" ht="15.75" customHeight="1" s="194"/>
    <row r="930" ht="15.75" customHeight="1" s="194"/>
    <row r="931" ht="15.75" customHeight="1" s="194"/>
    <row r="932" ht="15.75" customHeight="1" s="194"/>
    <row r="933" ht="15.75" customHeight="1" s="194"/>
    <row r="934" ht="15.75" customHeight="1" s="194"/>
    <row r="935" ht="15.75" customHeight="1" s="194"/>
    <row r="936" ht="15.75" customHeight="1" s="194"/>
    <row r="937" ht="15.75" customHeight="1" s="194"/>
    <row r="938" ht="15.75" customHeight="1" s="194"/>
    <row r="939" ht="15.75" customHeight="1" s="194"/>
    <row r="940" ht="15.75" customHeight="1" s="194"/>
    <row r="941" ht="15.75" customHeight="1" s="194"/>
    <row r="942" ht="15.75" customHeight="1" s="194"/>
    <row r="943" ht="15.75" customHeight="1" s="194"/>
    <row r="944" ht="15.75" customHeight="1" s="194"/>
    <row r="945" ht="15.75" customHeight="1" s="194"/>
    <row r="946" ht="15.75" customHeight="1" s="194"/>
    <row r="947" ht="15.75" customHeight="1" s="194"/>
    <row r="948" ht="15.75" customHeight="1" s="194"/>
    <row r="949" ht="15.75" customHeight="1" s="194"/>
    <row r="950" ht="15.75" customHeight="1" s="194"/>
    <row r="951" ht="15.75" customHeight="1" s="194"/>
    <row r="952" ht="15.75" customHeight="1" s="194"/>
    <row r="953" ht="15.75" customHeight="1" s="194"/>
    <row r="954" ht="15.75" customHeight="1" s="194"/>
    <row r="955" ht="15.75" customHeight="1" s="194"/>
    <row r="956" ht="15.75" customHeight="1" s="194"/>
    <row r="957" ht="15.75" customHeight="1" s="194"/>
    <row r="958" ht="15.75" customHeight="1" s="194"/>
    <row r="959" ht="15.75" customHeight="1" s="194"/>
    <row r="960" ht="15.75" customHeight="1" s="194"/>
    <row r="961" ht="15.75" customHeight="1" s="194"/>
    <row r="962" ht="15.75" customHeight="1" s="194"/>
    <row r="963" ht="15.75" customHeight="1" s="194"/>
    <row r="964" ht="15.75" customHeight="1" s="194"/>
    <row r="965" ht="15.75" customHeight="1" s="194"/>
    <row r="966" ht="15.75" customHeight="1" s="194"/>
    <row r="967" ht="15.75" customHeight="1" s="194"/>
    <row r="968" ht="15.75" customHeight="1" s="194"/>
    <row r="969" ht="15.75" customHeight="1" s="194"/>
    <row r="970" ht="15.75" customHeight="1" s="194"/>
    <row r="971" ht="15.75" customHeight="1" s="194"/>
    <row r="972" ht="15.75" customHeight="1" s="194"/>
    <row r="973" ht="15.75" customHeight="1" s="194"/>
    <row r="974" ht="15.75" customHeight="1" s="194"/>
    <row r="975" ht="15.75" customHeight="1" s="194"/>
    <row r="976" ht="15.75" customHeight="1" s="194"/>
    <row r="977" ht="15.75" customHeight="1" s="194"/>
    <row r="978" ht="15.75" customHeight="1" s="194"/>
    <row r="979" ht="15.75" customHeight="1" s="194"/>
    <row r="980" ht="15.75" customHeight="1" s="194"/>
    <row r="981" ht="15.75" customHeight="1" s="194"/>
    <row r="982" ht="15.75" customHeight="1" s="194"/>
    <row r="983" ht="15.75" customHeight="1" s="194"/>
    <row r="984" ht="15.75" customHeight="1" s="194"/>
    <row r="985" ht="15.75" customHeight="1" s="194"/>
    <row r="986" ht="15.75" customHeight="1" s="194"/>
    <row r="987" ht="15.75" customHeight="1" s="194"/>
    <row r="988" ht="15.75" customHeight="1" s="194"/>
    <row r="989" ht="15.75" customHeight="1" s="194"/>
    <row r="990" ht="15.75" customHeight="1" s="194"/>
    <row r="991" ht="15.75" customHeight="1" s="194"/>
    <row r="992" ht="15.75" customHeight="1" s="194"/>
    <row r="993" ht="15.75" customHeight="1" s="194"/>
    <row r="994" ht="15.75" customHeight="1" s="194"/>
    <row r="995" ht="15.75" customHeight="1" s="194"/>
    <row r="996" ht="15.75" customHeight="1" s="194"/>
    <row r="997" ht="15.75" customHeight="1" s="194"/>
    <row r="998" ht="15.75" customHeight="1" s="194"/>
    <row r="999" ht="15.75" customHeight="1" s="194"/>
    <row r="1000" ht="15.75" customHeight="1" s="194"/>
  </sheetData>
  <mergeCells count="3">
    <mergeCell ref="C4:C5"/>
    <mergeCell ref="D4:D5"/>
    <mergeCell ref="B4:B5"/>
  </mergeCells>
  <pageMargins left="0.75" right="0.75" top="1" bottom="1" header="0" footer="0"/>
  <pageSetup orientation="landscape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BY135"/>
  <sheetViews>
    <sheetView showGridLines="0" workbookViewId="0">
      <pane xSplit="11" ySplit="5" topLeftCell="L6" activePane="bottomRight" state="frozen"/>
      <selection pane="topRight" activeCell="L1" sqref="L1"/>
      <selection pane="bottomLeft" activeCell="A6" sqref="A6"/>
      <selection pane="bottomRight" activeCell="L6" sqref="L6"/>
    </sheetView>
  </sheetViews>
  <sheetFormatPr baseColWidth="8" defaultColWidth="14.43" defaultRowHeight="15" customHeight="1" outlineLevelRow="1"/>
  <cols>
    <col width="5" customWidth="1" style="194" min="1" max="1"/>
    <col width="44" customWidth="1" style="194" min="2" max="2"/>
    <col width="11" customWidth="1" style="194" min="3" max="3"/>
    <col width="46" customWidth="1" style="194" min="4" max="4"/>
    <col width="15" customWidth="1" style="194" min="5" max="9"/>
    <col width="16" customWidth="1" style="194" min="10" max="10"/>
    <col width="3" customWidth="1" style="194" min="11" max="11"/>
    <col width="13" customWidth="1" style="194" min="12" max="71"/>
    <col hidden="1" width="13" customWidth="1" style="194" min="72" max="77"/>
  </cols>
  <sheetData>
    <row r="1">
      <c r="B1" s="1" t="inlineStr">
        <is>
          <t>Доходы: паушальные, роялти, мерч</t>
        </is>
      </c>
    </row>
    <row r="2">
      <c r="B2" s="2" t="inlineStr">
        <is>
          <t>Расшифровка к «Результату». Роялти новых школ разложено по возрасту школы: чем старше школа, тем больше в ней детей.</t>
        </is>
      </c>
    </row>
    <row r="4" ht="25.5" customHeight="1" s="194">
      <c r="B4" s="4" t="inlineStr">
        <is>
          <t>Показатель</t>
        </is>
      </c>
      <c r="C4" s="4" t="inlineStr">
        <is>
          <t>Ед.</t>
        </is>
      </c>
      <c r="D4" s="4" t="inlineStr">
        <is>
          <t>Как считается</t>
        </is>
      </c>
      <c r="E4" s="4" t="inlineStr">
        <is>
          <t>Год 1</t>
        </is>
      </c>
      <c r="F4" s="4" t="inlineStr">
        <is>
          <t>Год 2</t>
        </is>
      </c>
      <c r="G4" s="4" t="inlineStr">
        <is>
          <t>Год 3</t>
        </is>
      </c>
      <c r="H4" s="4" t="inlineStr">
        <is>
          <t>Год 4</t>
        </is>
      </c>
      <c r="I4" s="4" t="inlineStr">
        <is>
          <t>Год 5</t>
        </is>
      </c>
      <c r="J4" s="4" t="inlineStr">
        <is>
          <t>Итого 5 лет</t>
        </is>
      </c>
      <c r="K4" s="4" t="n"/>
      <c r="L4" s="4" t="inlineStr">
        <is>
          <t>М1</t>
        </is>
      </c>
      <c r="M4" s="4" t="inlineStr">
        <is>
          <t>М2</t>
        </is>
      </c>
      <c r="N4" s="4" t="inlineStr">
        <is>
          <t>М3</t>
        </is>
      </c>
      <c r="O4" s="4" t="inlineStr">
        <is>
          <t>М4</t>
        </is>
      </c>
      <c r="P4" s="4" t="inlineStr">
        <is>
          <t>М5</t>
        </is>
      </c>
      <c r="Q4" s="4" t="inlineStr">
        <is>
          <t>М6</t>
        </is>
      </c>
      <c r="R4" s="4" t="inlineStr">
        <is>
          <t>М7</t>
        </is>
      </c>
      <c r="S4" s="4" t="inlineStr">
        <is>
          <t>М8</t>
        </is>
      </c>
      <c r="T4" s="4" t="inlineStr">
        <is>
          <t>М9</t>
        </is>
      </c>
      <c r="U4" s="4" t="inlineStr">
        <is>
          <t>М10</t>
        </is>
      </c>
      <c r="V4" s="4" t="inlineStr">
        <is>
          <t>М11</t>
        </is>
      </c>
      <c r="W4" s="4" t="inlineStr">
        <is>
          <t>М12</t>
        </is>
      </c>
      <c r="X4" s="4" t="inlineStr">
        <is>
          <t>М13</t>
        </is>
      </c>
      <c r="Y4" s="4" t="inlineStr">
        <is>
          <t>М14</t>
        </is>
      </c>
      <c r="Z4" s="4" t="inlineStr">
        <is>
          <t>М15</t>
        </is>
      </c>
      <c r="AA4" s="4" t="inlineStr">
        <is>
          <t>М16</t>
        </is>
      </c>
      <c r="AB4" s="4" t="inlineStr">
        <is>
          <t>М17</t>
        </is>
      </c>
      <c r="AC4" s="4" t="inlineStr">
        <is>
          <t>М18</t>
        </is>
      </c>
      <c r="AD4" s="4" t="inlineStr">
        <is>
          <t>М19</t>
        </is>
      </c>
      <c r="AE4" s="4" t="inlineStr">
        <is>
          <t>М20</t>
        </is>
      </c>
      <c r="AF4" s="4" t="inlineStr">
        <is>
          <t>М21</t>
        </is>
      </c>
      <c r="AG4" s="4" t="inlineStr">
        <is>
          <t>М22</t>
        </is>
      </c>
      <c r="AH4" s="4" t="inlineStr">
        <is>
          <t>М23</t>
        </is>
      </c>
      <c r="AI4" s="4" t="inlineStr">
        <is>
          <t>М24</t>
        </is>
      </c>
      <c r="AJ4" s="4" t="inlineStr">
        <is>
          <t>М25</t>
        </is>
      </c>
      <c r="AK4" s="4" t="inlineStr">
        <is>
          <t>М26</t>
        </is>
      </c>
      <c r="AL4" s="4" t="inlineStr">
        <is>
          <t>М27</t>
        </is>
      </c>
      <c r="AM4" s="4" t="inlineStr">
        <is>
          <t>М28</t>
        </is>
      </c>
      <c r="AN4" s="4" t="inlineStr">
        <is>
          <t>М29</t>
        </is>
      </c>
      <c r="AO4" s="4" t="inlineStr">
        <is>
          <t>М30</t>
        </is>
      </c>
      <c r="AP4" s="4" t="inlineStr">
        <is>
          <t>М31</t>
        </is>
      </c>
      <c r="AQ4" s="4" t="inlineStr">
        <is>
          <t>М32</t>
        </is>
      </c>
      <c r="AR4" s="4" t="inlineStr">
        <is>
          <t>М33</t>
        </is>
      </c>
      <c r="AS4" s="4" t="inlineStr">
        <is>
          <t>М34</t>
        </is>
      </c>
      <c r="AT4" s="4" t="inlineStr">
        <is>
          <t>М35</t>
        </is>
      </c>
      <c r="AU4" s="4" t="inlineStr">
        <is>
          <t>М36</t>
        </is>
      </c>
      <c r="AV4" s="4" t="inlineStr">
        <is>
          <t>М37</t>
        </is>
      </c>
      <c r="AW4" s="4" t="inlineStr">
        <is>
          <t>М38</t>
        </is>
      </c>
      <c r="AX4" s="4" t="inlineStr">
        <is>
          <t>М39</t>
        </is>
      </c>
      <c r="AY4" s="4" t="inlineStr">
        <is>
          <t>М40</t>
        </is>
      </c>
      <c r="AZ4" s="4" t="inlineStr">
        <is>
          <t>М41</t>
        </is>
      </c>
      <c r="BA4" s="4" t="inlineStr">
        <is>
          <t>М42</t>
        </is>
      </c>
      <c r="BB4" s="4" t="inlineStr">
        <is>
          <t>М43</t>
        </is>
      </c>
      <c r="BC4" s="4" t="inlineStr">
        <is>
          <t>М44</t>
        </is>
      </c>
      <c r="BD4" s="4" t="inlineStr">
        <is>
          <t>М45</t>
        </is>
      </c>
      <c r="BE4" s="4" t="inlineStr">
        <is>
          <t>М46</t>
        </is>
      </c>
      <c r="BF4" s="4" t="inlineStr">
        <is>
          <t>М47</t>
        </is>
      </c>
      <c r="BG4" s="4" t="inlineStr">
        <is>
          <t>М48</t>
        </is>
      </c>
      <c r="BH4" s="4" t="inlineStr">
        <is>
          <t>М49</t>
        </is>
      </c>
      <c r="BI4" s="4" t="inlineStr">
        <is>
          <t>М50</t>
        </is>
      </c>
      <c r="BJ4" s="4" t="inlineStr">
        <is>
          <t>М51</t>
        </is>
      </c>
      <c r="BK4" s="4" t="inlineStr">
        <is>
          <t>М52</t>
        </is>
      </c>
      <c r="BL4" s="4" t="inlineStr">
        <is>
          <t>М53</t>
        </is>
      </c>
      <c r="BM4" s="4" t="inlineStr">
        <is>
          <t>М54</t>
        </is>
      </c>
      <c r="BN4" s="4" t="inlineStr">
        <is>
          <t>М55</t>
        </is>
      </c>
      <c r="BO4" s="4" t="inlineStr">
        <is>
          <t>М56</t>
        </is>
      </c>
      <c r="BP4" s="4" t="inlineStr">
        <is>
          <t>М57</t>
        </is>
      </c>
      <c r="BQ4" s="4" t="inlineStr">
        <is>
          <t>М58</t>
        </is>
      </c>
      <c r="BR4" s="4" t="inlineStr">
        <is>
          <t>М59</t>
        </is>
      </c>
      <c r="BS4" s="4" t="inlineStr">
        <is>
          <t>М60</t>
        </is>
      </c>
      <c r="BT4" s="4" t="inlineStr">
        <is>
          <t>тех. 1</t>
        </is>
      </c>
      <c r="BU4" s="4" t="inlineStr">
        <is>
          <t>тех. 2</t>
        </is>
      </c>
      <c r="BV4" s="4" t="inlineStr">
        <is>
          <t>тех. 3</t>
        </is>
      </c>
      <c r="BW4" s="4" t="inlineStr">
        <is>
          <t>тех. 4</t>
        </is>
      </c>
      <c r="BX4" s="4" t="inlineStr">
        <is>
          <t>тех. 5</t>
        </is>
      </c>
      <c r="BY4" s="4" t="inlineStr">
        <is>
          <t>тех. 6</t>
        </is>
      </c>
    </row>
    <row r="5" ht="15.75" customHeight="1" s="194">
      <c r="E5" s="4">
        <f>TEXT(MONTH(DATE(YEAR(СтартМодели),MONTH(СтартМодели)+0,1)),"00")&amp;"."&amp;YEAR(DATE(YEAR(СтартМодели),MONTH(СтартМодели)+0,1))&amp;" – "&amp;TEXT(MONTH(DATE(YEAR(СтартМодели),MONTH(СтартМодели)+11,1)),"00")&amp;"."&amp;YEAR(DATE(YEAR(СтартМодели),MONTH(СтартМодели)+11,1))</f>
        <v/>
      </c>
      <c r="F5" s="4">
        <f>TEXT(MONTH(DATE(YEAR(СтартМодели),MONTH(СтартМодели)+12,1)),"00")&amp;"."&amp;YEAR(DATE(YEAR(СтартМодели),MONTH(СтартМодели)+12,1))&amp;" – "&amp;TEXT(MONTH(DATE(YEAR(СтартМодели),MONTH(СтартМодели)+23,1)),"00")&amp;"."&amp;YEAR(DATE(YEAR(СтартМодели),MONTH(СтартМодели)+23,1))</f>
        <v/>
      </c>
      <c r="G5" s="4">
        <f>TEXT(MONTH(DATE(YEAR(СтартМодели),MONTH(СтартМодели)+24,1)),"00")&amp;"."&amp;YEAR(DATE(YEAR(СтартМодели),MONTH(СтартМодели)+24,1))&amp;" – "&amp;TEXT(MONTH(DATE(YEAR(СтартМодели),MONTH(СтартМодели)+35,1)),"00")&amp;"."&amp;YEAR(DATE(YEAR(СтартМодели),MONTH(СтартМодели)+35,1))</f>
        <v/>
      </c>
      <c r="H5" s="4">
        <f>TEXT(MONTH(DATE(YEAR(СтартМодели),MONTH(СтартМодели)+36,1)),"00")&amp;"."&amp;YEAR(DATE(YEAR(СтартМодели),MONTH(СтартМодели)+36,1))&amp;" – "&amp;TEXT(MONTH(DATE(YEAR(СтартМодели),MONTH(СтартМодели)+47,1)),"00")&amp;"."&amp;YEAR(DATE(YEAR(СтартМодели),MONTH(СтартМодели)+47,1))</f>
        <v/>
      </c>
      <c r="I5" s="4">
        <f>TEXT(MONTH(DATE(YEAR(СтартМодели),MONTH(СтартМодели)+48,1)),"00")&amp;"."&amp;YEAR(DATE(YEAR(СтартМодели),MONTH(СтартМодели)+48,1))&amp;" – "&amp;TEXT(MONTH(DATE(YEAR(СтартМодели),MONTH(СтартМодели)+59,1)),"00")&amp;"."&amp;YEAR(DATE(YEAR(СтартМодели),MONTH(СтартМодели)+59,1))</f>
        <v/>
      </c>
      <c r="J5" s="4">
        <f>TEXT(MONTH(DATE(YEAR(СтартМодели),MONTH(СтартМодели)+0,1)),"00")&amp;"."&amp;YEAR(DATE(YEAR(СтартМодели),MONTH(СтартМодели)+0,1))&amp;" – "&amp;TEXT(MONTH(DATE(YEAR(СтартМодели),MONTH(СтартМодели)+59,1)),"00")&amp;"."&amp;YEAR(DATE(YEAR(СтартМодели),MONTH(СтартМодели)+59,1))</f>
        <v/>
      </c>
      <c r="K5" s="4" t="n"/>
      <c r="L5" s="32">
        <f>DATE(YEAR(СтартМодели),MONTH(СтартМодели)+1-1,1)</f>
        <v/>
      </c>
      <c r="M5" s="32">
        <f>DATE(YEAR(СтартМодели),MONTH(СтартМодели)+2-1,1)</f>
        <v/>
      </c>
      <c r="N5" s="32">
        <f>DATE(YEAR(СтартМодели),MONTH(СтартМодели)+3-1,1)</f>
        <v/>
      </c>
      <c r="O5" s="32">
        <f>DATE(YEAR(СтартМодели),MONTH(СтартМодели)+4-1,1)</f>
        <v/>
      </c>
      <c r="P5" s="32">
        <f>DATE(YEAR(СтартМодели),MONTH(СтартМодели)+5-1,1)</f>
        <v/>
      </c>
      <c r="Q5" s="32">
        <f>DATE(YEAR(СтартМодели),MONTH(СтартМодели)+6-1,1)</f>
        <v/>
      </c>
      <c r="R5" s="32">
        <f>DATE(YEAR(СтартМодели),MONTH(СтартМодели)+7-1,1)</f>
        <v/>
      </c>
      <c r="S5" s="32">
        <f>DATE(YEAR(СтартМодели),MONTH(СтартМодели)+8-1,1)</f>
        <v/>
      </c>
      <c r="T5" s="32">
        <f>DATE(YEAR(СтартМодели),MONTH(СтартМодели)+9-1,1)</f>
        <v/>
      </c>
      <c r="U5" s="32">
        <f>DATE(YEAR(СтартМодели),MONTH(СтартМодели)+10-1,1)</f>
        <v/>
      </c>
      <c r="V5" s="32">
        <f>DATE(YEAR(СтартМодели),MONTH(СтартМодели)+11-1,1)</f>
        <v/>
      </c>
      <c r="W5" s="32">
        <f>DATE(YEAR(СтартМодели),MONTH(СтартМодели)+12-1,1)</f>
        <v/>
      </c>
      <c r="X5" s="32">
        <f>DATE(YEAR(СтартМодели),MONTH(СтартМодели)+13-1,1)</f>
        <v/>
      </c>
      <c r="Y5" s="32">
        <f>DATE(YEAR(СтартМодели),MONTH(СтартМодели)+14-1,1)</f>
        <v/>
      </c>
      <c r="Z5" s="32">
        <f>DATE(YEAR(СтартМодели),MONTH(СтартМодели)+15-1,1)</f>
        <v/>
      </c>
      <c r="AA5" s="32">
        <f>DATE(YEAR(СтартМодели),MONTH(СтартМодели)+16-1,1)</f>
        <v/>
      </c>
      <c r="AB5" s="32">
        <f>DATE(YEAR(СтартМодели),MONTH(СтартМодели)+17-1,1)</f>
        <v/>
      </c>
      <c r="AC5" s="32">
        <f>DATE(YEAR(СтартМодели),MONTH(СтартМодели)+18-1,1)</f>
        <v/>
      </c>
      <c r="AD5" s="32">
        <f>DATE(YEAR(СтартМодели),MONTH(СтартМодели)+19-1,1)</f>
        <v/>
      </c>
      <c r="AE5" s="32">
        <f>DATE(YEAR(СтартМодели),MONTH(СтартМодели)+20-1,1)</f>
        <v/>
      </c>
      <c r="AF5" s="32">
        <f>DATE(YEAR(СтартМодели),MONTH(СтартМодели)+21-1,1)</f>
        <v/>
      </c>
      <c r="AG5" s="32">
        <f>DATE(YEAR(СтартМодели),MONTH(СтартМодели)+22-1,1)</f>
        <v/>
      </c>
      <c r="AH5" s="32">
        <f>DATE(YEAR(СтартМодели),MONTH(СтартМодели)+23-1,1)</f>
        <v/>
      </c>
      <c r="AI5" s="32">
        <f>DATE(YEAR(СтартМодели),MONTH(СтартМодели)+24-1,1)</f>
        <v/>
      </c>
      <c r="AJ5" s="32">
        <f>DATE(YEAR(СтартМодели),MONTH(СтартМодели)+25-1,1)</f>
        <v/>
      </c>
      <c r="AK5" s="32">
        <f>DATE(YEAR(СтартМодели),MONTH(СтартМодели)+26-1,1)</f>
        <v/>
      </c>
      <c r="AL5" s="32">
        <f>DATE(YEAR(СтартМодели),MONTH(СтартМодели)+27-1,1)</f>
        <v/>
      </c>
      <c r="AM5" s="32">
        <f>DATE(YEAR(СтартМодели),MONTH(СтартМодели)+28-1,1)</f>
        <v/>
      </c>
      <c r="AN5" s="32">
        <f>DATE(YEAR(СтартМодели),MONTH(СтартМодели)+29-1,1)</f>
        <v/>
      </c>
      <c r="AO5" s="32">
        <f>DATE(YEAR(СтартМодели),MONTH(СтартМодели)+30-1,1)</f>
        <v/>
      </c>
      <c r="AP5" s="32">
        <f>DATE(YEAR(СтартМодели),MONTH(СтартМодели)+31-1,1)</f>
        <v/>
      </c>
      <c r="AQ5" s="32">
        <f>DATE(YEAR(СтартМодели),MONTH(СтартМодели)+32-1,1)</f>
        <v/>
      </c>
      <c r="AR5" s="32">
        <f>DATE(YEAR(СтартМодели),MONTH(СтартМодели)+33-1,1)</f>
        <v/>
      </c>
      <c r="AS5" s="32">
        <f>DATE(YEAR(СтартМодели),MONTH(СтартМодели)+34-1,1)</f>
        <v/>
      </c>
      <c r="AT5" s="32">
        <f>DATE(YEAR(СтартМодели),MONTH(СтартМодели)+35-1,1)</f>
        <v/>
      </c>
      <c r="AU5" s="32">
        <f>DATE(YEAR(СтартМодели),MONTH(СтартМодели)+36-1,1)</f>
        <v/>
      </c>
      <c r="AV5" s="32">
        <f>DATE(YEAR(СтартМодели),MONTH(СтартМодели)+37-1,1)</f>
        <v/>
      </c>
      <c r="AW5" s="32">
        <f>DATE(YEAR(СтартМодели),MONTH(СтартМодели)+38-1,1)</f>
        <v/>
      </c>
      <c r="AX5" s="32">
        <f>DATE(YEAR(СтартМодели),MONTH(СтартМодели)+39-1,1)</f>
        <v/>
      </c>
      <c r="AY5" s="32">
        <f>DATE(YEAR(СтартМодели),MONTH(СтартМодели)+40-1,1)</f>
        <v/>
      </c>
      <c r="AZ5" s="32">
        <f>DATE(YEAR(СтартМодели),MONTH(СтартМодели)+41-1,1)</f>
        <v/>
      </c>
      <c r="BA5" s="32">
        <f>DATE(YEAR(СтартМодели),MONTH(СтартМодели)+42-1,1)</f>
        <v/>
      </c>
      <c r="BB5" s="32">
        <f>DATE(YEAR(СтартМодели),MONTH(СтартМодели)+43-1,1)</f>
        <v/>
      </c>
      <c r="BC5" s="32">
        <f>DATE(YEAR(СтартМодели),MONTH(СтартМодели)+44-1,1)</f>
        <v/>
      </c>
      <c r="BD5" s="32">
        <f>DATE(YEAR(СтартМодели),MONTH(СтартМодели)+45-1,1)</f>
        <v/>
      </c>
      <c r="BE5" s="32">
        <f>DATE(YEAR(СтартМодели),MONTH(СтартМодели)+46-1,1)</f>
        <v/>
      </c>
      <c r="BF5" s="32">
        <f>DATE(YEAR(СтартМодели),MONTH(СтартМодели)+47-1,1)</f>
        <v/>
      </c>
      <c r="BG5" s="32">
        <f>DATE(YEAR(СтартМодели),MONTH(СтартМодели)+48-1,1)</f>
        <v/>
      </c>
      <c r="BH5" s="32">
        <f>DATE(YEAR(СтартМодели),MONTH(СтартМодели)+49-1,1)</f>
        <v/>
      </c>
      <c r="BI5" s="32">
        <f>DATE(YEAR(СтартМодели),MONTH(СтартМодели)+50-1,1)</f>
        <v/>
      </c>
      <c r="BJ5" s="32">
        <f>DATE(YEAR(СтартМодели),MONTH(СтартМодели)+51-1,1)</f>
        <v/>
      </c>
      <c r="BK5" s="32">
        <f>DATE(YEAR(СтартМодели),MONTH(СтартМодели)+52-1,1)</f>
        <v/>
      </c>
      <c r="BL5" s="32">
        <f>DATE(YEAR(СтартМодели),MONTH(СтартМодели)+53-1,1)</f>
        <v/>
      </c>
      <c r="BM5" s="32">
        <f>DATE(YEAR(СтартМодели),MONTH(СтартМодели)+54-1,1)</f>
        <v/>
      </c>
      <c r="BN5" s="32">
        <f>DATE(YEAR(СтартМодели),MONTH(СтартМодели)+55-1,1)</f>
        <v/>
      </c>
      <c r="BO5" s="32">
        <f>DATE(YEAR(СтартМодели),MONTH(СтартМодели)+56-1,1)</f>
        <v/>
      </c>
      <c r="BP5" s="32">
        <f>DATE(YEAR(СтартМодели),MONTH(СтартМодели)+57-1,1)</f>
        <v/>
      </c>
      <c r="BQ5" s="32">
        <f>DATE(YEAR(СтартМодели),MONTH(СтартМодели)+58-1,1)</f>
        <v/>
      </c>
      <c r="BR5" s="32">
        <f>DATE(YEAR(СтартМодели),MONTH(СтартМодели)+59-1,1)</f>
        <v/>
      </c>
      <c r="BS5" s="32">
        <f>DATE(YEAR(СтартМодели),MONTH(СтартМодели)+60-1,1)</f>
        <v/>
      </c>
      <c r="BT5" s="32">
        <f>DATE(YEAR(СтартМодели),MONTH(СтартМодели)+61-1,1)</f>
        <v/>
      </c>
      <c r="BU5" s="32">
        <f>DATE(YEAR(СтартМодели),MONTH(СтартМодели)+62-1,1)</f>
        <v/>
      </c>
      <c r="BV5" s="32">
        <f>DATE(YEAR(СтартМодели),MONTH(СтартМодели)+63-1,1)</f>
        <v/>
      </c>
      <c r="BW5" s="32">
        <f>DATE(YEAR(СтартМодели),MONTH(СтартМодели)+64-1,1)</f>
        <v/>
      </c>
      <c r="BX5" s="32">
        <f>DATE(YEAR(СтартМодели),MONTH(СтартМодели)+65-1,1)</f>
        <v/>
      </c>
      <c r="BY5" s="32">
        <f>DATE(YEAR(СтартМодели),MONTH(СтартМодели)+66-1,1)</f>
        <v/>
      </c>
    </row>
    <row r="6">
      <c r="B6" s="54" t="inlineStr">
        <is>
          <t>Множители периода</t>
        </is>
      </c>
      <c r="C6" s="55" t="n"/>
      <c r="D6" s="55" t="n"/>
      <c r="E6" s="55" t="n"/>
      <c r="F6" s="55" t="n"/>
      <c r="G6" s="55" t="n"/>
      <c r="H6" s="55" t="n"/>
      <c r="I6" s="55" t="n"/>
      <c r="J6" s="55" t="n"/>
      <c r="K6" s="55" t="n"/>
      <c r="L6" s="55" t="n"/>
      <c r="M6" s="55" t="n"/>
      <c r="N6" s="55" t="n"/>
      <c r="O6" s="55" t="n"/>
      <c r="P6" s="55" t="n"/>
      <c r="Q6" s="55" t="n"/>
      <c r="R6" s="55" t="n"/>
      <c r="S6" s="55" t="n"/>
      <c r="T6" s="55" t="n"/>
      <c r="U6" s="55" t="n"/>
      <c r="V6" s="55" t="n"/>
      <c r="W6" s="55" t="n"/>
      <c r="X6" s="55" t="n"/>
      <c r="Y6" s="55" t="n"/>
      <c r="Z6" s="55" t="n"/>
      <c r="AA6" s="55" t="n"/>
      <c r="AB6" s="55" t="n"/>
      <c r="AC6" s="55" t="n"/>
      <c r="AD6" s="55" t="n"/>
      <c r="AE6" s="55" t="n"/>
      <c r="AF6" s="55" t="n"/>
      <c r="AG6" s="55" t="n"/>
      <c r="AH6" s="55" t="n"/>
      <c r="AI6" s="55" t="n"/>
      <c r="AJ6" s="55" t="n"/>
      <c r="AK6" s="55" t="n"/>
      <c r="AL6" s="55" t="n"/>
      <c r="AM6" s="55" t="n"/>
      <c r="AN6" s="55" t="n"/>
      <c r="AO6" s="55" t="n"/>
      <c r="AP6" s="55" t="n"/>
      <c r="AQ6" s="55" t="n"/>
      <c r="AR6" s="55" t="n"/>
      <c r="AS6" s="55" t="n"/>
      <c r="AT6" s="55" t="n"/>
      <c r="AU6" s="55" t="n"/>
      <c r="AV6" s="55" t="n"/>
      <c r="AW6" s="55" t="n"/>
      <c r="AX6" s="55" t="n"/>
      <c r="AY6" s="55" t="n"/>
      <c r="AZ6" s="55" t="n"/>
      <c r="BA6" s="55" t="n"/>
      <c r="BB6" s="55" t="n"/>
      <c r="BC6" s="55" t="n"/>
      <c r="BD6" s="55" t="n"/>
      <c r="BE6" s="55" t="n"/>
      <c r="BF6" s="55" t="n"/>
      <c r="BG6" s="55" t="n"/>
      <c r="BH6" s="55" t="n"/>
      <c r="BI6" s="55" t="n"/>
      <c r="BJ6" s="55" t="n"/>
      <c r="BK6" s="55" t="n"/>
      <c r="BL6" s="55" t="n"/>
      <c r="BM6" s="55" t="n"/>
      <c r="BN6" s="55" t="n"/>
      <c r="BO6" s="55" t="n"/>
      <c r="BP6" s="55" t="n"/>
      <c r="BQ6" s="55" t="n"/>
      <c r="BR6" s="55" t="n"/>
      <c r="BS6" s="55" t="n"/>
      <c r="BT6" s="55" t="n"/>
      <c r="BU6" s="55" t="n"/>
      <c r="BV6" s="55" t="n"/>
      <c r="BW6" s="55" t="n"/>
      <c r="BX6" s="55" t="n"/>
      <c r="BY6" s="55" t="n"/>
    </row>
    <row r="7">
      <c r="B7" s="56" t="inlineStr">
        <is>
          <t>Индекс цен</t>
        </is>
      </c>
      <c r="C7" s="56" t="inlineStr">
        <is>
          <t>коэфф.</t>
        </is>
      </c>
      <c r="D7" s="57" t="inlineStr">
        <is>
          <t>Накопленная индексация из справочника тарифов В колонках лет — значение на конец года, в «Итого» — на конец пятого года. Это остаток, а не сумма.</t>
        </is>
      </c>
      <c r="E7" s="169">
        <f>W7</f>
        <v/>
      </c>
      <c r="F7" s="169">
        <f>AI7</f>
        <v/>
      </c>
      <c r="G7" s="169">
        <f>AU7</f>
        <v/>
      </c>
      <c r="H7" s="169">
        <f>BG7</f>
        <v/>
      </c>
      <c r="I7" s="169">
        <f>BS7</f>
        <v/>
      </c>
      <c r="J7" s="170">
        <f>BS7</f>
        <v/>
      </c>
      <c r="L7" s="171">
        <f>'07_Тарифы'!B$4</f>
        <v/>
      </c>
      <c r="M7" s="171">
        <f>'07_Тарифы'!C$4</f>
        <v/>
      </c>
      <c r="N7" s="171">
        <f>'07_Тарифы'!D$4</f>
        <v/>
      </c>
      <c r="O7" s="171">
        <f>'07_Тарифы'!E$4</f>
        <v/>
      </c>
      <c r="P7" s="171">
        <f>'07_Тарифы'!F$4</f>
        <v/>
      </c>
      <c r="Q7" s="171">
        <f>'07_Тарифы'!G$4</f>
        <v/>
      </c>
      <c r="R7" s="171">
        <f>'07_Тарифы'!H$4</f>
        <v/>
      </c>
      <c r="S7" s="171">
        <f>'07_Тарифы'!I$4</f>
        <v/>
      </c>
      <c r="T7" s="171">
        <f>'07_Тарифы'!J$4</f>
        <v/>
      </c>
      <c r="U7" s="171">
        <f>'07_Тарифы'!K$4</f>
        <v/>
      </c>
      <c r="V7" s="171">
        <f>'07_Тарифы'!L$4</f>
        <v/>
      </c>
      <c r="W7" s="171">
        <f>'07_Тарифы'!M$4</f>
        <v/>
      </c>
      <c r="X7" s="171">
        <f>'07_Тарифы'!N$4</f>
        <v/>
      </c>
      <c r="Y7" s="171">
        <f>'07_Тарифы'!O$4</f>
        <v/>
      </c>
      <c r="Z7" s="171">
        <f>'07_Тарифы'!P$4</f>
        <v/>
      </c>
      <c r="AA7" s="171">
        <f>'07_Тарифы'!Q$4</f>
        <v/>
      </c>
      <c r="AB7" s="171">
        <f>'07_Тарифы'!R$4</f>
        <v/>
      </c>
      <c r="AC7" s="171">
        <f>'07_Тарифы'!S$4</f>
        <v/>
      </c>
      <c r="AD7" s="171">
        <f>'07_Тарифы'!T$4</f>
        <v/>
      </c>
      <c r="AE7" s="171">
        <f>'07_Тарифы'!U$4</f>
        <v/>
      </c>
      <c r="AF7" s="171">
        <f>'07_Тарифы'!V$4</f>
        <v/>
      </c>
      <c r="AG7" s="171">
        <f>'07_Тарифы'!W$4</f>
        <v/>
      </c>
      <c r="AH7" s="171">
        <f>'07_Тарифы'!X$4</f>
        <v/>
      </c>
      <c r="AI7" s="171">
        <f>'07_Тарифы'!Y$4</f>
        <v/>
      </c>
      <c r="AJ7" s="171">
        <f>'07_Тарифы'!Z$4</f>
        <v/>
      </c>
      <c r="AK7" s="171">
        <f>'07_Тарифы'!AA$4</f>
        <v/>
      </c>
      <c r="AL7" s="171">
        <f>'07_Тарифы'!AB$4</f>
        <v/>
      </c>
      <c r="AM7" s="171">
        <f>'07_Тарифы'!AC$4</f>
        <v/>
      </c>
      <c r="AN7" s="171">
        <f>'07_Тарифы'!AD$4</f>
        <v/>
      </c>
      <c r="AO7" s="171">
        <f>'07_Тарифы'!AE$4</f>
        <v/>
      </c>
      <c r="AP7" s="171">
        <f>'07_Тарифы'!AF$4</f>
        <v/>
      </c>
      <c r="AQ7" s="171">
        <f>'07_Тарифы'!AG$4</f>
        <v/>
      </c>
      <c r="AR7" s="171">
        <f>'07_Тарифы'!AH$4</f>
        <v/>
      </c>
      <c r="AS7" s="171">
        <f>'07_Тарифы'!AI$4</f>
        <v/>
      </c>
      <c r="AT7" s="171">
        <f>'07_Тарифы'!AJ$4</f>
        <v/>
      </c>
      <c r="AU7" s="171">
        <f>'07_Тарифы'!AK$4</f>
        <v/>
      </c>
      <c r="AV7" s="171">
        <f>'07_Тарифы'!AL$4</f>
        <v/>
      </c>
      <c r="AW7" s="171">
        <f>'07_Тарифы'!AM$4</f>
        <v/>
      </c>
      <c r="AX7" s="171">
        <f>'07_Тарифы'!AN$4</f>
        <v/>
      </c>
      <c r="AY7" s="171">
        <f>'07_Тарифы'!AO$4</f>
        <v/>
      </c>
      <c r="AZ7" s="171">
        <f>'07_Тарифы'!AP$4</f>
        <v/>
      </c>
      <c r="BA7" s="171">
        <f>'07_Тарифы'!AQ$4</f>
        <v/>
      </c>
      <c r="BB7" s="171">
        <f>'07_Тарифы'!AR$4</f>
        <v/>
      </c>
      <c r="BC7" s="171">
        <f>'07_Тарифы'!AS$4</f>
        <v/>
      </c>
      <c r="BD7" s="171">
        <f>'07_Тарифы'!AT$4</f>
        <v/>
      </c>
      <c r="BE7" s="171">
        <f>'07_Тарифы'!AU$4</f>
        <v/>
      </c>
      <c r="BF7" s="171">
        <f>'07_Тарифы'!AV$4</f>
        <v/>
      </c>
      <c r="BG7" s="171">
        <f>'07_Тарифы'!AW$4</f>
        <v/>
      </c>
      <c r="BH7" s="171">
        <f>'07_Тарифы'!AX$4</f>
        <v/>
      </c>
      <c r="BI7" s="171">
        <f>'07_Тарифы'!AY$4</f>
        <v/>
      </c>
      <c r="BJ7" s="171">
        <f>'07_Тарифы'!AZ$4</f>
        <v/>
      </c>
      <c r="BK7" s="171">
        <f>'07_Тарифы'!BA$4</f>
        <v/>
      </c>
      <c r="BL7" s="171">
        <f>'07_Тарифы'!BB$4</f>
        <v/>
      </c>
      <c r="BM7" s="171">
        <f>'07_Тарифы'!BC$4</f>
        <v/>
      </c>
      <c r="BN7" s="171">
        <f>'07_Тарифы'!BD$4</f>
        <v/>
      </c>
      <c r="BO7" s="171">
        <f>'07_Тарифы'!BE$4</f>
        <v/>
      </c>
      <c r="BP7" s="171">
        <f>'07_Тарифы'!BF$4</f>
        <v/>
      </c>
      <c r="BQ7" s="171">
        <f>'07_Тарифы'!BG$4</f>
        <v/>
      </c>
      <c r="BR7" s="171">
        <f>'07_Тарифы'!BH$4</f>
        <v/>
      </c>
      <c r="BS7" s="171">
        <f>'07_Тарифы'!BI$4</f>
        <v/>
      </c>
      <c r="BT7" s="171">
        <f>'07_Тарифы'!BJ$4</f>
        <v/>
      </c>
      <c r="BU7" s="171">
        <f>'07_Тарифы'!BK$4</f>
        <v/>
      </c>
      <c r="BV7" s="171">
        <f>'07_Тарифы'!BL$4</f>
        <v/>
      </c>
      <c r="BW7" s="171">
        <f>'07_Тарифы'!BM$4</f>
        <v/>
      </c>
      <c r="BX7" s="171">
        <f>'07_Тарифы'!BN$4</f>
        <v/>
      </c>
      <c r="BY7" s="171">
        <f>'07_Тарифы'!BO$4</f>
        <v/>
      </c>
    </row>
    <row r="8">
      <c r="B8" s="56" t="inlineStr">
        <is>
          <t>Множитель оборота</t>
        </is>
      </c>
      <c r="C8" s="56" t="inlineStr">
        <is>
          <t>коэфф.</t>
        </is>
      </c>
      <c r="D8" s="57" t="inlineStr">
        <is>
          <t>Сезонность, сценарные множители и индексация в одном числе В колонках лет — среднее за год, в «Итого» — среднее за все 60 месяцев.</t>
        </is>
      </c>
      <c r="E8" s="169">
        <f>AVERAGE(L8:W8)</f>
        <v/>
      </c>
      <c r="F8" s="169">
        <f>AVERAGE(X8:AI8)</f>
        <v/>
      </c>
      <c r="G8" s="169">
        <f>AVERAGE(AJ8:AU8)</f>
        <v/>
      </c>
      <c r="H8" s="169">
        <f>AVERAGE(AV8:BG8)</f>
        <v/>
      </c>
      <c r="I8" s="169">
        <f>AVERAGE(BH8:BS8)</f>
        <v/>
      </c>
      <c r="J8" s="170">
        <f>AVERAGE(L8:BS8)</f>
        <v/>
      </c>
      <c r="L8" s="171">
        <f>'03_Сеть'!L10*МножительДетей*МножительЦен*L7</f>
        <v/>
      </c>
      <c r="M8" s="171">
        <f>'03_Сеть'!M10*МножительДетей*МножительЦен*M7</f>
        <v/>
      </c>
      <c r="N8" s="171">
        <f>'03_Сеть'!N10*МножительДетей*МножительЦен*N7</f>
        <v/>
      </c>
      <c r="O8" s="171">
        <f>'03_Сеть'!O10*МножительДетей*МножительЦен*O7</f>
        <v/>
      </c>
      <c r="P8" s="171">
        <f>'03_Сеть'!P10*МножительДетей*МножительЦен*P7</f>
        <v/>
      </c>
      <c r="Q8" s="171">
        <f>'03_Сеть'!Q10*МножительДетей*МножительЦен*Q7</f>
        <v/>
      </c>
      <c r="R8" s="171">
        <f>'03_Сеть'!R10*МножительДетей*МножительЦен*R7</f>
        <v/>
      </c>
      <c r="S8" s="171">
        <f>'03_Сеть'!S10*МножительДетей*МножительЦен*S7</f>
        <v/>
      </c>
      <c r="T8" s="171">
        <f>'03_Сеть'!T10*МножительДетей*МножительЦен*T7</f>
        <v/>
      </c>
      <c r="U8" s="171">
        <f>'03_Сеть'!U10*МножительДетей*МножительЦен*U7</f>
        <v/>
      </c>
      <c r="V8" s="171">
        <f>'03_Сеть'!V10*МножительДетей*МножительЦен*V7</f>
        <v/>
      </c>
      <c r="W8" s="171">
        <f>'03_Сеть'!W10*МножительДетей*МножительЦен*W7</f>
        <v/>
      </c>
      <c r="X8" s="171">
        <f>'03_Сеть'!X10*МножительДетей*МножительЦен*X7</f>
        <v/>
      </c>
      <c r="Y8" s="171">
        <f>'03_Сеть'!Y10*МножительДетей*МножительЦен*Y7</f>
        <v/>
      </c>
      <c r="Z8" s="171">
        <f>'03_Сеть'!Z10*МножительДетей*МножительЦен*Z7</f>
        <v/>
      </c>
      <c r="AA8" s="171">
        <f>'03_Сеть'!AA10*МножительДетей*МножительЦен*AA7</f>
        <v/>
      </c>
      <c r="AB8" s="171">
        <f>'03_Сеть'!AB10*МножительДетей*МножительЦен*AB7</f>
        <v/>
      </c>
      <c r="AC8" s="171">
        <f>'03_Сеть'!AC10*МножительДетей*МножительЦен*AC7</f>
        <v/>
      </c>
      <c r="AD8" s="171">
        <f>'03_Сеть'!AD10*МножительДетей*МножительЦен*AD7</f>
        <v/>
      </c>
      <c r="AE8" s="171">
        <f>'03_Сеть'!AE10*МножительДетей*МножительЦен*AE7</f>
        <v/>
      </c>
      <c r="AF8" s="171">
        <f>'03_Сеть'!AF10*МножительДетей*МножительЦен*AF7</f>
        <v/>
      </c>
      <c r="AG8" s="171">
        <f>'03_Сеть'!AG10*МножительДетей*МножительЦен*AG7</f>
        <v/>
      </c>
      <c r="AH8" s="171">
        <f>'03_Сеть'!AH10*МножительДетей*МножительЦен*AH7</f>
        <v/>
      </c>
      <c r="AI8" s="171">
        <f>'03_Сеть'!AI10*МножительДетей*МножительЦен*AI7</f>
        <v/>
      </c>
      <c r="AJ8" s="171">
        <f>'03_Сеть'!AJ10*МножительДетей*МножительЦен*AJ7</f>
        <v/>
      </c>
      <c r="AK8" s="171">
        <f>'03_Сеть'!AK10*МножительДетей*МножительЦен*AK7</f>
        <v/>
      </c>
      <c r="AL8" s="171">
        <f>'03_Сеть'!AL10*МножительДетей*МножительЦен*AL7</f>
        <v/>
      </c>
      <c r="AM8" s="171">
        <f>'03_Сеть'!AM10*МножительДетей*МножительЦен*AM7</f>
        <v/>
      </c>
      <c r="AN8" s="171">
        <f>'03_Сеть'!AN10*МножительДетей*МножительЦен*AN7</f>
        <v/>
      </c>
      <c r="AO8" s="171">
        <f>'03_Сеть'!AO10*МножительДетей*МножительЦен*AO7</f>
        <v/>
      </c>
      <c r="AP8" s="171">
        <f>'03_Сеть'!AP10*МножительДетей*МножительЦен*AP7</f>
        <v/>
      </c>
      <c r="AQ8" s="171">
        <f>'03_Сеть'!AQ10*МножительДетей*МножительЦен*AQ7</f>
        <v/>
      </c>
      <c r="AR8" s="171">
        <f>'03_Сеть'!AR10*МножительДетей*МножительЦен*AR7</f>
        <v/>
      </c>
      <c r="AS8" s="171">
        <f>'03_Сеть'!AS10*МножительДетей*МножительЦен*AS7</f>
        <v/>
      </c>
      <c r="AT8" s="171">
        <f>'03_Сеть'!AT10*МножительДетей*МножительЦен*AT7</f>
        <v/>
      </c>
      <c r="AU8" s="171">
        <f>'03_Сеть'!AU10*МножительДетей*МножительЦен*AU7</f>
        <v/>
      </c>
      <c r="AV8" s="171">
        <f>'03_Сеть'!AV10*МножительДетей*МножительЦен*AV7</f>
        <v/>
      </c>
      <c r="AW8" s="171">
        <f>'03_Сеть'!AW10*МножительДетей*МножительЦен*AW7</f>
        <v/>
      </c>
      <c r="AX8" s="171">
        <f>'03_Сеть'!AX10*МножительДетей*МножительЦен*AX7</f>
        <v/>
      </c>
      <c r="AY8" s="171">
        <f>'03_Сеть'!AY10*МножительДетей*МножительЦен*AY7</f>
        <v/>
      </c>
      <c r="AZ8" s="171">
        <f>'03_Сеть'!AZ10*МножительДетей*МножительЦен*AZ7</f>
        <v/>
      </c>
      <c r="BA8" s="171">
        <f>'03_Сеть'!BA10*МножительДетей*МножительЦен*BA7</f>
        <v/>
      </c>
      <c r="BB8" s="171">
        <f>'03_Сеть'!BB10*МножительДетей*МножительЦен*BB7</f>
        <v/>
      </c>
      <c r="BC8" s="171">
        <f>'03_Сеть'!BC10*МножительДетей*МножительЦен*BC7</f>
        <v/>
      </c>
      <c r="BD8" s="171">
        <f>'03_Сеть'!BD10*МножительДетей*МножительЦен*BD7</f>
        <v/>
      </c>
      <c r="BE8" s="171">
        <f>'03_Сеть'!BE10*МножительДетей*МножительЦен*BE7</f>
        <v/>
      </c>
      <c r="BF8" s="171">
        <f>'03_Сеть'!BF10*МножительДетей*МножительЦен*BF7</f>
        <v/>
      </c>
      <c r="BG8" s="171">
        <f>'03_Сеть'!BG10*МножительДетей*МножительЦен*BG7</f>
        <v/>
      </c>
      <c r="BH8" s="171">
        <f>'03_Сеть'!BH10*МножительДетей*МножительЦен*BH7</f>
        <v/>
      </c>
      <c r="BI8" s="171">
        <f>'03_Сеть'!BI10*МножительДетей*МножительЦен*BI7</f>
        <v/>
      </c>
      <c r="BJ8" s="171">
        <f>'03_Сеть'!BJ10*МножительДетей*МножительЦен*BJ7</f>
        <v/>
      </c>
      <c r="BK8" s="171">
        <f>'03_Сеть'!BK10*МножительДетей*МножительЦен*BK7</f>
        <v/>
      </c>
      <c r="BL8" s="171">
        <f>'03_Сеть'!BL10*МножительДетей*МножительЦен*BL7</f>
        <v/>
      </c>
      <c r="BM8" s="171">
        <f>'03_Сеть'!BM10*МножительДетей*МножительЦен*BM7</f>
        <v/>
      </c>
      <c r="BN8" s="171">
        <f>'03_Сеть'!BN10*МножительДетей*МножительЦен*BN7</f>
        <v/>
      </c>
      <c r="BO8" s="171">
        <f>'03_Сеть'!BO10*МножительДетей*МножительЦен*BO7</f>
        <v/>
      </c>
      <c r="BP8" s="171">
        <f>'03_Сеть'!BP10*МножительДетей*МножительЦен*BP7</f>
        <v/>
      </c>
      <c r="BQ8" s="171">
        <f>'03_Сеть'!BQ10*МножительДетей*МножительЦен*BQ7</f>
        <v/>
      </c>
      <c r="BR8" s="171">
        <f>'03_Сеть'!BR10*МножительДетей*МножительЦен*BR7</f>
        <v/>
      </c>
      <c r="BS8" s="171">
        <f>'03_Сеть'!BS10*МножительДетей*МножительЦен*BS7</f>
        <v/>
      </c>
      <c r="BT8" s="171">
        <f>'03_Сеть'!BT10*МножительДетей*МножительЦен*BT7</f>
        <v/>
      </c>
      <c r="BU8" s="171">
        <f>'03_Сеть'!BU10*МножительДетей*МножительЦен*BU7</f>
        <v/>
      </c>
      <c r="BV8" s="171">
        <f>'03_Сеть'!BV10*МножительДетей*МножительЦен*BV7</f>
        <v/>
      </c>
      <c r="BW8" s="171">
        <f>'03_Сеть'!BW10*МножительДетей*МножительЦен*BW7</f>
        <v/>
      </c>
      <c r="BX8" s="171">
        <f>'03_Сеть'!BX10*МножительДетей*МножительЦен*BX7</f>
        <v/>
      </c>
      <c r="BY8" s="171">
        <f>'03_Сеть'!BY10*МножительДетей*МножительЦен*BY7</f>
        <v/>
      </c>
    </row>
    <row r="9">
      <c r="B9" s="56" t="inlineStr">
        <is>
          <t>Ставка роялти: договоры до перехода</t>
        </is>
      </c>
      <c r="C9" s="56" t="inlineStr">
        <is>
          <t>коэфф.</t>
        </is>
      </c>
      <c r="D9" s="57" t="inlineStr">
        <is>
          <t>После общей даты все переходят на единую ставку В колонках лет — среднее за год, в «Итого» — среднее за все 60 месяцев.</t>
        </is>
      </c>
      <c r="E9" s="172">
        <f>AVERAGE(L9:W9)</f>
        <v/>
      </c>
      <c r="F9" s="172">
        <f>AVERAGE(X9:AI9)</f>
        <v/>
      </c>
      <c r="G9" s="172">
        <f>AVERAGE(AJ9:AU9)</f>
        <v/>
      </c>
      <c r="H9" s="172">
        <f>AVERAGE(AV9:BG9)</f>
        <v/>
      </c>
      <c r="I9" s="172">
        <f>AVERAGE(BH9:BS9)</f>
        <v/>
      </c>
      <c r="J9" s="173">
        <f>AVERAGE(L9:BS9)</f>
        <v/>
      </c>
      <c r="L9" s="174">
        <f>L8*IF('03_Сеть'!L7&gt;=ДатаПереходаСтавки,СтавкаРоялтиВсех,СтавкаРоялтиСтарых)</f>
        <v/>
      </c>
      <c r="M9" s="174">
        <f>M8*IF('03_Сеть'!M7&gt;=ДатаПереходаСтавки,СтавкаРоялтиВсех,СтавкаРоялтиСтарых)</f>
        <v/>
      </c>
      <c r="N9" s="174">
        <f>N8*IF('03_Сеть'!N7&gt;=ДатаПереходаСтавки,СтавкаРоялтиВсех,СтавкаРоялтиСтарых)</f>
        <v/>
      </c>
      <c r="O9" s="174">
        <f>O8*IF('03_Сеть'!O7&gt;=ДатаПереходаСтавки,СтавкаРоялтиВсех,СтавкаРоялтиСтарых)</f>
        <v/>
      </c>
      <c r="P9" s="174">
        <f>P8*IF('03_Сеть'!P7&gt;=ДатаПереходаСтавки,СтавкаРоялтиВсех,СтавкаРоялтиСтарых)</f>
        <v/>
      </c>
      <c r="Q9" s="174">
        <f>Q8*IF('03_Сеть'!Q7&gt;=ДатаПереходаСтавки,СтавкаРоялтиВсех,СтавкаРоялтиСтарых)</f>
        <v/>
      </c>
      <c r="R9" s="174">
        <f>R8*IF('03_Сеть'!R7&gt;=ДатаПереходаСтавки,СтавкаРоялтиВсех,СтавкаРоялтиСтарых)</f>
        <v/>
      </c>
      <c r="S9" s="174">
        <f>S8*IF('03_Сеть'!S7&gt;=ДатаПереходаСтавки,СтавкаРоялтиВсех,СтавкаРоялтиСтарых)</f>
        <v/>
      </c>
      <c r="T9" s="174">
        <f>T8*IF('03_Сеть'!T7&gt;=ДатаПереходаСтавки,СтавкаРоялтиВсех,СтавкаРоялтиСтарых)</f>
        <v/>
      </c>
      <c r="U9" s="174">
        <f>U8*IF('03_Сеть'!U7&gt;=ДатаПереходаСтавки,СтавкаРоялтиВсех,СтавкаРоялтиСтарых)</f>
        <v/>
      </c>
      <c r="V9" s="174">
        <f>V8*IF('03_Сеть'!V7&gt;=ДатаПереходаСтавки,СтавкаРоялтиВсех,СтавкаРоялтиСтарых)</f>
        <v/>
      </c>
      <c r="W9" s="174">
        <f>W8*IF('03_Сеть'!W7&gt;=ДатаПереходаСтавки,СтавкаРоялтиВсех,СтавкаРоялтиСтарых)</f>
        <v/>
      </c>
      <c r="X9" s="174">
        <f>X8*IF('03_Сеть'!X7&gt;=ДатаПереходаСтавки,СтавкаРоялтиВсех,СтавкаРоялтиСтарых)</f>
        <v/>
      </c>
      <c r="Y9" s="174">
        <f>Y8*IF('03_Сеть'!Y7&gt;=ДатаПереходаСтавки,СтавкаРоялтиВсех,СтавкаРоялтиСтарых)</f>
        <v/>
      </c>
      <c r="Z9" s="174">
        <f>Z8*IF('03_Сеть'!Z7&gt;=ДатаПереходаСтавки,СтавкаРоялтиВсех,СтавкаРоялтиСтарых)</f>
        <v/>
      </c>
      <c r="AA9" s="174">
        <f>AA8*IF('03_Сеть'!AA7&gt;=ДатаПереходаСтавки,СтавкаРоялтиВсех,СтавкаРоялтиСтарых)</f>
        <v/>
      </c>
      <c r="AB9" s="174">
        <f>AB8*IF('03_Сеть'!AB7&gt;=ДатаПереходаСтавки,СтавкаРоялтиВсех,СтавкаРоялтиСтарых)</f>
        <v/>
      </c>
      <c r="AC9" s="174">
        <f>AC8*IF('03_Сеть'!AC7&gt;=ДатаПереходаСтавки,СтавкаРоялтиВсех,СтавкаРоялтиСтарых)</f>
        <v/>
      </c>
      <c r="AD9" s="174">
        <f>AD8*IF('03_Сеть'!AD7&gt;=ДатаПереходаСтавки,СтавкаРоялтиВсех,СтавкаРоялтиСтарых)</f>
        <v/>
      </c>
      <c r="AE9" s="174">
        <f>AE8*IF('03_Сеть'!AE7&gt;=ДатаПереходаСтавки,СтавкаРоялтиВсех,СтавкаРоялтиСтарых)</f>
        <v/>
      </c>
      <c r="AF9" s="174">
        <f>AF8*IF('03_Сеть'!AF7&gt;=ДатаПереходаСтавки,СтавкаРоялтиВсех,СтавкаРоялтиСтарых)</f>
        <v/>
      </c>
      <c r="AG9" s="174">
        <f>AG8*IF('03_Сеть'!AG7&gt;=ДатаПереходаСтавки,СтавкаРоялтиВсех,СтавкаРоялтиСтарых)</f>
        <v/>
      </c>
      <c r="AH9" s="174">
        <f>AH8*IF('03_Сеть'!AH7&gt;=ДатаПереходаСтавки,СтавкаРоялтиВсех,СтавкаРоялтиСтарых)</f>
        <v/>
      </c>
      <c r="AI9" s="174">
        <f>AI8*IF('03_Сеть'!AI7&gt;=ДатаПереходаСтавки,СтавкаРоялтиВсех,СтавкаРоялтиСтарых)</f>
        <v/>
      </c>
      <c r="AJ9" s="174">
        <f>AJ8*IF('03_Сеть'!AJ7&gt;=ДатаПереходаСтавки,СтавкаРоялтиВсех,СтавкаРоялтиСтарых)</f>
        <v/>
      </c>
      <c r="AK9" s="174">
        <f>AK8*IF('03_Сеть'!AK7&gt;=ДатаПереходаСтавки,СтавкаРоялтиВсех,СтавкаРоялтиСтарых)</f>
        <v/>
      </c>
      <c r="AL9" s="174">
        <f>AL8*IF('03_Сеть'!AL7&gt;=ДатаПереходаСтавки,СтавкаРоялтиВсех,СтавкаРоялтиСтарых)</f>
        <v/>
      </c>
      <c r="AM9" s="174">
        <f>AM8*IF('03_Сеть'!AM7&gt;=ДатаПереходаСтавки,СтавкаРоялтиВсех,СтавкаРоялтиСтарых)</f>
        <v/>
      </c>
      <c r="AN9" s="174">
        <f>AN8*IF('03_Сеть'!AN7&gt;=ДатаПереходаСтавки,СтавкаРоялтиВсех,СтавкаРоялтиСтарых)</f>
        <v/>
      </c>
      <c r="AO9" s="174">
        <f>AO8*IF('03_Сеть'!AO7&gt;=ДатаПереходаСтавки,СтавкаРоялтиВсех,СтавкаРоялтиСтарых)</f>
        <v/>
      </c>
      <c r="AP9" s="174">
        <f>AP8*IF('03_Сеть'!AP7&gt;=ДатаПереходаСтавки,СтавкаРоялтиВсех,СтавкаРоялтиСтарых)</f>
        <v/>
      </c>
      <c r="AQ9" s="174">
        <f>AQ8*IF('03_Сеть'!AQ7&gt;=ДатаПереходаСтавки,СтавкаРоялтиВсех,СтавкаРоялтиСтарых)</f>
        <v/>
      </c>
      <c r="AR9" s="174">
        <f>AR8*IF('03_Сеть'!AR7&gt;=ДатаПереходаСтавки,СтавкаРоялтиВсех,СтавкаРоялтиСтарых)</f>
        <v/>
      </c>
      <c r="AS9" s="174">
        <f>AS8*IF('03_Сеть'!AS7&gt;=ДатаПереходаСтавки,СтавкаРоялтиВсех,СтавкаРоялтиСтарых)</f>
        <v/>
      </c>
      <c r="AT9" s="174">
        <f>AT8*IF('03_Сеть'!AT7&gt;=ДатаПереходаСтавки,СтавкаРоялтиВсех,СтавкаРоялтиСтарых)</f>
        <v/>
      </c>
      <c r="AU9" s="174">
        <f>AU8*IF('03_Сеть'!AU7&gt;=ДатаПереходаСтавки,СтавкаРоялтиВсех,СтавкаРоялтиСтарых)</f>
        <v/>
      </c>
      <c r="AV9" s="174">
        <f>AV8*IF('03_Сеть'!AV7&gt;=ДатаПереходаСтавки,СтавкаРоялтиВсех,СтавкаРоялтиСтарых)</f>
        <v/>
      </c>
      <c r="AW9" s="174">
        <f>AW8*IF('03_Сеть'!AW7&gt;=ДатаПереходаСтавки,СтавкаРоялтиВсех,СтавкаРоялтиСтарых)</f>
        <v/>
      </c>
      <c r="AX9" s="174">
        <f>AX8*IF('03_Сеть'!AX7&gt;=ДатаПереходаСтавки,СтавкаРоялтиВсех,СтавкаРоялтиСтарых)</f>
        <v/>
      </c>
      <c r="AY9" s="174">
        <f>AY8*IF('03_Сеть'!AY7&gt;=ДатаПереходаСтавки,СтавкаРоялтиВсех,СтавкаРоялтиСтарых)</f>
        <v/>
      </c>
      <c r="AZ9" s="174">
        <f>AZ8*IF('03_Сеть'!AZ7&gt;=ДатаПереходаСтавки,СтавкаРоялтиВсех,СтавкаРоялтиСтарых)</f>
        <v/>
      </c>
      <c r="BA9" s="174">
        <f>BA8*IF('03_Сеть'!BA7&gt;=ДатаПереходаСтавки,СтавкаРоялтиВсех,СтавкаРоялтиСтарых)</f>
        <v/>
      </c>
      <c r="BB9" s="174">
        <f>BB8*IF('03_Сеть'!BB7&gt;=ДатаПереходаСтавки,СтавкаРоялтиВсех,СтавкаРоялтиСтарых)</f>
        <v/>
      </c>
      <c r="BC9" s="174">
        <f>BC8*IF('03_Сеть'!BC7&gt;=ДатаПереходаСтавки,СтавкаРоялтиВсех,СтавкаРоялтиСтарых)</f>
        <v/>
      </c>
      <c r="BD9" s="174">
        <f>BD8*IF('03_Сеть'!BD7&gt;=ДатаПереходаСтавки,СтавкаРоялтиВсех,СтавкаРоялтиСтарых)</f>
        <v/>
      </c>
      <c r="BE9" s="174">
        <f>BE8*IF('03_Сеть'!BE7&gt;=ДатаПереходаСтавки,СтавкаРоялтиВсех,СтавкаРоялтиСтарых)</f>
        <v/>
      </c>
      <c r="BF9" s="174">
        <f>BF8*IF('03_Сеть'!BF7&gt;=ДатаПереходаСтавки,СтавкаРоялтиВсех,СтавкаРоялтиСтарых)</f>
        <v/>
      </c>
      <c r="BG9" s="174">
        <f>BG8*IF('03_Сеть'!BG7&gt;=ДатаПереходаСтавки,СтавкаРоялтиВсех,СтавкаРоялтиСтарых)</f>
        <v/>
      </c>
      <c r="BH9" s="174">
        <f>BH8*IF('03_Сеть'!BH7&gt;=ДатаПереходаСтавки,СтавкаРоялтиВсех,СтавкаРоялтиСтарых)</f>
        <v/>
      </c>
      <c r="BI9" s="174">
        <f>BI8*IF('03_Сеть'!BI7&gt;=ДатаПереходаСтавки,СтавкаРоялтиВсех,СтавкаРоялтиСтарых)</f>
        <v/>
      </c>
      <c r="BJ9" s="174">
        <f>BJ8*IF('03_Сеть'!BJ7&gt;=ДатаПереходаСтавки,СтавкаРоялтиВсех,СтавкаРоялтиСтарых)</f>
        <v/>
      </c>
      <c r="BK9" s="174">
        <f>BK8*IF('03_Сеть'!BK7&gt;=ДатаПереходаСтавки,СтавкаРоялтиВсех,СтавкаРоялтиСтарых)</f>
        <v/>
      </c>
      <c r="BL9" s="174">
        <f>BL8*IF('03_Сеть'!BL7&gt;=ДатаПереходаСтавки,СтавкаРоялтиВсех,СтавкаРоялтиСтарых)</f>
        <v/>
      </c>
      <c r="BM9" s="174">
        <f>BM8*IF('03_Сеть'!BM7&gt;=ДатаПереходаСтавки,СтавкаРоялтиВсех,СтавкаРоялтиСтарых)</f>
        <v/>
      </c>
      <c r="BN9" s="174">
        <f>BN8*IF('03_Сеть'!BN7&gt;=ДатаПереходаСтавки,СтавкаРоялтиВсех,СтавкаРоялтиСтарых)</f>
        <v/>
      </c>
      <c r="BO9" s="174">
        <f>BO8*IF('03_Сеть'!BO7&gt;=ДатаПереходаСтавки,СтавкаРоялтиВсех,СтавкаРоялтиСтарых)</f>
        <v/>
      </c>
      <c r="BP9" s="174">
        <f>BP8*IF('03_Сеть'!BP7&gt;=ДатаПереходаСтавки,СтавкаРоялтиВсех,СтавкаРоялтиСтарых)</f>
        <v/>
      </c>
      <c r="BQ9" s="174">
        <f>BQ8*IF('03_Сеть'!BQ7&gt;=ДатаПереходаСтавки,СтавкаРоялтиВсех,СтавкаРоялтиСтарых)</f>
        <v/>
      </c>
      <c r="BR9" s="174">
        <f>BR8*IF('03_Сеть'!BR7&gt;=ДатаПереходаСтавки,СтавкаРоялтиВсех,СтавкаРоялтиСтарых)</f>
        <v/>
      </c>
      <c r="BS9" s="174">
        <f>BS8*IF('03_Сеть'!BS7&gt;=ДатаПереходаСтавки,СтавкаРоялтиВсех,СтавкаРоялтиСтарых)</f>
        <v/>
      </c>
      <c r="BT9" s="174">
        <f>BT8*IF('03_Сеть'!BT7&gt;=ДатаПереходаСтавки,СтавкаРоялтиВсех,СтавкаРоялтиСтарых)</f>
        <v/>
      </c>
      <c r="BU9" s="174">
        <f>BU8*IF('03_Сеть'!BU7&gt;=ДатаПереходаСтавки,СтавкаРоялтиВсех,СтавкаРоялтиСтарых)</f>
        <v/>
      </c>
      <c r="BV9" s="174">
        <f>BV8*IF('03_Сеть'!BV7&gt;=ДатаПереходаСтавки,СтавкаРоялтиВсех,СтавкаРоялтиСтарых)</f>
        <v/>
      </c>
      <c r="BW9" s="174">
        <f>BW8*IF('03_Сеть'!BW7&gt;=ДатаПереходаСтавки,СтавкаРоялтиВсех,СтавкаРоялтиСтарых)</f>
        <v/>
      </c>
      <c r="BX9" s="174">
        <f>BX8*IF('03_Сеть'!BX7&gt;=ДатаПереходаСтавки,СтавкаРоялтиВсех,СтавкаРоялтиСтарых)</f>
        <v/>
      </c>
      <c r="BY9" s="174">
        <f>BY8*IF('03_Сеть'!BY7&gt;=ДатаПереходаСтавки,СтавкаРоялтиВсех,СтавкаРоялтиСтарых)</f>
        <v/>
      </c>
    </row>
    <row r="10">
      <c r="B10" s="56" t="inlineStr">
        <is>
          <t>Ставка роялти: договоры после перехода</t>
        </is>
      </c>
      <c r="C10" s="56" t="inlineStr">
        <is>
          <t>коэфф.</t>
        </is>
      </c>
      <c r="D10" s="57" t="inlineStr">
        <is>
          <t>В колонках лет — среднее за год, в «Итого» — среднее за все 60 месяцев.</t>
        </is>
      </c>
      <c r="E10" s="172">
        <f>AVERAGE(L10:W10)</f>
        <v/>
      </c>
      <c r="F10" s="172">
        <f>AVERAGE(X10:AI10)</f>
        <v/>
      </c>
      <c r="G10" s="172">
        <f>AVERAGE(AJ10:AU10)</f>
        <v/>
      </c>
      <c r="H10" s="172">
        <f>AVERAGE(AV10:BG10)</f>
        <v/>
      </c>
      <c r="I10" s="172">
        <f>AVERAGE(BH10:BS10)</f>
        <v/>
      </c>
      <c r="J10" s="173">
        <f>AVERAGE(L10:BS10)</f>
        <v/>
      </c>
      <c r="L10" s="174">
        <f>L8*IF('03_Сеть'!L7&gt;=ДатаПереходаСтавки,СтавкаРоялтиВсех,СтавкаРоялтиНовых)</f>
        <v/>
      </c>
      <c r="M10" s="174">
        <f>M8*IF('03_Сеть'!M7&gt;=ДатаПереходаСтавки,СтавкаРоялтиВсех,СтавкаРоялтиНовых)</f>
        <v/>
      </c>
      <c r="N10" s="174">
        <f>N8*IF('03_Сеть'!N7&gt;=ДатаПереходаСтавки,СтавкаРоялтиВсех,СтавкаРоялтиНовых)</f>
        <v/>
      </c>
      <c r="O10" s="174">
        <f>O8*IF('03_Сеть'!O7&gt;=ДатаПереходаСтавки,СтавкаРоялтиВсех,СтавкаРоялтиНовых)</f>
        <v/>
      </c>
      <c r="P10" s="174">
        <f>P8*IF('03_Сеть'!P7&gt;=ДатаПереходаСтавки,СтавкаРоялтиВсех,СтавкаРоялтиНовых)</f>
        <v/>
      </c>
      <c r="Q10" s="174">
        <f>Q8*IF('03_Сеть'!Q7&gt;=ДатаПереходаСтавки,СтавкаРоялтиВсех,СтавкаРоялтиНовых)</f>
        <v/>
      </c>
      <c r="R10" s="174">
        <f>R8*IF('03_Сеть'!R7&gt;=ДатаПереходаСтавки,СтавкаРоялтиВсех,СтавкаРоялтиНовых)</f>
        <v/>
      </c>
      <c r="S10" s="174">
        <f>S8*IF('03_Сеть'!S7&gt;=ДатаПереходаСтавки,СтавкаРоялтиВсех,СтавкаРоялтиНовых)</f>
        <v/>
      </c>
      <c r="T10" s="174">
        <f>T8*IF('03_Сеть'!T7&gt;=ДатаПереходаСтавки,СтавкаРоялтиВсех,СтавкаРоялтиНовых)</f>
        <v/>
      </c>
      <c r="U10" s="174">
        <f>U8*IF('03_Сеть'!U7&gt;=ДатаПереходаСтавки,СтавкаРоялтиВсех,СтавкаРоялтиНовых)</f>
        <v/>
      </c>
      <c r="V10" s="174">
        <f>V8*IF('03_Сеть'!V7&gt;=ДатаПереходаСтавки,СтавкаРоялтиВсех,СтавкаРоялтиНовых)</f>
        <v/>
      </c>
      <c r="W10" s="174">
        <f>W8*IF('03_Сеть'!W7&gt;=ДатаПереходаСтавки,СтавкаРоялтиВсех,СтавкаРоялтиНовых)</f>
        <v/>
      </c>
      <c r="X10" s="174">
        <f>X8*IF('03_Сеть'!X7&gt;=ДатаПереходаСтавки,СтавкаРоялтиВсех,СтавкаРоялтиНовых)</f>
        <v/>
      </c>
      <c r="Y10" s="174">
        <f>Y8*IF('03_Сеть'!Y7&gt;=ДатаПереходаСтавки,СтавкаРоялтиВсех,СтавкаРоялтиНовых)</f>
        <v/>
      </c>
      <c r="Z10" s="174">
        <f>Z8*IF('03_Сеть'!Z7&gt;=ДатаПереходаСтавки,СтавкаРоялтиВсех,СтавкаРоялтиНовых)</f>
        <v/>
      </c>
      <c r="AA10" s="174">
        <f>AA8*IF('03_Сеть'!AA7&gt;=ДатаПереходаСтавки,СтавкаРоялтиВсех,СтавкаРоялтиНовых)</f>
        <v/>
      </c>
      <c r="AB10" s="174">
        <f>AB8*IF('03_Сеть'!AB7&gt;=ДатаПереходаСтавки,СтавкаРоялтиВсех,СтавкаРоялтиНовых)</f>
        <v/>
      </c>
      <c r="AC10" s="174">
        <f>AC8*IF('03_Сеть'!AC7&gt;=ДатаПереходаСтавки,СтавкаРоялтиВсех,СтавкаРоялтиНовых)</f>
        <v/>
      </c>
      <c r="AD10" s="174">
        <f>AD8*IF('03_Сеть'!AD7&gt;=ДатаПереходаСтавки,СтавкаРоялтиВсех,СтавкаРоялтиНовых)</f>
        <v/>
      </c>
      <c r="AE10" s="174">
        <f>AE8*IF('03_Сеть'!AE7&gt;=ДатаПереходаСтавки,СтавкаРоялтиВсех,СтавкаРоялтиНовых)</f>
        <v/>
      </c>
      <c r="AF10" s="174">
        <f>AF8*IF('03_Сеть'!AF7&gt;=ДатаПереходаСтавки,СтавкаРоялтиВсех,СтавкаРоялтиНовых)</f>
        <v/>
      </c>
      <c r="AG10" s="174">
        <f>AG8*IF('03_Сеть'!AG7&gt;=ДатаПереходаСтавки,СтавкаРоялтиВсех,СтавкаРоялтиНовых)</f>
        <v/>
      </c>
      <c r="AH10" s="174">
        <f>AH8*IF('03_Сеть'!AH7&gt;=ДатаПереходаСтавки,СтавкаРоялтиВсех,СтавкаРоялтиНовых)</f>
        <v/>
      </c>
      <c r="AI10" s="174">
        <f>AI8*IF('03_Сеть'!AI7&gt;=ДатаПереходаСтавки,СтавкаРоялтиВсех,СтавкаРоялтиНовых)</f>
        <v/>
      </c>
      <c r="AJ10" s="174">
        <f>AJ8*IF('03_Сеть'!AJ7&gt;=ДатаПереходаСтавки,СтавкаРоялтиВсех,СтавкаРоялтиНовых)</f>
        <v/>
      </c>
      <c r="AK10" s="174">
        <f>AK8*IF('03_Сеть'!AK7&gt;=ДатаПереходаСтавки,СтавкаРоялтиВсех,СтавкаРоялтиНовых)</f>
        <v/>
      </c>
      <c r="AL10" s="174">
        <f>AL8*IF('03_Сеть'!AL7&gt;=ДатаПереходаСтавки,СтавкаРоялтиВсех,СтавкаРоялтиНовых)</f>
        <v/>
      </c>
      <c r="AM10" s="174">
        <f>AM8*IF('03_Сеть'!AM7&gt;=ДатаПереходаСтавки,СтавкаРоялтиВсех,СтавкаРоялтиНовых)</f>
        <v/>
      </c>
      <c r="AN10" s="174">
        <f>AN8*IF('03_Сеть'!AN7&gt;=ДатаПереходаСтавки,СтавкаРоялтиВсех,СтавкаРоялтиНовых)</f>
        <v/>
      </c>
      <c r="AO10" s="174">
        <f>AO8*IF('03_Сеть'!AO7&gt;=ДатаПереходаСтавки,СтавкаРоялтиВсех,СтавкаРоялтиНовых)</f>
        <v/>
      </c>
      <c r="AP10" s="174">
        <f>AP8*IF('03_Сеть'!AP7&gt;=ДатаПереходаСтавки,СтавкаРоялтиВсех,СтавкаРоялтиНовых)</f>
        <v/>
      </c>
      <c r="AQ10" s="174">
        <f>AQ8*IF('03_Сеть'!AQ7&gt;=ДатаПереходаСтавки,СтавкаРоялтиВсех,СтавкаРоялтиНовых)</f>
        <v/>
      </c>
      <c r="AR10" s="174">
        <f>AR8*IF('03_Сеть'!AR7&gt;=ДатаПереходаСтавки,СтавкаРоялтиВсех,СтавкаРоялтиНовых)</f>
        <v/>
      </c>
      <c r="AS10" s="174">
        <f>AS8*IF('03_Сеть'!AS7&gt;=ДатаПереходаСтавки,СтавкаРоялтиВсех,СтавкаРоялтиНовых)</f>
        <v/>
      </c>
      <c r="AT10" s="174">
        <f>AT8*IF('03_Сеть'!AT7&gt;=ДатаПереходаСтавки,СтавкаРоялтиВсех,СтавкаРоялтиНовых)</f>
        <v/>
      </c>
      <c r="AU10" s="174">
        <f>AU8*IF('03_Сеть'!AU7&gt;=ДатаПереходаСтавки,СтавкаРоялтиВсех,СтавкаРоялтиНовых)</f>
        <v/>
      </c>
      <c r="AV10" s="174">
        <f>AV8*IF('03_Сеть'!AV7&gt;=ДатаПереходаСтавки,СтавкаРоялтиВсех,СтавкаРоялтиНовых)</f>
        <v/>
      </c>
      <c r="AW10" s="174">
        <f>AW8*IF('03_Сеть'!AW7&gt;=ДатаПереходаСтавки,СтавкаРоялтиВсех,СтавкаРоялтиНовых)</f>
        <v/>
      </c>
      <c r="AX10" s="174">
        <f>AX8*IF('03_Сеть'!AX7&gt;=ДатаПереходаСтавки,СтавкаРоялтиВсех,СтавкаРоялтиНовых)</f>
        <v/>
      </c>
      <c r="AY10" s="174">
        <f>AY8*IF('03_Сеть'!AY7&gt;=ДатаПереходаСтавки,СтавкаРоялтиВсех,СтавкаРоялтиНовых)</f>
        <v/>
      </c>
      <c r="AZ10" s="174">
        <f>AZ8*IF('03_Сеть'!AZ7&gt;=ДатаПереходаСтавки,СтавкаРоялтиВсех,СтавкаРоялтиНовых)</f>
        <v/>
      </c>
      <c r="BA10" s="174">
        <f>BA8*IF('03_Сеть'!BA7&gt;=ДатаПереходаСтавки,СтавкаРоялтиВсех,СтавкаРоялтиНовых)</f>
        <v/>
      </c>
      <c r="BB10" s="174">
        <f>BB8*IF('03_Сеть'!BB7&gt;=ДатаПереходаСтавки,СтавкаРоялтиВсех,СтавкаРоялтиНовых)</f>
        <v/>
      </c>
      <c r="BC10" s="174">
        <f>BC8*IF('03_Сеть'!BC7&gt;=ДатаПереходаСтавки,СтавкаРоялтиВсех,СтавкаРоялтиНовых)</f>
        <v/>
      </c>
      <c r="BD10" s="174">
        <f>BD8*IF('03_Сеть'!BD7&gt;=ДатаПереходаСтавки,СтавкаРоялтиВсех,СтавкаРоялтиНовых)</f>
        <v/>
      </c>
      <c r="BE10" s="174">
        <f>BE8*IF('03_Сеть'!BE7&gt;=ДатаПереходаСтавки,СтавкаРоялтиВсех,СтавкаРоялтиНовых)</f>
        <v/>
      </c>
      <c r="BF10" s="174">
        <f>BF8*IF('03_Сеть'!BF7&gt;=ДатаПереходаСтавки,СтавкаРоялтиВсех,СтавкаРоялтиНовых)</f>
        <v/>
      </c>
      <c r="BG10" s="174">
        <f>BG8*IF('03_Сеть'!BG7&gt;=ДатаПереходаСтавки,СтавкаРоялтиВсех,СтавкаРоялтиНовых)</f>
        <v/>
      </c>
      <c r="BH10" s="174">
        <f>BH8*IF('03_Сеть'!BH7&gt;=ДатаПереходаСтавки,СтавкаРоялтиВсех,СтавкаРоялтиНовых)</f>
        <v/>
      </c>
      <c r="BI10" s="174">
        <f>BI8*IF('03_Сеть'!BI7&gt;=ДатаПереходаСтавки,СтавкаРоялтиВсех,СтавкаРоялтиНовых)</f>
        <v/>
      </c>
      <c r="BJ10" s="174">
        <f>BJ8*IF('03_Сеть'!BJ7&gt;=ДатаПереходаСтавки,СтавкаРоялтиВсех,СтавкаРоялтиНовых)</f>
        <v/>
      </c>
      <c r="BK10" s="174">
        <f>BK8*IF('03_Сеть'!BK7&gt;=ДатаПереходаСтавки,СтавкаРоялтиВсех,СтавкаРоялтиНовых)</f>
        <v/>
      </c>
      <c r="BL10" s="174">
        <f>BL8*IF('03_Сеть'!BL7&gt;=ДатаПереходаСтавки,СтавкаРоялтиВсех,СтавкаРоялтиНовых)</f>
        <v/>
      </c>
      <c r="BM10" s="174">
        <f>BM8*IF('03_Сеть'!BM7&gt;=ДатаПереходаСтавки,СтавкаРоялтиВсех,СтавкаРоялтиНовых)</f>
        <v/>
      </c>
      <c r="BN10" s="174">
        <f>BN8*IF('03_Сеть'!BN7&gt;=ДатаПереходаСтавки,СтавкаРоялтиВсех,СтавкаРоялтиНовых)</f>
        <v/>
      </c>
      <c r="BO10" s="174">
        <f>BO8*IF('03_Сеть'!BO7&gt;=ДатаПереходаСтавки,СтавкаРоялтиВсех,СтавкаРоялтиНовых)</f>
        <v/>
      </c>
      <c r="BP10" s="174">
        <f>BP8*IF('03_Сеть'!BP7&gt;=ДатаПереходаСтавки,СтавкаРоялтиВсех,СтавкаРоялтиНовых)</f>
        <v/>
      </c>
      <c r="BQ10" s="174">
        <f>BQ8*IF('03_Сеть'!BQ7&gt;=ДатаПереходаСтавки,СтавкаРоялтиВсех,СтавкаРоялтиНовых)</f>
        <v/>
      </c>
      <c r="BR10" s="174">
        <f>BR8*IF('03_Сеть'!BR7&gt;=ДатаПереходаСтавки,СтавкаРоялтиВсех,СтавкаРоялтиНовых)</f>
        <v/>
      </c>
      <c r="BS10" s="174">
        <f>BS8*IF('03_Сеть'!BS7&gt;=ДатаПереходаСтавки,СтавкаРоялтиВсех,СтавкаРоялтиНовых)</f>
        <v/>
      </c>
      <c r="BT10" s="174">
        <f>BT8*IF('03_Сеть'!BT7&gt;=ДатаПереходаСтавки,СтавкаРоялтиВсех,СтавкаРоялтиНовых)</f>
        <v/>
      </c>
      <c r="BU10" s="174">
        <f>BU8*IF('03_Сеть'!BU7&gt;=ДатаПереходаСтавки,СтавкаРоялтиВсех,СтавкаРоялтиНовых)</f>
        <v/>
      </c>
      <c r="BV10" s="174">
        <f>BV8*IF('03_Сеть'!BV7&gt;=ДатаПереходаСтавки,СтавкаРоялтиВсех,СтавкаРоялтиНовых)</f>
        <v/>
      </c>
      <c r="BW10" s="174">
        <f>BW8*IF('03_Сеть'!BW7&gt;=ДатаПереходаСтавки,СтавкаРоялтиВсех,СтавкаРоялтиНовых)</f>
        <v/>
      </c>
      <c r="BX10" s="174">
        <f>BX8*IF('03_Сеть'!BX7&gt;=ДатаПереходаСтавки,СтавкаРоялтиВсех,СтавкаРоялтиНовых)</f>
        <v/>
      </c>
      <c r="BY10" s="174">
        <f>BY8*IF('03_Сеть'!BY7&gt;=ДатаПереходаСтавки,СтавкаРоялтиВсех,СтавкаРоялтиНовых)</f>
        <v/>
      </c>
    </row>
    <row r="12">
      <c r="B12" s="54" t="inlineStr">
        <is>
          <t>Паушальные взносы</t>
        </is>
      </c>
      <c r="C12" s="55" t="n"/>
      <c r="D12" s="55" t="n"/>
      <c r="E12" s="55" t="n"/>
      <c r="F12" s="55" t="n"/>
      <c r="G12" s="55" t="n"/>
      <c r="H12" s="55" t="n"/>
      <c r="I12" s="55" t="n"/>
      <c r="J12" s="55" t="n"/>
      <c r="K12" s="55" t="n"/>
      <c r="L12" s="55" t="n"/>
      <c r="M12" s="55" t="n"/>
      <c r="N12" s="55" t="n"/>
      <c r="O12" s="55" t="n"/>
      <c r="P12" s="55" t="n"/>
      <c r="Q12" s="55" t="n"/>
      <c r="R12" s="55" t="n"/>
      <c r="S12" s="55" t="n"/>
      <c r="T12" s="55" t="n"/>
      <c r="U12" s="55" t="n"/>
      <c r="V12" s="55" t="n"/>
      <c r="W12" s="55" t="n"/>
      <c r="X12" s="55" t="n"/>
      <c r="Y12" s="55" t="n"/>
      <c r="Z12" s="55" t="n"/>
      <c r="AA12" s="55" t="n"/>
      <c r="AB12" s="55" t="n"/>
      <c r="AC12" s="55" t="n"/>
      <c r="AD12" s="55" t="n"/>
      <c r="AE12" s="55" t="n"/>
      <c r="AF12" s="55" t="n"/>
      <c r="AG12" s="55" t="n"/>
      <c r="AH12" s="55" t="n"/>
      <c r="AI12" s="55" t="n"/>
      <c r="AJ12" s="55" t="n"/>
      <c r="AK12" s="55" t="n"/>
      <c r="AL12" s="55" t="n"/>
      <c r="AM12" s="55" t="n"/>
      <c r="AN12" s="55" t="n"/>
      <c r="AO12" s="55" t="n"/>
      <c r="AP12" s="55" t="n"/>
      <c r="AQ12" s="55" t="n"/>
      <c r="AR12" s="55" t="n"/>
      <c r="AS12" s="55" t="n"/>
      <c r="AT12" s="55" t="n"/>
      <c r="AU12" s="55" t="n"/>
      <c r="AV12" s="55" t="n"/>
      <c r="AW12" s="55" t="n"/>
      <c r="AX12" s="55" t="n"/>
      <c r="AY12" s="55" t="n"/>
      <c r="AZ12" s="55" t="n"/>
      <c r="BA12" s="55" t="n"/>
      <c r="BB12" s="55" t="n"/>
      <c r="BC12" s="55" t="n"/>
      <c r="BD12" s="55" t="n"/>
      <c r="BE12" s="55" t="n"/>
      <c r="BF12" s="55" t="n"/>
      <c r="BG12" s="55" t="n"/>
      <c r="BH12" s="55" t="n"/>
      <c r="BI12" s="55" t="n"/>
      <c r="BJ12" s="55" t="n"/>
      <c r="BK12" s="55" t="n"/>
      <c r="BL12" s="55" t="n"/>
      <c r="BM12" s="55" t="n"/>
      <c r="BN12" s="55" t="n"/>
      <c r="BO12" s="55" t="n"/>
      <c r="BP12" s="55" t="n"/>
      <c r="BQ12" s="55" t="n"/>
      <c r="BR12" s="55" t="n"/>
      <c r="BS12" s="55" t="n"/>
      <c r="BT12" s="55" t="n"/>
      <c r="BU12" s="55" t="n"/>
      <c r="BV12" s="55" t="n"/>
      <c r="BW12" s="55" t="n"/>
      <c r="BX12" s="55" t="n"/>
      <c r="BY12" s="55" t="n"/>
    </row>
    <row r="13">
      <c r="B13" s="56" t="inlineStr">
        <is>
          <t>Паушальные взносы, с НДС</t>
        </is>
      </c>
      <c r="C13" s="56" t="inlineStr">
        <is>
          <t>₽</t>
        </is>
      </c>
      <c r="D13" s="57" t="inlineStr">
        <is>
          <t>Продажи месяца по тарифу из справочника</t>
        </is>
      </c>
      <c r="E13" s="85">
        <f>SUM(L13:W13)</f>
        <v/>
      </c>
      <c r="F13" s="85">
        <f>SUM(X13:AI13)</f>
        <v/>
      </c>
      <c r="G13" s="85">
        <f>SUM(AJ13:AU13)</f>
        <v/>
      </c>
      <c r="H13" s="85">
        <f>SUM(AV13:BG13)</f>
        <v/>
      </c>
      <c r="I13" s="85">
        <f>SUM(BH13:BS13)</f>
        <v/>
      </c>
      <c r="J13" s="86">
        <f>SUM(L13:BS13)</f>
        <v/>
      </c>
      <c r="L13" s="87">
        <f>'03_Сеть'!L13*'07_Тарифы'!B$6</f>
        <v/>
      </c>
      <c r="M13" s="87">
        <f>'03_Сеть'!M13*'07_Тарифы'!C$6</f>
        <v/>
      </c>
      <c r="N13" s="87">
        <f>'03_Сеть'!N13*'07_Тарифы'!D$6</f>
        <v/>
      </c>
      <c r="O13" s="87">
        <f>'03_Сеть'!O13*'07_Тарифы'!E$6</f>
        <v/>
      </c>
      <c r="P13" s="87">
        <f>'03_Сеть'!P13*'07_Тарифы'!F$6</f>
        <v/>
      </c>
      <c r="Q13" s="87">
        <f>'03_Сеть'!Q13*'07_Тарифы'!G$6</f>
        <v/>
      </c>
      <c r="R13" s="87">
        <f>'03_Сеть'!R13*'07_Тарифы'!H$6</f>
        <v/>
      </c>
      <c r="S13" s="87">
        <f>'03_Сеть'!S13*'07_Тарифы'!I$6</f>
        <v/>
      </c>
      <c r="T13" s="87">
        <f>'03_Сеть'!T13*'07_Тарифы'!J$6</f>
        <v/>
      </c>
      <c r="U13" s="87">
        <f>'03_Сеть'!U13*'07_Тарифы'!K$6</f>
        <v/>
      </c>
      <c r="V13" s="87">
        <f>'03_Сеть'!V13*'07_Тарифы'!L$6</f>
        <v/>
      </c>
      <c r="W13" s="87">
        <f>'03_Сеть'!W13*'07_Тарифы'!M$6</f>
        <v/>
      </c>
      <c r="X13" s="87">
        <f>'03_Сеть'!X13*'07_Тарифы'!N$6</f>
        <v/>
      </c>
      <c r="Y13" s="87">
        <f>'03_Сеть'!Y13*'07_Тарифы'!O$6</f>
        <v/>
      </c>
      <c r="Z13" s="87">
        <f>'03_Сеть'!Z13*'07_Тарифы'!P$6</f>
        <v/>
      </c>
      <c r="AA13" s="87">
        <f>'03_Сеть'!AA13*'07_Тарифы'!Q$6</f>
        <v/>
      </c>
      <c r="AB13" s="87">
        <f>'03_Сеть'!AB13*'07_Тарифы'!R$6</f>
        <v/>
      </c>
      <c r="AC13" s="87">
        <f>'03_Сеть'!AC13*'07_Тарифы'!S$6</f>
        <v/>
      </c>
      <c r="AD13" s="87">
        <f>'03_Сеть'!AD13*'07_Тарифы'!T$6</f>
        <v/>
      </c>
      <c r="AE13" s="87">
        <f>'03_Сеть'!AE13*'07_Тарифы'!U$6</f>
        <v/>
      </c>
      <c r="AF13" s="87">
        <f>'03_Сеть'!AF13*'07_Тарифы'!V$6</f>
        <v/>
      </c>
      <c r="AG13" s="87">
        <f>'03_Сеть'!AG13*'07_Тарифы'!W$6</f>
        <v/>
      </c>
      <c r="AH13" s="87">
        <f>'03_Сеть'!AH13*'07_Тарифы'!X$6</f>
        <v/>
      </c>
      <c r="AI13" s="87">
        <f>'03_Сеть'!AI13*'07_Тарифы'!Y$6</f>
        <v/>
      </c>
      <c r="AJ13" s="87">
        <f>'03_Сеть'!AJ13*'07_Тарифы'!Z$6</f>
        <v/>
      </c>
      <c r="AK13" s="87">
        <f>'03_Сеть'!AK13*'07_Тарифы'!AA$6</f>
        <v/>
      </c>
      <c r="AL13" s="87">
        <f>'03_Сеть'!AL13*'07_Тарифы'!AB$6</f>
        <v/>
      </c>
      <c r="AM13" s="87">
        <f>'03_Сеть'!AM13*'07_Тарифы'!AC$6</f>
        <v/>
      </c>
      <c r="AN13" s="87">
        <f>'03_Сеть'!AN13*'07_Тарифы'!AD$6</f>
        <v/>
      </c>
      <c r="AO13" s="87">
        <f>'03_Сеть'!AO13*'07_Тарифы'!AE$6</f>
        <v/>
      </c>
      <c r="AP13" s="87">
        <f>'03_Сеть'!AP13*'07_Тарифы'!AF$6</f>
        <v/>
      </c>
      <c r="AQ13" s="87">
        <f>'03_Сеть'!AQ13*'07_Тарифы'!AG$6</f>
        <v/>
      </c>
      <c r="AR13" s="87">
        <f>'03_Сеть'!AR13*'07_Тарифы'!AH$6</f>
        <v/>
      </c>
      <c r="AS13" s="87">
        <f>'03_Сеть'!AS13*'07_Тарифы'!AI$6</f>
        <v/>
      </c>
      <c r="AT13" s="87">
        <f>'03_Сеть'!AT13*'07_Тарифы'!AJ$6</f>
        <v/>
      </c>
      <c r="AU13" s="87">
        <f>'03_Сеть'!AU13*'07_Тарифы'!AK$6</f>
        <v/>
      </c>
      <c r="AV13" s="87">
        <f>'03_Сеть'!AV13*'07_Тарифы'!AL$6</f>
        <v/>
      </c>
      <c r="AW13" s="87">
        <f>'03_Сеть'!AW13*'07_Тарифы'!AM$6</f>
        <v/>
      </c>
      <c r="AX13" s="87">
        <f>'03_Сеть'!AX13*'07_Тарифы'!AN$6</f>
        <v/>
      </c>
      <c r="AY13" s="87">
        <f>'03_Сеть'!AY13*'07_Тарифы'!AO$6</f>
        <v/>
      </c>
      <c r="AZ13" s="87">
        <f>'03_Сеть'!AZ13*'07_Тарифы'!AP$6</f>
        <v/>
      </c>
      <c r="BA13" s="87">
        <f>'03_Сеть'!BA13*'07_Тарифы'!AQ$6</f>
        <v/>
      </c>
      <c r="BB13" s="87">
        <f>'03_Сеть'!BB13*'07_Тарифы'!AR$6</f>
        <v/>
      </c>
      <c r="BC13" s="87">
        <f>'03_Сеть'!BC13*'07_Тарифы'!AS$6</f>
        <v/>
      </c>
      <c r="BD13" s="87">
        <f>'03_Сеть'!BD13*'07_Тарифы'!AT$6</f>
        <v/>
      </c>
      <c r="BE13" s="87">
        <f>'03_Сеть'!BE13*'07_Тарифы'!AU$6</f>
        <v/>
      </c>
      <c r="BF13" s="87">
        <f>'03_Сеть'!BF13*'07_Тарифы'!AV$6</f>
        <v/>
      </c>
      <c r="BG13" s="87">
        <f>'03_Сеть'!BG13*'07_Тарифы'!AW$6</f>
        <v/>
      </c>
      <c r="BH13" s="87">
        <f>'03_Сеть'!BH13*'07_Тарифы'!AX$6</f>
        <v/>
      </c>
      <c r="BI13" s="87">
        <f>'03_Сеть'!BI13*'07_Тарифы'!AY$6</f>
        <v/>
      </c>
      <c r="BJ13" s="87">
        <f>'03_Сеть'!BJ13*'07_Тарифы'!AZ$6</f>
        <v/>
      </c>
      <c r="BK13" s="87">
        <f>'03_Сеть'!BK13*'07_Тарифы'!BA$6</f>
        <v/>
      </c>
      <c r="BL13" s="87">
        <f>'03_Сеть'!BL13*'07_Тарифы'!BB$6</f>
        <v/>
      </c>
      <c r="BM13" s="87">
        <f>'03_Сеть'!BM13*'07_Тарифы'!BC$6</f>
        <v/>
      </c>
      <c r="BN13" s="87">
        <f>'03_Сеть'!BN13*'07_Тарифы'!BD$6</f>
        <v/>
      </c>
      <c r="BO13" s="87">
        <f>'03_Сеть'!BO13*'07_Тарифы'!BE$6</f>
        <v/>
      </c>
      <c r="BP13" s="87">
        <f>'03_Сеть'!BP13*'07_Тарифы'!BF$6</f>
        <v/>
      </c>
      <c r="BQ13" s="87">
        <f>'03_Сеть'!BQ13*'07_Тарифы'!BG$6</f>
        <v/>
      </c>
      <c r="BR13" s="87">
        <f>'03_Сеть'!BR13*'07_Тарифы'!BH$6</f>
        <v/>
      </c>
      <c r="BS13" s="87">
        <f>'03_Сеть'!BS13*'07_Тарифы'!BI$6</f>
        <v/>
      </c>
      <c r="BT13" s="87">
        <f>'03_Сеть'!BT13*'07_Тарифы'!BJ$6</f>
        <v/>
      </c>
      <c r="BU13" s="87">
        <f>'03_Сеть'!BU13*'07_Тарифы'!BK$6</f>
        <v/>
      </c>
      <c r="BV13" s="87">
        <f>'03_Сеть'!BV13*'07_Тарифы'!BL$6</f>
        <v/>
      </c>
      <c r="BW13" s="87">
        <f>'03_Сеть'!BW13*'07_Тарифы'!BM$6</f>
        <v/>
      </c>
      <c r="BX13" s="87">
        <f>'03_Сеть'!BX13*'07_Тарифы'!BN$6</f>
        <v/>
      </c>
      <c r="BY13" s="87">
        <f>'03_Сеть'!BY13*'07_Тарифы'!BO$6</f>
        <v/>
      </c>
    </row>
    <row r="14">
      <c r="B14" s="130" t="inlineStr">
        <is>
          <t>Паушальные взносы, без НДС</t>
        </is>
      </c>
      <c r="C14" s="130" t="inlineStr">
        <is>
          <t>₽</t>
        </is>
      </c>
      <c r="D14" s="156" t="n"/>
      <c r="E14" s="157">
        <f>SUM(L14:W14)</f>
        <v/>
      </c>
      <c r="F14" s="157">
        <f>SUM(X14:AI14)</f>
        <v/>
      </c>
      <c r="G14" s="157">
        <f>SUM(AJ14:AU14)</f>
        <v/>
      </c>
      <c r="H14" s="157">
        <f>SUM(AV14:BG14)</f>
        <v/>
      </c>
      <c r="I14" s="157">
        <f>SUM(BH14:BS14)</f>
        <v/>
      </c>
      <c r="J14" s="134">
        <f>SUM(L14:BS14)</f>
        <v/>
      </c>
      <c r="L14" s="133">
        <f>L13/(1+НДС)</f>
        <v/>
      </c>
      <c r="M14" s="133">
        <f>M13/(1+НДС)</f>
        <v/>
      </c>
      <c r="N14" s="133">
        <f>N13/(1+НДС)</f>
        <v/>
      </c>
      <c r="O14" s="133">
        <f>O13/(1+НДС)</f>
        <v/>
      </c>
      <c r="P14" s="133">
        <f>P13/(1+НДС)</f>
        <v/>
      </c>
      <c r="Q14" s="133">
        <f>Q13/(1+НДС)</f>
        <v/>
      </c>
      <c r="R14" s="133">
        <f>R13/(1+НДС)</f>
        <v/>
      </c>
      <c r="S14" s="133">
        <f>S13/(1+НДС)</f>
        <v/>
      </c>
      <c r="T14" s="133">
        <f>T13/(1+НДС)</f>
        <v/>
      </c>
      <c r="U14" s="133">
        <f>U13/(1+НДС)</f>
        <v/>
      </c>
      <c r="V14" s="133">
        <f>V13/(1+НДС)</f>
        <v/>
      </c>
      <c r="W14" s="133">
        <f>W13/(1+НДС)</f>
        <v/>
      </c>
      <c r="X14" s="133">
        <f>X13/(1+НДС)</f>
        <v/>
      </c>
      <c r="Y14" s="133">
        <f>Y13/(1+НДС)</f>
        <v/>
      </c>
      <c r="Z14" s="133">
        <f>Z13/(1+НДС)</f>
        <v/>
      </c>
      <c r="AA14" s="133">
        <f>AA13/(1+НДС)</f>
        <v/>
      </c>
      <c r="AB14" s="133">
        <f>AB13/(1+НДС)</f>
        <v/>
      </c>
      <c r="AC14" s="133">
        <f>AC13/(1+НДС)</f>
        <v/>
      </c>
      <c r="AD14" s="133">
        <f>AD13/(1+НДС)</f>
        <v/>
      </c>
      <c r="AE14" s="133">
        <f>AE13/(1+НДС)</f>
        <v/>
      </c>
      <c r="AF14" s="133">
        <f>AF13/(1+НДС)</f>
        <v/>
      </c>
      <c r="AG14" s="133">
        <f>AG13/(1+НДС)</f>
        <v/>
      </c>
      <c r="AH14" s="133">
        <f>AH13/(1+НДС)</f>
        <v/>
      </c>
      <c r="AI14" s="133">
        <f>AI13/(1+НДС)</f>
        <v/>
      </c>
      <c r="AJ14" s="133">
        <f>AJ13/(1+НДС)</f>
        <v/>
      </c>
      <c r="AK14" s="133">
        <f>AK13/(1+НДС)</f>
        <v/>
      </c>
      <c r="AL14" s="133">
        <f>AL13/(1+НДС)</f>
        <v/>
      </c>
      <c r="AM14" s="133">
        <f>AM13/(1+НДС)</f>
        <v/>
      </c>
      <c r="AN14" s="133">
        <f>AN13/(1+НДС)</f>
        <v/>
      </c>
      <c r="AO14" s="133">
        <f>AO13/(1+НДС)</f>
        <v/>
      </c>
      <c r="AP14" s="133">
        <f>AP13/(1+НДС)</f>
        <v/>
      </c>
      <c r="AQ14" s="133">
        <f>AQ13/(1+НДС)</f>
        <v/>
      </c>
      <c r="AR14" s="133">
        <f>AR13/(1+НДС)</f>
        <v/>
      </c>
      <c r="AS14" s="133">
        <f>AS13/(1+НДС)</f>
        <v/>
      </c>
      <c r="AT14" s="133">
        <f>AT13/(1+НДС)</f>
        <v/>
      </c>
      <c r="AU14" s="133">
        <f>AU13/(1+НДС)</f>
        <v/>
      </c>
      <c r="AV14" s="133">
        <f>AV13/(1+НДС)</f>
        <v/>
      </c>
      <c r="AW14" s="133">
        <f>AW13/(1+НДС)</f>
        <v/>
      </c>
      <c r="AX14" s="133">
        <f>AX13/(1+НДС)</f>
        <v/>
      </c>
      <c r="AY14" s="133">
        <f>AY13/(1+НДС)</f>
        <v/>
      </c>
      <c r="AZ14" s="133">
        <f>AZ13/(1+НДС)</f>
        <v/>
      </c>
      <c r="BA14" s="133">
        <f>BA13/(1+НДС)</f>
        <v/>
      </c>
      <c r="BB14" s="133">
        <f>BB13/(1+НДС)</f>
        <v/>
      </c>
      <c r="BC14" s="133">
        <f>BC13/(1+НДС)</f>
        <v/>
      </c>
      <c r="BD14" s="133">
        <f>BD13/(1+НДС)</f>
        <v/>
      </c>
      <c r="BE14" s="133">
        <f>BE13/(1+НДС)</f>
        <v/>
      </c>
      <c r="BF14" s="133">
        <f>BF13/(1+НДС)</f>
        <v/>
      </c>
      <c r="BG14" s="133">
        <f>BG13/(1+НДС)</f>
        <v/>
      </c>
      <c r="BH14" s="133">
        <f>BH13/(1+НДС)</f>
        <v/>
      </c>
      <c r="BI14" s="133">
        <f>BI13/(1+НДС)</f>
        <v/>
      </c>
      <c r="BJ14" s="133">
        <f>BJ13/(1+НДС)</f>
        <v/>
      </c>
      <c r="BK14" s="133">
        <f>BK13/(1+НДС)</f>
        <v/>
      </c>
      <c r="BL14" s="133">
        <f>BL13/(1+НДС)</f>
        <v/>
      </c>
      <c r="BM14" s="133">
        <f>BM13/(1+НДС)</f>
        <v/>
      </c>
      <c r="BN14" s="133">
        <f>BN13/(1+НДС)</f>
        <v/>
      </c>
      <c r="BO14" s="133">
        <f>BO13/(1+НДС)</f>
        <v/>
      </c>
      <c r="BP14" s="133">
        <f>BP13/(1+НДС)</f>
        <v/>
      </c>
      <c r="BQ14" s="133">
        <f>BQ13/(1+НДС)</f>
        <v/>
      </c>
      <c r="BR14" s="133">
        <f>BR13/(1+НДС)</f>
        <v/>
      </c>
      <c r="BS14" s="133">
        <f>BS13/(1+НДС)</f>
        <v/>
      </c>
      <c r="BT14" s="133">
        <f>BT13/(1+НДС)</f>
        <v/>
      </c>
      <c r="BU14" s="133">
        <f>BU13/(1+НДС)</f>
        <v/>
      </c>
      <c r="BV14" s="133">
        <f>BV13/(1+НДС)</f>
        <v/>
      </c>
      <c r="BW14" s="133">
        <f>BW13/(1+НДС)</f>
        <v/>
      </c>
      <c r="BX14" s="133">
        <f>BX13/(1+НДС)</f>
        <v/>
      </c>
      <c r="BY14" s="133">
        <f>BY13/(1+НДС)</f>
        <v/>
      </c>
    </row>
    <row r="16">
      <c r="B16" s="54" t="inlineStr">
        <is>
          <t>Роялти действующей сети</t>
        </is>
      </c>
      <c r="C16" s="55" t="n"/>
      <c r="D16" s="55" t="n"/>
      <c r="E16" s="55" t="n"/>
      <c r="F16" s="55" t="n"/>
      <c r="G16" s="55" t="n"/>
      <c r="H16" s="55" t="n"/>
      <c r="I16" s="55" t="n"/>
      <c r="J16" s="55" t="n"/>
      <c r="K16" s="55" t="n"/>
      <c r="L16" s="55" t="n"/>
      <c r="M16" s="55" t="n"/>
      <c r="N16" s="55" t="n"/>
      <c r="O16" s="55" t="n"/>
      <c r="P16" s="55" t="n"/>
      <c r="Q16" s="55" t="n"/>
      <c r="R16" s="55" t="n"/>
      <c r="S16" s="55" t="n"/>
      <c r="T16" s="55" t="n"/>
      <c r="U16" s="55" t="n"/>
      <c r="V16" s="55" t="n"/>
      <c r="W16" s="55" t="n"/>
      <c r="X16" s="55" t="n"/>
      <c r="Y16" s="55" t="n"/>
      <c r="Z16" s="55" t="n"/>
      <c r="AA16" s="55" t="n"/>
      <c r="AB16" s="55" t="n"/>
      <c r="AC16" s="55" t="n"/>
      <c r="AD16" s="55" t="n"/>
      <c r="AE16" s="55" t="n"/>
      <c r="AF16" s="55" t="n"/>
      <c r="AG16" s="55" t="n"/>
      <c r="AH16" s="55" t="n"/>
      <c r="AI16" s="55" t="n"/>
      <c r="AJ16" s="55" t="n"/>
      <c r="AK16" s="55" t="n"/>
      <c r="AL16" s="55" t="n"/>
      <c r="AM16" s="55" t="n"/>
      <c r="AN16" s="55" t="n"/>
      <c r="AO16" s="55" t="n"/>
      <c r="AP16" s="55" t="n"/>
      <c r="AQ16" s="55" t="n"/>
      <c r="AR16" s="55" t="n"/>
      <c r="AS16" s="55" t="n"/>
      <c r="AT16" s="55" t="n"/>
      <c r="AU16" s="55" t="n"/>
      <c r="AV16" s="55" t="n"/>
      <c r="AW16" s="55" t="n"/>
      <c r="AX16" s="55" t="n"/>
      <c r="AY16" s="55" t="n"/>
      <c r="AZ16" s="55" t="n"/>
      <c r="BA16" s="55" t="n"/>
      <c r="BB16" s="55" t="n"/>
      <c r="BC16" s="55" t="n"/>
      <c r="BD16" s="55" t="n"/>
      <c r="BE16" s="55" t="n"/>
      <c r="BF16" s="55" t="n"/>
      <c r="BG16" s="55" t="n"/>
      <c r="BH16" s="55" t="n"/>
      <c r="BI16" s="55" t="n"/>
      <c r="BJ16" s="55" t="n"/>
      <c r="BK16" s="55" t="n"/>
      <c r="BL16" s="55" t="n"/>
      <c r="BM16" s="55" t="n"/>
      <c r="BN16" s="55" t="n"/>
      <c r="BO16" s="55" t="n"/>
      <c r="BP16" s="55" t="n"/>
      <c r="BQ16" s="55" t="n"/>
      <c r="BR16" s="55" t="n"/>
      <c r="BS16" s="55" t="n"/>
      <c r="BT16" s="55" t="n"/>
      <c r="BU16" s="55" t="n"/>
      <c r="BV16" s="55" t="n"/>
      <c r="BW16" s="55" t="n"/>
      <c r="BX16" s="55" t="n"/>
      <c r="BY16" s="55" t="n"/>
    </row>
    <row r="17">
      <c r="B17" s="56" t="inlineStr">
        <is>
          <t>Роялти действующей сети, с НДС</t>
        </is>
      </c>
      <c r="C17" s="56" t="inlineStr">
        <is>
          <t>₽</t>
        </is>
      </c>
      <c r="D17" s="57" t="inlineStr">
        <is>
          <t>По каждой группе точек начисления: процент с выручки группы, но не меньше суммы фиксов этой группы. Профиль групп — раздел 16 вводных.</t>
        </is>
      </c>
      <c r="E17" s="85">
        <f>SUM(L17:W17)</f>
        <v/>
      </c>
      <c r="F17" s="85">
        <f>SUM(X17:AI17)</f>
        <v/>
      </c>
      <c r="G17" s="85">
        <f>SUM(AJ17:AU17)</f>
        <v/>
      </c>
      <c r="H17" s="85">
        <f>SUM(AV17:BG17)</f>
        <v/>
      </c>
      <c r="I17" s="85">
        <f>SUM(BH17:BS17)</f>
        <v/>
      </c>
      <c r="J17" s="86">
        <f>SUM(L17:BS17)</f>
        <v/>
      </c>
      <c r="L17" s="87">
        <f>SUMPRODUCT((ГруппыФикс*ГруппыТочек*IF(ШколыСтарт=0,0,'03_Сеть'!L18/ШколыСтарт)+('03_Сеть'!L20*'07_Тарифы'!B$8)*ГруппыДоля*(ГруппыСтавка*('03_Сеть'!L7&lt;ДатаПереходаСтавки)+СтавкаРоялтиВсех*('03_Сеть'!L7&gt;=ДатаПереходаСтавки))+ABS(ГруппыФикс*ГруппыТочек*IF(ШколыСтарт=0,0,'03_Сеть'!L18/ШколыСтарт)-('03_Сеть'!L20*'07_Тарифы'!B$8)*ГруппыДоля*(ГруппыСтавка*('03_Сеть'!L7&lt;ДатаПереходаСтавки)+СтавкаРоялтиВсех*('03_Сеть'!L7&gt;=ДатаПереходаСтавки))))/2)</f>
        <v/>
      </c>
      <c r="M17" s="87">
        <f>SUMPRODUCT((ГруппыФикс*ГруппыТочек*IF(ШколыСтарт=0,0,'03_Сеть'!M18/ШколыСтарт)+('03_Сеть'!M20*'07_Тарифы'!C$8)*ГруппыДоля*(ГруппыСтавка*('03_Сеть'!M7&lt;ДатаПереходаСтавки)+СтавкаРоялтиВсех*('03_Сеть'!M7&gt;=ДатаПереходаСтавки))+ABS(ГруппыФикс*ГруппыТочек*IF(ШколыСтарт=0,0,'03_Сеть'!M18/ШколыСтарт)-('03_Сеть'!M20*'07_Тарифы'!C$8)*ГруппыДоля*(ГруппыСтавка*('03_Сеть'!M7&lt;ДатаПереходаСтавки)+СтавкаРоялтиВсех*('03_Сеть'!M7&gt;=ДатаПереходаСтавки))))/2)</f>
        <v/>
      </c>
      <c r="N17" s="87">
        <f>SUMPRODUCT((ГруппыФикс*ГруппыТочек*IF(ШколыСтарт=0,0,'03_Сеть'!N18/ШколыСтарт)+('03_Сеть'!N20*'07_Тарифы'!D$8)*ГруппыДоля*(ГруппыСтавка*('03_Сеть'!N7&lt;ДатаПереходаСтавки)+СтавкаРоялтиВсех*('03_Сеть'!N7&gt;=ДатаПереходаСтавки))+ABS(ГруппыФикс*ГруппыТочек*IF(ШколыСтарт=0,0,'03_Сеть'!N18/ШколыСтарт)-('03_Сеть'!N20*'07_Тарифы'!D$8)*ГруппыДоля*(ГруппыСтавка*('03_Сеть'!N7&lt;ДатаПереходаСтавки)+СтавкаРоялтиВсех*('03_Сеть'!N7&gt;=ДатаПереходаСтавки))))/2)</f>
        <v/>
      </c>
      <c r="O17" s="87">
        <f>SUMPRODUCT((ГруппыФикс*ГруппыТочек*IF(ШколыСтарт=0,0,'03_Сеть'!O18/ШколыСтарт)+('03_Сеть'!O20*'07_Тарифы'!E$8)*ГруппыДоля*(ГруппыСтавка*('03_Сеть'!O7&lt;ДатаПереходаСтавки)+СтавкаРоялтиВсех*('03_Сеть'!O7&gt;=ДатаПереходаСтавки))+ABS(ГруппыФикс*ГруппыТочек*IF(ШколыСтарт=0,0,'03_Сеть'!O18/ШколыСтарт)-('03_Сеть'!O20*'07_Тарифы'!E$8)*ГруппыДоля*(ГруппыСтавка*('03_Сеть'!O7&lt;ДатаПереходаСтавки)+СтавкаРоялтиВсех*('03_Сеть'!O7&gt;=ДатаПереходаСтавки))))/2)</f>
        <v/>
      </c>
      <c r="P17" s="87">
        <f>SUMPRODUCT((ГруппыФикс*ГруппыТочек*IF(ШколыСтарт=0,0,'03_Сеть'!P18/ШколыСтарт)+('03_Сеть'!P20*'07_Тарифы'!F$8)*ГруппыДоля*(ГруппыСтавка*('03_Сеть'!P7&lt;ДатаПереходаСтавки)+СтавкаРоялтиВсех*('03_Сеть'!P7&gt;=ДатаПереходаСтавки))+ABS(ГруппыФикс*ГруппыТочек*IF(ШколыСтарт=0,0,'03_Сеть'!P18/ШколыСтарт)-('03_Сеть'!P20*'07_Тарифы'!F$8)*ГруппыДоля*(ГруппыСтавка*('03_Сеть'!P7&lt;ДатаПереходаСтавки)+СтавкаРоялтиВсех*('03_Сеть'!P7&gt;=ДатаПереходаСтавки))))/2)</f>
        <v/>
      </c>
      <c r="Q17" s="87">
        <f>SUMPRODUCT((ГруппыФикс*ГруппыТочек*IF(ШколыСтарт=0,0,'03_Сеть'!Q18/ШколыСтарт)+('03_Сеть'!Q20*'07_Тарифы'!G$8)*ГруппыДоля*(ГруппыСтавка*('03_Сеть'!Q7&lt;ДатаПереходаСтавки)+СтавкаРоялтиВсех*('03_Сеть'!Q7&gt;=ДатаПереходаСтавки))+ABS(ГруппыФикс*ГруппыТочек*IF(ШколыСтарт=0,0,'03_Сеть'!Q18/ШколыСтарт)-('03_Сеть'!Q20*'07_Тарифы'!G$8)*ГруппыДоля*(ГруппыСтавка*('03_Сеть'!Q7&lt;ДатаПереходаСтавки)+СтавкаРоялтиВсех*('03_Сеть'!Q7&gt;=ДатаПереходаСтавки))))/2)</f>
        <v/>
      </c>
      <c r="R17" s="87">
        <f>SUMPRODUCT((ГруппыФикс*ГруппыТочек*IF(ШколыСтарт=0,0,'03_Сеть'!R18/ШколыСтарт)+('03_Сеть'!R20*'07_Тарифы'!H$8)*ГруппыДоля*(ГруппыСтавка*('03_Сеть'!R7&lt;ДатаПереходаСтавки)+СтавкаРоялтиВсех*('03_Сеть'!R7&gt;=ДатаПереходаСтавки))+ABS(ГруппыФикс*ГруппыТочек*IF(ШколыСтарт=0,0,'03_Сеть'!R18/ШколыСтарт)-('03_Сеть'!R20*'07_Тарифы'!H$8)*ГруппыДоля*(ГруппыСтавка*('03_Сеть'!R7&lt;ДатаПереходаСтавки)+СтавкаРоялтиВсех*('03_Сеть'!R7&gt;=ДатаПереходаСтавки))))/2)</f>
        <v/>
      </c>
      <c r="S17" s="87">
        <f>SUMPRODUCT((ГруппыФикс*ГруппыТочек*IF(ШколыСтарт=0,0,'03_Сеть'!S18/ШколыСтарт)+('03_Сеть'!S20*'07_Тарифы'!I$8)*ГруппыДоля*(ГруппыСтавка*('03_Сеть'!S7&lt;ДатаПереходаСтавки)+СтавкаРоялтиВсех*('03_Сеть'!S7&gt;=ДатаПереходаСтавки))+ABS(ГруппыФикс*ГруппыТочек*IF(ШколыСтарт=0,0,'03_Сеть'!S18/ШколыСтарт)-('03_Сеть'!S20*'07_Тарифы'!I$8)*ГруппыДоля*(ГруппыСтавка*('03_Сеть'!S7&lt;ДатаПереходаСтавки)+СтавкаРоялтиВсех*('03_Сеть'!S7&gt;=ДатаПереходаСтавки))))/2)</f>
        <v/>
      </c>
      <c r="T17" s="87">
        <f>SUMPRODUCT((ГруппыФикс*ГруппыТочек*IF(ШколыСтарт=0,0,'03_Сеть'!T18/ШколыСтарт)+('03_Сеть'!T20*'07_Тарифы'!J$8)*ГруппыДоля*(ГруппыСтавка*('03_Сеть'!T7&lt;ДатаПереходаСтавки)+СтавкаРоялтиВсех*('03_Сеть'!T7&gt;=ДатаПереходаСтавки))+ABS(ГруппыФикс*ГруппыТочек*IF(ШколыСтарт=0,0,'03_Сеть'!T18/ШколыСтарт)-('03_Сеть'!T20*'07_Тарифы'!J$8)*ГруппыДоля*(ГруппыСтавка*('03_Сеть'!T7&lt;ДатаПереходаСтавки)+СтавкаРоялтиВсех*('03_Сеть'!T7&gt;=ДатаПереходаСтавки))))/2)</f>
        <v/>
      </c>
      <c r="U17" s="87">
        <f>SUMPRODUCT((ГруппыФикс*ГруппыТочек*IF(ШколыСтарт=0,0,'03_Сеть'!U18/ШколыСтарт)+('03_Сеть'!U20*'07_Тарифы'!K$8)*ГруппыДоля*(ГруппыСтавка*('03_Сеть'!U7&lt;ДатаПереходаСтавки)+СтавкаРоялтиВсех*('03_Сеть'!U7&gt;=ДатаПереходаСтавки))+ABS(ГруппыФикс*ГруппыТочек*IF(ШколыСтарт=0,0,'03_Сеть'!U18/ШколыСтарт)-('03_Сеть'!U20*'07_Тарифы'!K$8)*ГруппыДоля*(ГруппыСтавка*('03_Сеть'!U7&lt;ДатаПереходаСтавки)+СтавкаРоялтиВсех*('03_Сеть'!U7&gt;=ДатаПереходаСтавки))))/2)</f>
        <v/>
      </c>
      <c r="V17" s="87">
        <f>SUMPRODUCT((ГруппыФикс*ГруппыТочек*IF(ШколыСтарт=0,0,'03_Сеть'!V18/ШколыСтарт)+('03_Сеть'!V20*'07_Тарифы'!L$8)*ГруппыДоля*(ГруппыСтавка*('03_Сеть'!V7&lt;ДатаПереходаСтавки)+СтавкаРоялтиВсех*('03_Сеть'!V7&gt;=ДатаПереходаСтавки))+ABS(ГруппыФикс*ГруппыТочек*IF(ШколыСтарт=0,0,'03_Сеть'!V18/ШколыСтарт)-('03_Сеть'!V20*'07_Тарифы'!L$8)*ГруппыДоля*(ГруппыСтавка*('03_Сеть'!V7&lt;ДатаПереходаСтавки)+СтавкаРоялтиВсех*('03_Сеть'!V7&gt;=ДатаПереходаСтавки))))/2)</f>
        <v/>
      </c>
      <c r="W17" s="87">
        <f>SUMPRODUCT((ГруппыФикс*ГруппыТочек*IF(ШколыСтарт=0,0,'03_Сеть'!W18/ШколыСтарт)+('03_Сеть'!W20*'07_Тарифы'!M$8)*ГруппыДоля*(ГруппыСтавка*('03_Сеть'!W7&lt;ДатаПереходаСтавки)+СтавкаРоялтиВсех*('03_Сеть'!W7&gt;=ДатаПереходаСтавки))+ABS(ГруппыФикс*ГруппыТочек*IF(ШколыСтарт=0,0,'03_Сеть'!W18/ШколыСтарт)-('03_Сеть'!W20*'07_Тарифы'!M$8)*ГруппыДоля*(ГруппыСтавка*('03_Сеть'!W7&lt;ДатаПереходаСтавки)+СтавкаРоялтиВсех*('03_Сеть'!W7&gt;=ДатаПереходаСтавки))))/2)</f>
        <v/>
      </c>
      <c r="X17" s="87">
        <f>SUMPRODUCT((ГруппыФикс*ГруппыТочек*IF(ШколыСтарт=0,0,'03_Сеть'!X18/ШколыСтарт)+('03_Сеть'!X20*'07_Тарифы'!N$8)*ГруппыДоля*(ГруппыСтавка*('03_Сеть'!X7&lt;ДатаПереходаСтавки)+СтавкаРоялтиВсех*('03_Сеть'!X7&gt;=ДатаПереходаСтавки))+ABS(ГруппыФикс*ГруппыТочек*IF(ШколыСтарт=0,0,'03_Сеть'!X18/ШколыСтарт)-('03_Сеть'!X20*'07_Тарифы'!N$8)*ГруппыДоля*(ГруппыСтавка*('03_Сеть'!X7&lt;ДатаПереходаСтавки)+СтавкаРоялтиВсех*('03_Сеть'!X7&gt;=ДатаПереходаСтавки))))/2)</f>
        <v/>
      </c>
      <c r="Y17" s="87">
        <f>SUMPRODUCT((ГруппыФикс*ГруппыТочек*IF(ШколыСтарт=0,0,'03_Сеть'!Y18/ШколыСтарт)+('03_Сеть'!Y20*'07_Тарифы'!O$8)*ГруппыДоля*(ГруппыСтавка*('03_Сеть'!Y7&lt;ДатаПереходаСтавки)+СтавкаРоялтиВсех*('03_Сеть'!Y7&gt;=ДатаПереходаСтавки))+ABS(ГруппыФикс*ГруппыТочек*IF(ШколыСтарт=0,0,'03_Сеть'!Y18/ШколыСтарт)-('03_Сеть'!Y20*'07_Тарифы'!O$8)*ГруппыДоля*(ГруппыСтавка*('03_Сеть'!Y7&lt;ДатаПереходаСтавки)+СтавкаРоялтиВсех*('03_Сеть'!Y7&gt;=ДатаПереходаСтавки))))/2)</f>
        <v/>
      </c>
      <c r="Z17" s="87">
        <f>SUMPRODUCT((ГруппыФикс*ГруппыТочек*IF(ШколыСтарт=0,0,'03_Сеть'!Z18/ШколыСтарт)+('03_Сеть'!Z20*'07_Тарифы'!P$8)*ГруппыДоля*(ГруппыСтавка*('03_Сеть'!Z7&lt;ДатаПереходаСтавки)+СтавкаРоялтиВсех*('03_Сеть'!Z7&gt;=ДатаПереходаСтавки))+ABS(ГруппыФикс*ГруппыТочек*IF(ШколыСтарт=0,0,'03_Сеть'!Z18/ШколыСтарт)-('03_Сеть'!Z20*'07_Тарифы'!P$8)*ГруппыДоля*(ГруппыСтавка*('03_Сеть'!Z7&lt;ДатаПереходаСтавки)+СтавкаРоялтиВсех*('03_Сеть'!Z7&gt;=ДатаПереходаСтавки))))/2)</f>
        <v/>
      </c>
      <c r="AA17" s="87">
        <f>SUMPRODUCT((ГруппыФикс*ГруппыТочек*IF(ШколыСтарт=0,0,'03_Сеть'!AA18/ШколыСтарт)+('03_Сеть'!AA20*'07_Тарифы'!Q$8)*ГруппыДоля*(ГруппыСтавка*('03_Сеть'!AA7&lt;ДатаПереходаСтавки)+СтавкаРоялтиВсех*('03_Сеть'!AA7&gt;=ДатаПереходаСтавки))+ABS(ГруппыФикс*ГруппыТочек*IF(ШколыСтарт=0,0,'03_Сеть'!AA18/ШколыСтарт)-('03_Сеть'!AA20*'07_Тарифы'!Q$8)*ГруппыДоля*(ГруппыСтавка*('03_Сеть'!AA7&lt;ДатаПереходаСтавки)+СтавкаРоялтиВсех*('03_Сеть'!AA7&gt;=ДатаПереходаСтавки))))/2)</f>
        <v/>
      </c>
      <c r="AB17" s="87">
        <f>SUMPRODUCT((ГруппыФикс*ГруппыТочек*IF(ШколыСтарт=0,0,'03_Сеть'!AB18/ШколыСтарт)+('03_Сеть'!AB20*'07_Тарифы'!R$8)*ГруппыДоля*(ГруппыСтавка*('03_Сеть'!AB7&lt;ДатаПереходаСтавки)+СтавкаРоялтиВсех*('03_Сеть'!AB7&gt;=ДатаПереходаСтавки))+ABS(ГруппыФикс*ГруппыТочек*IF(ШколыСтарт=0,0,'03_Сеть'!AB18/ШколыСтарт)-('03_Сеть'!AB20*'07_Тарифы'!R$8)*ГруппыДоля*(ГруппыСтавка*('03_Сеть'!AB7&lt;ДатаПереходаСтавки)+СтавкаРоялтиВсех*('03_Сеть'!AB7&gt;=ДатаПереходаСтавки))))/2)</f>
        <v/>
      </c>
      <c r="AC17" s="87">
        <f>SUMPRODUCT((ГруппыФикс*ГруппыТочек*IF(ШколыСтарт=0,0,'03_Сеть'!AC18/ШколыСтарт)+('03_Сеть'!AC20*'07_Тарифы'!S$8)*ГруппыДоля*(ГруппыСтавка*('03_Сеть'!AC7&lt;ДатаПереходаСтавки)+СтавкаРоялтиВсех*('03_Сеть'!AC7&gt;=ДатаПереходаСтавки))+ABS(ГруппыФикс*ГруппыТочек*IF(ШколыСтарт=0,0,'03_Сеть'!AC18/ШколыСтарт)-('03_Сеть'!AC20*'07_Тарифы'!S$8)*ГруппыДоля*(ГруппыСтавка*('03_Сеть'!AC7&lt;ДатаПереходаСтавки)+СтавкаРоялтиВсех*('03_Сеть'!AC7&gt;=ДатаПереходаСтавки))))/2)</f>
        <v/>
      </c>
      <c r="AD17" s="87">
        <f>SUMPRODUCT((ГруппыФикс*ГруппыТочек*IF(ШколыСтарт=0,0,'03_Сеть'!AD18/ШколыСтарт)+('03_Сеть'!AD20*'07_Тарифы'!T$8)*ГруппыДоля*(ГруппыСтавка*('03_Сеть'!AD7&lt;ДатаПереходаСтавки)+СтавкаРоялтиВсех*('03_Сеть'!AD7&gt;=ДатаПереходаСтавки))+ABS(ГруппыФикс*ГруппыТочек*IF(ШколыСтарт=0,0,'03_Сеть'!AD18/ШколыСтарт)-('03_Сеть'!AD20*'07_Тарифы'!T$8)*ГруппыДоля*(ГруппыСтавка*('03_Сеть'!AD7&lt;ДатаПереходаСтавки)+СтавкаРоялтиВсех*('03_Сеть'!AD7&gt;=ДатаПереходаСтавки))))/2)</f>
        <v/>
      </c>
      <c r="AE17" s="87">
        <f>SUMPRODUCT((ГруппыФикс*ГруппыТочек*IF(ШколыСтарт=0,0,'03_Сеть'!AE18/ШколыСтарт)+('03_Сеть'!AE20*'07_Тарифы'!U$8)*ГруппыДоля*(ГруппыСтавка*('03_Сеть'!AE7&lt;ДатаПереходаСтавки)+СтавкаРоялтиВсех*('03_Сеть'!AE7&gt;=ДатаПереходаСтавки))+ABS(ГруппыФикс*ГруппыТочек*IF(ШколыСтарт=0,0,'03_Сеть'!AE18/ШколыСтарт)-('03_Сеть'!AE20*'07_Тарифы'!U$8)*ГруппыДоля*(ГруппыСтавка*('03_Сеть'!AE7&lt;ДатаПереходаСтавки)+СтавкаРоялтиВсех*('03_Сеть'!AE7&gt;=ДатаПереходаСтавки))))/2)</f>
        <v/>
      </c>
      <c r="AF17" s="87">
        <f>SUMPRODUCT((ГруппыФикс*ГруппыТочек*IF(ШколыСтарт=0,0,'03_Сеть'!AF18/ШколыСтарт)+('03_Сеть'!AF20*'07_Тарифы'!V$8)*ГруппыДоля*(ГруппыСтавка*('03_Сеть'!AF7&lt;ДатаПереходаСтавки)+СтавкаРоялтиВсех*('03_Сеть'!AF7&gt;=ДатаПереходаСтавки))+ABS(ГруппыФикс*ГруппыТочек*IF(ШколыСтарт=0,0,'03_Сеть'!AF18/ШколыСтарт)-('03_Сеть'!AF20*'07_Тарифы'!V$8)*ГруппыДоля*(ГруппыСтавка*('03_Сеть'!AF7&lt;ДатаПереходаСтавки)+СтавкаРоялтиВсех*('03_Сеть'!AF7&gt;=ДатаПереходаСтавки))))/2)</f>
        <v/>
      </c>
      <c r="AG17" s="87">
        <f>SUMPRODUCT((ГруппыФикс*ГруппыТочек*IF(ШколыСтарт=0,0,'03_Сеть'!AG18/ШколыСтарт)+('03_Сеть'!AG20*'07_Тарифы'!W$8)*ГруппыДоля*(ГруппыСтавка*('03_Сеть'!AG7&lt;ДатаПереходаСтавки)+СтавкаРоялтиВсех*('03_Сеть'!AG7&gt;=ДатаПереходаСтавки))+ABS(ГруппыФикс*ГруппыТочек*IF(ШколыСтарт=0,0,'03_Сеть'!AG18/ШколыСтарт)-('03_Сеть'!AG20*'07_Тарифы'!W$8)*ГруппыДоля*(ГруппыСтавка*('03_Сеть'!AG7&lt;ДатаПереходаСтавки)+СтавкаРоялтиВсех*('03_Сеть'!AG7&gt;=ДатаПереходаСтавки))))/2)</f>
        <v/>
      </c>
      <c r="AH17" s="87">
        <f>SUMPRODUCT((ГруппыФикс*ГруппыТочек*IF(ШколыСтарт=0,0,'03_Сеть'!AH18/ШколыСтарт)+('03_Сеть'!AH20*'07_Тарифы'!X$8)*ГруппыДоля*(ГруппыСтавка*('03_Сеть'!AH7&lt;ДатаПереходаСтавки)+СтавкаРоялтиВсех*('03_Сеть'!AH7&gt;=ДатаПереходаСтавки))+ABS(ГруппыФикс*ГруппыТочек*IF(ШколыСтарт=0,0,'03_Сеть'!AH18/ШколыСтарт)-('03_Сеть'!AH20*'07_Тарифы'!X$8)*ГруппыДоля*(ГруппыСтавка*('03_Сеть'!AH7&lt;ДатаПереходаСтавки)+СтавкаРоялтиВсех*('03_Сеть'!AH7&gt;=ДатаПереходаСтавки))))/2)</f>
        <v/>
      </c>
      <c r="AI17" s="87">
        <f>SUMPRODUCT((ГруппыФикс*ГруппыТочек*IF(ШколыСтарт=0,0,'03_Сеть'!AI18/ШколыСтарт)+('03_Сеть'!AI20*'07_Тарифы'!Y$8)*ГруппыДоля*(ГруппыСтавка*('03_Сеть'!AI7&lt;ДатаПереходаСтавки)+СтавкаРоялтиВсех*('03_Сеть'!AI7&gt;=ДатаПереходаСтавки))+ABS(ГруппыФикс*ГруппыТочек*IF(ШколыСтарт=0,0,'03_Сеть'!AI18/ШколыСтарт)-('03_Сеть'!AI20*'07_Тарифы'!Y$8)*ГруппыДоля*(ГруппыСтавка*('03_Сеть'!AI7&lt;ДатаПереходаСтавки)+СтавкаРоялтиВсех*('03_Сеть'!AI7&gt;=ДатаПереходаСтавки))))/2)</f>
        <v/>
      </c>
      <c r="AJ17" s="87">
        <f>SUMPRODUCT((ГруппыФикс*ГруппыТочек*IF(ШколыСтарт=0,0,'03_Сеть'!AJ18/ШколыСтарт)+('03_Сеть'!AJ20*'07_Тарифы'!Z$8)*ГруппыДоля*(ГруппыСтавка*('03_Сеть'!AJ7&lt;ДатаПереходаСтавки)+СтавкаРоялтиВсех*('03_Сеть'!AJ7&gt;=ДатаПереходаСтавки))+ABS(ГруппыФикс*ГруппыТочек*IF(ШколыСтарт=0,0,'03_Сеть'!AJ18/ШколыСтарт)-('03_Сеть'!AJ20*'07_Тарифы'!Z$8)*ГруппыДоля*(ГруппыСтавка*('03_Сеть'!AJ7&lt;ДатаПереходаСтавки)+СтавкаРоялтиВсех*('03_Сеть'!AJ7&gt;=ДатаПереходаСтавки))))/2)</f>
        <v/>
      </c>
      <c r="AK17" s="87">
        <f>SUMPRODUCT((ГруппыФикс*ГруппыТочек*IF(ШколыСтарт=0,0,'03_Сеть'!AK18/ШколыСтарт)+('03_Сеть'!AK20*'07_Тарифы'!AA$8)*ГруппыДоля*(ГруппыСтавка*('03_Сеть'!AK7&lt;ДатаПереходаСтавки)+СтавкаРоялтиВсех*('03_Сеть'!AK7&gt;=ДатаПереходаСтавки))+ABS(ГруппыФикс*ГруппыТочек*IF(ШколыСтарт=0,0,'03_Сеть'!AK18/ШколыСтарт)-('03_Сеть'!AK20*'07_Тарифы'!AA$8)*ГруппыДоля*(ГруппыСтавка*('03_Сеть'!AK7&lt;ДатаПереходаСтавки)+СтавкаРоялтиВсех*('03_Сеть'!AK7&gt;=ДатаПереходаСтавки))))/2)</f>
        <v/>
      </c>
      <c r="AL17" s="87">
        <f>SUMPRODUCT((ГруппыФикс*ГруппыТочек*IF(ШколыСтарт=0,0,'03_Сеть'!AL18/ШколыСтарт)+('03_Сеть'!AL20*'07_Тарифы'!AB$8)*ГруппыДоля*(ГруппыСтавка*('03_Сеть'!AL7&lt;ДатаПереходаСтавки)+СтавкаРоялтиВсех*('03_Сеть'!AL7&gt;=ДатаПереходаСтавки))+ABS(ГруппыФикс*ГруппыТочек*IF(ШколыСтарт=0,0,'03_Сеть'!AL18/ШколыСтарт)-('03_Сеть'!AL20*'07_Тарифы'!AB$8)*ГруппыДоля*(ГруппыСтавка*('03_Сеть'!AL7&lt;ДатаПереходаСтавки)+СтавкаРоялтиВсех*('03_Сеть'!AL7&gt;=ДатаПереходаСтавки))))/2)</f>
        <v/>
      </c>
      <c r="AM17" s="87">
        <f>SUMPRODUCT((ГруппыФикс*ГруппыТочек*IF(ШколыСтарт=0,0,'03_Сеть'!AM18/ШколыСтарт)+('03_Сеть'!AM20*'07_Тарифы'!AC$8)*ГруппыДоля*(ГруппыСтавка*('03_Сеть'!AM7&lt;ДатаПереходаСтавки)+СтавкаРоялтиВсех*('03_Сеть'!AM7&gt;=ДатаПереходаСтавки))+ABS(ГруппыФикс*ГруппыТочек*IF(ШколыСтарт=0,0,'03_Сеть'!AM18/ШколыСтарт)-('03_Сеть'!AM20*'07_Тарифы'!AC$8)*ГруппыДоля*(ГруппыСтавка*('03_Сеть'!AM7&lt;ДатаПереходаСтавки)+СтавкаРоялтиВсех*('03_Сеть'!AM7&gt;=ДатаПереходаСтавки))))/2)</f>
        <v/>
      </c>
      <c r="AN17" s="87">
        <f>SUMPRODUCT((ГруппыФикс*ГруппыТочек*IF(ШколыСтарт=0,0,'03_Сеть'!AN18/ШколыСтарт)+('03_Сеть'!AN20*'07_Тарифы'!AD$8)*ГруппыДоля*(ГруппыСтавка*('03_Сеть'!AN7&lt;ДатаПереходаСтавки)+СтавкаРоялтиВсех*('03_Сеть'!AN7&gt;=ДатаПереходаСтавки))+ABS(ГруппыФикс*ГруппыТочек*IF(ШколыСтарт=0,0,'03_Сеть'!AN18/ШколыСтарт)-('03_Сеть'!AN20*'07_Тарифы'!AD$8)*ГруппыДоля*(ГруппыСтавка*('03_Сеть'!AN7&lt;ДатаПереходаСтавки)+СтавкаРоялтиВсех*('03_Сеть'!AN7&gt;=ДатаПереходаСтавки))))/2)</f>
        <v/>
      </c>
      <c r="AO17" s="87">
        <f>SUMPRODUCT((ГруппыФикс*ГруппыТочек*IF(ШколыСтарт=0,0,'03_Сеть'!AO18/ШколыСтарт)+('03_Сеть'!AO20*'07_Тарифы'!AE$8)*ГруппыДоля*(ГруппыСтавка*('03_Сеть'!AO7&lt;ДатаПереходаСтавки)+СтавкаРоялтиВсех*('03_Сеть'!AO7&gt;=ДатаПереходаСтавки))+ABS(ГруппыФикс*ГруппыТочек*IF(ШколыСтарт=0,0,'03_Сеть'!AO18/ШколыСтарт)-('03_Сеть'!AO20*'07_Тарифы'!AE$8)*ГруппыДоля*(ГруппыСтавка*('03_Сеть'!AO7&lt;ДатаПереходаСтавки)+СтавкаРоялтиВсех*('03_Сеть'!AO7&gt;=ДатаПереходаСтавки))))/2)</f>
        <v/>
      </c>
      <c r="AP17" s="87">
        <f>SUMPRODUCT((ГруппыФикс*ГруппыТочек*IF(ШколыСтарт=0,0,'03_Сеть'!AP18/ШколыСтарт)+('03_Сеть'!AP20*'07_Тарифы'!AF$8)*ГруппыДоля*(ГруппыСтавка*('03_Сеть'!AP7&lt;ДатаПереходаСтавки)+СтавкаРоялтиВсех*('03_Сеть'!AP7&gt;=ДатаПереходаСтавки))+ABS(ГруппыФикс*ГруппыТочек*IF(ШколыСтарт=0,0,'03_Сеть'!AP18/ШколыСтарт)-('03_Сеть'!AP20*'07_Тарифы'!AF$8)*ГруппыДоля*(ГруппыСтавка*('03_Сеть'!AP7&lt;ДатаПереходаСтавки)+СтавкаРоялтиВсех*('03_Сеть'!AP7&gt;=ДатаПереходаСтавки))))/2)</f>
        <v/>
      </c>
      <c r="AQ17" s="87">
        <f>SUMPRODUCT((ГруппыФикс*ГруппыТочек*IF(ШколыСтарт=0,0,'03_Сеть'!AQ18/ШколыСтарт)+('03_Сеть'!AQ20*'07_Тарифы'!AG$8)*ГруппыДоля*(ГруппыСтавка*('03_Сеть'!AQ7&lt;ДатаПереходаСтавки)+СтавкаРоялтиВсех*('03_Сеть'!AQ7&gt;=ДатаПереходаСтавки))+ABS(ГруппыФикс*ГруппыТочек*IF(ШколыСтарт=0,0,'03_Сеть'!AQ18/ШколыСтарт)-('03_Сеть'!AQ20*'07_Тарифы'!AG$8)*ГруппыДоля*(ГруппыСтавка*('03_Сеть'!AQ7&lt;ДатаПереходаСтавки)+СтавкаРоялтиВсех*('03_Сеть'!AQ7&gt;=ДатаПереходаСтавки))))/2)</f>
        <v/>
      </c>
      <c r="AR17" s="87">
        <f>SUMPRODUCT((ГруппыФикс*ГруппыТочек*IF(ШколыСтарт=0,0,'03_Сеть'!AR18/ШколыСтарт)+('03_Сеть'!AR20*'07_Тарифы'!AH$8)*ГруппыДоля*(ГруппыСтавка*('03_Сеть'!AR7&lt;ДатаПереходаСтавки)+СтавкаРоялтиВсех*('03_Сеть'!AR7&gt;=ДатаПереходаСтавки))+ABS(ГруппыФикс*ГруппыТочек*IF(ШколыСтарт=0,0,'03_Сеть'!AR18/ШколыСтарт)-('03_Сеть'!AR20*'07_Тарифы'!AH$8)*ГруппыДоля*(ГруппыСтавка*('03_Сеть'!AR7&lt;ДатаПереходаСтавки)+СтавкаРоялтиВсех*('03_Сеть'!AR7&gt;=ДатаПереходаСтавки))))/2)</f>
        <v/>
      </c>
      <c r="AS17" s="87">
        <f>SUMPRODUCT((ГруппыФикс*ГруппыТочек*IF(ШколыСтарт=0,0,'03_Сеть'!AS18/ШколыСтарт)+('03_Сеть'!AS20*'07_Тарифы'!AI$8)*ГруппыДоля*(ГруппыСтавка*('03_Сеть'!AS7&lt;ДатаПереходаСтавки)+СтавкаРоялтиВсех*('03_Сеть'!AS7&gt;=ДатаПереходаСтавки))+ABS(ГруппыФикс*ГруппыТочек*IF(ШколыСтарт=0,0,'03_Сеть'!AS18/ШколыСтарт)-('03_Сеть'!AS20*'07_Тарифы'!AI$8)*ГруппыДоля*(ГруппыСтавка*('03_Сеть'!AS7&lt;ДатаПереходаСтавки)+СтавкаРоялтиВсех*('03_Сеть'!AS7&gt;=ДатаПереходаСтавки))))/2)</f>
        <v/>
      </c>
      <c r="AT17" s="87">
        <f>SUMPRODUCT((ГруппыФикс*ГруппыТочек*IF(ШколыСтарт=0,0,'03_Сеть'!AT18/ШколыСтарт)+('03_Сеть'!AT20*'07_Тарифы'!AJ$8)*ГруппыДоля*(ГруппыСтавка*('03_Сеть'!AT7&lt;ДатаПереходаСтавки)+СтавкаРоялтиВсех*('03_Сеть'!AT7&gt;=ДатаПереходаСтавки))+ABS(ГруппыФикс*ГруппыТочек*IF(ШколыСтарт=0,0,'03_Сеть'!AT18/ШколыСтарт)-('03_Сеть'!AT20*'07_Тарифы'!AJ$8)*ГруппыДоля*(ГруппыСтавка*('03_Сеть'!AT7&lt;ДатаПереходаСтавки)+СтавкаРоялтиВсех*('03_Сеть'!AT7&gt;=ДатаПереходаСтавки))))/2)</f>
        <v/>
      </c>
      <c r="AU17" s="87">
        <f>SUMPRODUCT((ГруппыФикс*ГруппыТочек*IF(ШколыСтарт=0,0,'03_Сеть'!AU18/ШколыСтарт)+('03_Сеть'!AU20*'07_Тарифы'!AK$8)*ГруппыДоля*(ГруппыСтавка*('03_Сеть'!AU7&lt;ДатаПереходаСтавки)+СтавкаРоялтиВсех*('03_Сеть'!AU7&gt;=ДатаПереходаСтавки))+ABS(ГруппыФикс*ГруппыТочек*IF(ШколыСтарт=0,0,'03_Сеть'!AU18/ШколыСтарт)-('03_Сеть'!AU20*'07_Тарифы'!AK$8)*ГруппыДоля*(ГруппыСтавка*('03_Сеть'!AU7&lt;ДатаПереходаСтавки)+СтавкаРоялтиВсех*('03_Сеть'!AU7&gt;=ДатаПереходаСтавки))))/2)</f>
        <v/>
      </c>
      <c r="AV17" s="87">
        <f>SUMPRODUCT((ГруппыФикс*ГруппыТочек*IF(ШколыСтарт=0,0,'03_Сеть'!AV18/ШколыСтарт)+('03_Сеть'!AV20*'07_Тарифы'!AL$8)*ГруппыДоля*(ГруппыСтавка*('03_Сеть'!AV7&lt;ДатаПереходаСтавки)+СтавкаРоялтиВсех*('03_Сеть'!AV7&gt;=ДатаПереходаСтавки))+ABS(ГруппыФикс*ГруппыТочек*IF(ШколыСтарт=0,0,'03_Сеть'!AV18/ШколыСтарт)-('03_Сеть'!AV20*'07_Тарифы'!AL$8)*ГруппыДоля*(ГруппыСтавка*('03_Сеть'!AV7&lt;ДатаПереходаСтавки)+СтавкаРоялтиВсех*('03_Сеть'!AV7&gt;=ДатаПереходаСтавки))))/2)</f>
        <v/>
      </c>
      <c r="AW17" s="87">
        <f>SUMPRODUCT((ГруппыФикс*ГруппыТочек*IF(ШколыСтарт=0,0,'03_Сеть'!AW18/ШколыСтарт)+('03_Сеть'!AW20*'07_Тарифы'!AM$8)*ГруппыДоля*(ГруппыСтавка*('03_Сеть'!AW7&lt;ДатаПереходаСтавки)+СтавкаРоялтиВсех*('03_Сеть'!AW7&gt;=ДатаПереходаСтавки))+ABS(ГруппыФикс*ГруппыТочек*IF(ШколыСтарт=0,0,'03_Сеть'!AW18/ШколыСтарт)-('03_Сеть'!AW20*'07_Тарифы'!AM$8)*ГруппыДоля*(ГруппыСтавка*('03_Сеть'!AW7&lt;ДатаПереходаСтавки)+СтавкаРоялтиВсех*('03_Сеть'!AW7&gt;=ДатаПереходаСтавки))))/2)</f>
        <v/>
      </c>
      <c r="AX17" s="87">
        <f>SUMPRODUCT((ГруппыФикс*ГруппыТочек*IF(ШколыСтарт=0,0,'03_Сеть'!AX18/ШколыСтарт)+('03_Сеть'!AX20*'07_Тарифы'!AN$8)*ГруппыДоля*(ГруппыСтавка*('03_Сеть'!AX7&lt;ДатаПереходаСтавки)+СтавкаРоялтиВсех*('03_Сеть'!AX7&gt;=ДатаПереходаСтавки))+ABS(ГруппыФикс*ГруппыТочек*IF(ШколыСтарт=0,0,'03_Сеть'!AX18/ШколыСтарт)-('03_Сеть'!AX20*'07_Тарифы'!AN$8)*ГруппыДоля*(ГруппыСтавка*('03_Сеть'!AX7&lt;ДатаПереходаСтавки)+СтавкаРоялтиВсех*('03_Сеть'!AX7&gt;=ДатаПереходаСтавки))))/2)</f>
        <v/>
      </c>
      <c r="AY17" s="87">
        <f>SUMPRODUCT((ГруппыФикс*ГруппыТочек*IF(ШколыСтарт=0,0,'03_Сеть'!AY18/ШколыСтарт)+('03_Сеть'!AY20*'07_Тарифы'!AO$8)*ГруппыДоля*(ГруппыСтавка*('03_Сеть'!AY7&lt;ДатаПереходаСтавки)+СтавкаРоялтиВсех*('03_Сеть'!AY7&gt;=ДатаПереходаСтавки))+ABS(ГруппыФикс*ГруппыТочек*IF(ШколыСтарт=0,0,'03_Сеть'!AY18/ШколыСтарт)-('03_Сеть'!AY20*'07_Тарифы'!AO$8)*ГруппыДоля*(ГруппыСтавка*('03_Сеть'!AY7&lt;ДатаПереходаСтавки)+СтавкаРоялтиВсех*('03_Сеть'!AY7&gt;=ДатаПереходаСтавки))))/2)</f>
        <v/>
      </c>
      <c r="AZ17" s="87">
        <f>SUMPRODUCT((ГруппыФикс*ГруппыТочек*IF(ШколыСтарт=0,0,'03_Сеть'!AZ18/ШколыСтарт)+('03_Сеть'!AZ20*'07_Тарифы'!AP$8)*ГруппыДоля*(ГруппыСтавка*('03_Сеть'!AZ7&lt;ДатаПереходаСтавки)+СтавкаРоялтиВсех*('03_Сеть'!AZ7&gt;=ДатаПереходаСтавки))+ABS(ГруппыФикс*ГруппыТочек*IF(ШколыСтарт=0,0,'03_Сеть'!AZ18/ШколыСтарт)-('03_Сеть'!AZ20*'07_Тарифы'!AP$8)*ГруппыДоля*(ГруппыСтавка*('03_Сеть'!AZ7&lt;ДатаПереходаСтавки)+СтавкаРоялтиВсех*('03_Сеть'!AZ7&gt;=ДатаПереходаСтавки))))/2)</f>
        <v/>
      </c>
      <c r="BA17" s="87">
        <f>SUMPRODUCT((ГруппыФикс*ГруппыТочек*IF(ШколыСтарт=0,0,'03_Сеть'!BA18/ШколыСтарт)+('03_Сеть'!BA20*'07_Тарифы'!AQ$8)*ГруппыДоля*(ГруппыСтавка*('03_Сеть'!BA7&lt;ДатаПереходаСтавки)+СтавкаРоялтиВсех*('03_Сеть'!BA7&gt;=ДатаПереходаСтавки))+ABS(ГруппыФикс*ГруппыТочек*IF(ШколыСтарт=0,0,'03_Сеть'!BA18/ШколыСтарт)-('03_Сеть'!BA20*'07_Тарифы'!AQ$8)*ГруппыДоля*(ГруппыСтавка*('03_Сеть'!BA7&lt;ДатаПереходаСтавки)+СтавкаРоялтиВсех*('03_Сеть'!BA7&gt;=ДатаПереходаСтавки))))/2)</f>
        <v/>
      </c>
      <c r="BB17" s="87">
        <f>SUMPRODUCT((ГруппыФикс*ГруппыТочек*IF(ШколыСтарт=0,0,'03_Сеть'!BB18/ШколыСтарт)+('03_Сеть'!BB20*'07_Тарифы'!AR$8)*ГруппыДоля*(ГруппыСтавка*('03_Сеть'!BB7&lt;ДатаПереходаСтавки)+СтавкаРоялтиВсех*('03_Сеть'!BB7&gt;=ДатаПереходаСтавки))+ABS(ГруппыФикс*ГруппыТочек*IF(ШколыСтарт=0,0,'03_Сеть'!BB18/ШколыСтарт)-('03_Сеть'!BB20*'07_Тарифы'!AR$8)*ГруппыДоля*(ГруппыСтавка*('03_Сеть'!BB7&lt;ДатаПереходаСтавки)+СтавкаРоялтиВсех*('03_Сеть'!BB7&gt;=ДатаПереходаСтавки))))/2)</f>
        <v/>
      </c>
      <c r="BC17" s="87">
        <f>SUMPRODUCT((ГруппыФикс*ГруппыТочек*IF(ШколыСтарт=0,0,'03_Сеть'!BC18/ШколыСтарт)+('03_Сеть'!BC20*'07_Тарифы'!AS$8)*ГруппыДоля*(ГруппыСтавка*('03_Сеть'!BC7&lt;ДатаПереходаСтавки)+СтавкаРоялтиВсех*('03_Сеть'!BC7&gt;=ДатаПереходаСтавки))+ABS(ГруппыФикс*ГруппыТочек*IF(ШколыСтарт=0,0,'03_Сеть'!BC18/ШколыСтарт)-('03_Сеть'!BC20*'07_Тарифы'!AS$8)*ГруппыДоля*(ГруппыСтавка*('03_Сеть'!BC7&lt;ДатаПереходаСтавки)+СтавкаРоялтиВсех*('03_Сеть'!BC7&gt;=ДатаПереходаСтавки))))/2)</f>
        <v/>
      </c>
      <c r="BD17" s="87">
        <f>SUMPRODUCT((ГруппыФикс*ГруппыТочек*IF(ШколыСтарт=0,0,'03_Сеть'!BD18/ШколыСтарт)+('03_Сеть'!BD20*'07_Тарифы'!AT$8)*ГруппыДоля*(ГруппыСтавка*('03_Сеть'!BD7&lt;ДатаПереходаСтавки)+СтавкаРоялтиВсех*('03_Сеть'!BD7&gt;=ДатаПереходаСтавки))+ABS(ГруппыФикс*ГруппыТочек*IF(ШколыСтарт=0,0,'03_Сеть'!BD18/ШколыСтарт)-('03_Сеть'!BD20*'07_Тарифы'!AT$8)*ГруппыДоля*(ГруппыСтавка*('03_Сеть'!BD7&lt;ДатаПереходаСтавки)+СтавкаРоялтиВсех*('03_Сеть'!BD7&gt;=ДатаПереходаСтавки))))/2)</f>
        <v/>
      </c>
      <c r="BE17" s="87">
        <f>SUMPRODUCT((ГруппыФикс*ГруппыТочек*IF(ШколыСтарт=0,0,'03_Сеть'!BE18/ШколыСтарт)+('03_Сеть'!BE20*'07_Тарифы'!AU$8)*ГруппыДоля*(ГруппыСтавка*('03_Сеть'!BE7&lt;ДатаПереходаСтавки)+СтавкаРоялтиВсех*('03_Сеть'!BE7&gt;=ДатаПереходаСтавки))+ABS(ГруппыФикс*ГруппыТочек*IF(ШколыСтарт=0,0,'03_Сеть'!BE18/ШколыСтарт)-('03_Сеть'!BE20*'07_Тарифы'!AU$8)*ГруппыДоля*(ГруппыСтавка*('03_Сеть'!BE7&lt;ДатаПереходаСтавки)+СтавкаРоялтиВсех*('03_Сеть'!BE7&gt;=ДатаПереходаСтавки))))/2)</f>
        <v/>
      </c>
      <c r="BF17" s="87">
        <f>SUMPRODUCT((ГруппыФикс*ГруппыТочек*IF(ШколыСтарт=0,0,'03_Сеть'!BF18/ШколыСтарт)+('03_Сеть'!BF20*'07_Тарифы'!AV$8)*ГруппыДоля*(ГруппыСтавка*('03_Сеть'!BF7&lt;ДатаПереходаСтавки)+СтавкаРоялтиВсех*('03_Сеть'!BF7&gt;=ДатаПереходаСтавки))+ABS(ГруппыФикс*ГруппыТочек*IF(ШколыСтарт=0,0,'03_Сеть'!BF18/ШколыСтарт)-('03_Сеть'!BF20*'07_Тарифы'!AV$8)*ГруппыДоля*(ГруппыСтавка*('03_Сеть'!BF7&lt;ДатаПереходаСтавки)+СтавкаРоялтиВсех*('03_Сеть'!BF7&gt;=ДатаПереходаСтавки))))/2)</f>
        <v/>
      </c>
      <c r="BG17" s="87">
        <f>SUMPRODUCT((ГруппыФикс*ГруппыТочек*IF(ШколыСтарт=0,0,'03_Сеть'!BG18/ШколыСтарт)+('03_Сеть'!BG20*'07_Тарифы'!AW$8)*ГруппыДоля*(ГруппыСтавка*('03_Сеть'!BG7&lt;ДатаПереходаСтавки)+СтавкаРоялтиВсех*('03_Сеть'!BG7&gt;=ДатаПереходаСтавки))+ABS(ГруппыФикс*ГруппыТочек*IF(ШколыСтарт=0,0,'03_Сеть'!BG18/ШколыСтарт)-('03_Сеть'!BG20*'07_Тарифы'!AW$8)*ГруппыДоля*(ГруппыСтавка*('03_Сеть'!BG7&lt;ДатаПереходаСтавки)+СтавкаРоялтиВсех*('03_Сеть'!BG7&gt;=ДатаПереходаСтавки))))/2)</f>
        <v/>
      </c>
      <c r="BH17" s="87">
        <f>SUMPRODUCT((ГруппыФикс*ГруппыТочек*IF(ШколыСтарт=0,0,'03_Сеть'!BH18/ШколыСтарт)+('03_Сеть'!BH20*'07_Тарифы'!AX$8)*ГруппыДоля*(ГруппыСтавка*('03_Сеть'!BH7&lt;ДатаПереходаСтавки)+СтавкаРоялтиВсех*('03_Сеть'!BH7&gt;=ДатаПереходаСтавки))+ABS(ГруппыФикс*ГруппыТочек*IF(ШколыСтарт=0,0,'03_Сеть'!BH18/ШколыСтарт)-('03_Сеть'!BH20*'07_Тарифы'!AX$8)*ГруппыДоля*(ГруппыСтавка*('03_Сеть'!BH7&lt;ДатаПереходаСтавки)+СтавкаРоялтиВсех*('03_Сеть'!BH7&gt;=ДатаПереходаСтавки))))/2)</f>
        <v/>
      </c>
      <c r="BI17" s="87">
        <f>SUMPRODUCT((ГруппыФикс*ГруппыТочек*IF(ШколыСтарт=0,0,'03_Сеть'!BI18/ШколыСтарт)+('03_Сеть'!BI20*'07_Тарифы'!AY$8)*ГруппыДоля*(ГруппыСтавка*('03_Сеть'!BI7&lt;ДатаПереходаСтавки)+СтавкаРоялтиВсех*('03_Сеть'!BI7&gt;=ДатаПереходаСтавки))+ABS(ГруппыФикс*ГруппыТочек*IF(ШколыСтарт=0,0,'03_Сеть'!BI18/ШколыСтарт)-('03_Сеть'!BI20*'07_Тарифы'!AY$8)*ГруппыДоля*(ГруппыСтавка*('03_Сеть'!BI7&lt;ДатаПереходаСтавки)+СтавкаРоялтиВсех*('03_Сеть'!BI7&gt;=ДатаПереходаСтавки))))/2)</f>
        <v/>
      </c>
      <c r="BJ17" s="87">
        <f>SUMPRODUCT((ГруппыФикс*ГруппыТочек*IF(ШколыСтарт=0,0,'03_Сеть'!BJ18/ШколыСтарт)+('03_Сеть'!BJ20*'07_Тарифы'!AZ$8)*ГруппыДоля*(ГруппыСтавка*('03_Сеть'!BJ7&lt;ДатаПереходаСтавки)+СтавкаРоялтиВсех*('03_Сеть'!BJ7&gt;=ДатаПереходаСтавки))+ABS(ГруппыФикс*ГруппыТочек*IF(ШколыСтарт=0,0,'03_Сеть'!BJ18/ШколыСтарт)-('03_Сеть'!BJ20*'07_Тарифы'!AZ$8)*ГруппыДоля*(ГруппыСтавка*('03_Сеть'!BJ7&lt;ДатаПереходаСтавки)+СтавкаРоялтиВсех*('03_Сеть'!BJ7&gt;=ДатаПереходаСтавки))))/2)</f>
        <v/>
      </c>
      <c r="BK17" s="87">
        <f>SUMPRODUCT((ГруппыФикс*ГруппыТочек*IF(ШколыСтарт=0,0,'03_Сеть'!BK18/ШколыСтарт)+('03_Сеть'!BK20*'07_Тарифы'!BA$8)*ГруппыДоля*(ГруппыСтавка*('03_Сеть'!BK7&lt;ДатаПереходаСтавки)+СтавкаРоялтиВсех*('03_Сеть'!BK7&gt;=ДатаПереходаСтавки))+ABS(ГруппыФикс*ГруппыТочек*IF(ШколыСтарт=0,0,'03_Сеть'!BK18/ШколыСтарт)-('03_Сеть'!BK20*'07_Тарифы'!BA$8)*ГруппыДоля*(ГруппыСтавка*('03_Сеть'!BK7&lt;ДатаПереходаСтавки)+СтавкаРоялтиВсех*('03_Сеть'!BK7&gt;=ДатаПереходаСтавки))))/2)</f>
        <v/>
      </c>
      <c r="BL17" s="87">
        <f>SUMPRODUCT((ГруппыФикс*ГруппыТочек*IF(ШколыСтарт=0,0,'03_Сеть'!BL18/ШколыСтарт)+('03_Сеть'!BL20*'07_Тарифы'!BB$8)*ГруппыДоля*(ГруппыСтавка*('03_Сеть'!BL7&lt;ДатаПереходаСтавки)+СтавкаРоялтиВсех*('03_Сеть'!BL7&gt;=ДатаПереходаСтавки))+ABS(ГруппыФикс*ГруппыТочек*IF(ШколыСтарт=0,0,'03_Сеть'!BL18/ШколыСтарт)-('03_Сеть'!BL20*'07_Тарифы'!BB$8)*ГруппыДоля*(ГруппыСтавка*('03_Сеть'!BL7&lt;ДатаПереходаСтавки)+СтавкаРоялтиВсех*('03_Сеть'!BL7&gt;=ДатаПереходаСтавки))))/2)</f>
        <v/>
      </c>
      <c r="BM17" s="87">
        <f>SUMPRODUCT((ГруппыФикс*ГруппыТочек*IF(ШколыСтарт=0,0,'03_Сеть'!BM18/ШколыСтарт)+('03_Сеть'!BM20*'07_Тарифы'!BC$8)*ГруппыДоля*(ГруппыСтавка*('03_Сеть'!BM7&lt;ДатаПереходаСтавки)+СтавкаРоялтиВсех*('03_Сеть'!BM7&gt;=ДатаПереходаСтавки))+ABS(ГруппыФикс*ГруппыТочек*IF(ШколыСтарт=0,0,'03_Сеть'!BM18/ШколыСтарт)-('03_Сеть'!BM20*'07_Тарифы'!BC$8)*ГруппыДоля*(ГруппыСтавка*('03_Сеть'!BM7&lt;ДатаПереходаСтавки)+СтавкаРоялтиВсех*('03_Сеть'!BM7&gt;=ДатаПереходаСтавки))))/2)</f>
        <v/>
      </c>
      <c r="BN17" s="87">
        <f>SUMPRODUCT((ГруппыФикс*ГруппыТочек*IF(ШколыСтарт=0,0,'03_Сеть'!BN18/ШколыСтарт)+('03_Сеть'!BN20*'07_Тарифы'!BD$8)*ГруппыДоля*(ГруппыСтавка*('03_Сеть'!BN7&lt;ДатаПереходаСтавки)+СтавкаРоялтиВсех*('03_Сеть'!BN7&gt;=ДатаПереходаСтавки))+ABS(ГруппыФикс*ГруппыТочек*IF(ШколыСтарт=0,0,'03_Сеть'!BN18/ШколыСтарт)-('03_Сеть'!BN20*'07_Тарифы'!BD$8)*ГруппыДоля*(ГруппыСтавка*('03_Сеть'!BN7&lt;ДатаПереходаСтавки)+СтавкаРоялтиВсех*('03_Сеть'!BN7&gt;=ДатаПереходаСтавки))))/2)</f>
        <v/>
      </c>
      <c r="BO17" s="87">
        <f>SUMPRODUCT((ГруппыФикс*ГруппыТочек*IF(ШколыСтарт=0,0,'03_Сеть'!BO18/ШколыСтарт)+('03_Сеть'!BO20*'07_Тарифы'!BE$8)*ГруппыДоля*(ГруппыСтавка*('03_Сеть'!BO7&lt;ДатаПереходаСтавки)+СтавкаРоялтиВсех*('03_Сеть'!BO7&gt;=ДатаПереходаСтавки))+ABS(ГруппыФикс*ГруппыТочек*IF(ШколыСтарт=0,0,'03_Сеть'!BO18/ШколыСтарт)-('03_Сеть'!BO20*'07_Тарифы'!BE$8)*ГруппыДоля*(ГруппыСтавка*('03_Сеть'!BO7&lt;ДатаПереходаСтавки)+СтавкаРоялтиВсех*('03_Сеть'!BO7&gt;=ДатаПереходаСтавки))))/2)</f>
        <v/>
      </c>
      <c r="BP17" s="87">
        <f>SUMPRODUCT((ГруппыФикс*ГруппыТочек*IF(ШколыСтарт=0,0,'03_Сеть'!BP18/ШколыСтарт)+('03_Сеть'!BP20*'07_Тарифы'!BF$8)*ГруппыДоля*(ГруппыСтавка*('03_Сеть'!BP7&lt;ДатаПереходаСтавки)+СтавкаРоялтиВсех*('03_Сеть'!BP7&gt;=ДатаПереходаСтавки))+ABS(ГруппыФикс*ГруппыТочек*IF(ШколыСтарт=0,0,'03_Сеть'!BP18/ШколыСтарт)-('03_Сеть'!BP20*'07_Тарифы'!BF$8)*ГруппыДоля*(ГруппыСтавка*('03_Сеть'!BP7&lt;ДатаПереходаСтавки)+СтавкаРоялтиВсех*('03_Сеть'!BP7&gt;=ДатаПереходаСтавки))))/2)</f>
        <v/>
      </c>
      <c r="BQ17" s="87">
        <f>SUMPRODUCT((ГруппыФикс*ГруппыТочек*IF(ШколыСтарт=0,0,'03_Сеть'!BQ18/ШколыСтарт)+('03_Сеть'!BQ20*'07_Тарифы'!BG$8)*ГруппыДоля*(ГруппыСтавка*('03_Сеть'!BQ7&lt;ДатаПереходаСтавки)+СтавкаРоялтиВсех*('03_Сеть'!BQ7&gt;=ДатаПереходаСтавки))+ABS(ГруппыФикс*ГруппыТочек*IF(ШколыСтарт=0,0,'03_Сеть'!BQ18/ШколыСтарт)-('03_Сеть'!BQ20*'07_Тарифы'!BG$8)*ГруппыДоля*(ГруппыСтавка*('03_Сеть'!BQ7&lt;ДатаПереходаСтавки)+СтавкаРоялтиВсех*('03_Сеть'!BQ7&gt;=ДатаПереходаСтавки))))/2)</f>
        <v/>
      </c>
      <c r="BR17" s="87">
        <f>SUMPRODUCT((ГруппыФикс*ГруппыТочек*IF(ШколыСтарт=0,0,'03_Сеть'!BR18/ШколыСтарт)+('03_Сеть'!BR20*'07_Тарифы'!BH$8)*ГруппыДоля*(ГруппыСтавка*('03_Сеть'!BR7&lt;ДатаПереходаСтавки)+СтавкаРоялтиВсех*('03_Сеть'!BR7&gt;=ДатаПереходаСтавки))+ABS(ГруппыФикс*ГруппыТочек*IF(ШколыСтарт=0,0,'03_Сеть'!BR18/ШколыСтарт)-('03_Сеть'!BR20*'07_Тарифы'!BH$8)*ГруппыДоля*(ГруппыСтавка*('03_Сеть'!BR7&lt;ДатаПереходаСтавки)+СтавкаРоялтиВсех*('03_Сеть'!BR7&gt;=ДатаПереходаСтавки))))/2)</f>
        <v/>
      </c>
      <c r="BS17" s="87">
        <f>SUMPRODUCT((ГруппыФикс*ГруппыТочек*IF(ШколыСтарт=0,0,'03_Сеть'!BS18/ШколыСтарт)+('03_Сеть'!BS20*'07_Тарифы'!BI$8)*ГруппыДоля*(ГруппыСтавка*('03_Сеть'!BS7&lt;ДатаПереходаСтавки)+СтавкаРоялтиВсех*('03_Сеть'!BS7&gt;=ДатаПереходаСтавки))+ABS(ГруппыФикс*ГруппыТочек*IF(ШколыСтарт=0,0,'03_Сеть'!BS18/ШколыСтарт)-('03_Сеть'!BS20*'07_Тарифы'!BI$8)*ГруппыДоля*(ГруппыСтавка*('03_Сеть'!BS7&lt;ДатаПереходаСтавки)+СтавкаРоялтиВсех*('03_Сеть'!BS7&gt;=ДатаПереходаСтавки))))/2)</f>
        <v/>
      </c>
      <c r="BT17" s="87">
        <f>SUMPRODUCT((ГруппыФикс*ГруппыТочек*IF(ШколыСтарт=0,0,'03_Сеть'!BT18/ШколыСтарт)+('03_Сеть'!BT20*'07_Тарифы'!BJ$8)*ГруппыДоля*(ГруппыСтавка*('03_Сеть'!BT7&lt;ДатаПереходаСтавки)+СтавкаРоялтиВсех*('03_Сеть'!BT7&gt;=ДатаПереходаСтавки))+ABS(ГруппыФикс*ГруппыТочек*IF(ШколыСтарт=0,0,'03_Сеть'!BT18/ШколыСтарт)-('03_Сеть'!BT20*'07_Тарифы'!BJ$8)*ГруппыДоля*(ГруппыСтавка*('03_Сеть'!BT7&lt;ДатаПереходаСтавки)+СтавкаРоялтиВсех*('03_Сеть'!BT7&gt;=ДатаПереходаСтавки))))/2)</f>
        <v/>
      </c>
      <c r="BU17" s="87">
        <f>SUMPRODUCT((ГруппыФикс*ГруппыТочек*IF(ШколыСтарт=0,0,'03_Сеть'!BU18/ШколыСтарт)+('03_Сеть'!BU20*'07_Тарифы'!BK$8)*ГруппыДоля*(ГруппыСтавка*('03_Сеть'!BU7&lt;ДатаПереходаСтавки)+СтавкаРоялтиВсех*('03_Сеть'!BU7&gt;=ДатаПереходаСтавки))+ABS(ГруппыФикс*ГруппыТочек*IF(ШколыСтарт=0,0,'03_Сеть'!BU18/ШколыСтарт)-('03_Сеть'!BU20*'07_Тарифы'!BK$8)*ГруппыДоля*(ГруппыСтавка*('03_Сеть'!BU7&lt;ДатаПереходаСтавки)+СтавкаРоялтиВсех*('03_Сеть'!BU7&gt;=ДатаПереходаСтавки))))/2)</f>
        <v/>
      </c>
      <c r="BV17" s="87">
        <f>SUMPRODUCT((ГруппыФикс*ГруппыТочек*IF(ШколыСтарт=0,0,'03_Сеть'!BV18/ШколыСтарт)+('03_Сеть'!BV20*'07_Тарифы'!BL$8)*ГруппыДоля*(ГруппыСтавка*('03_Сеть'!BV7&lt;ДатаПереходаСтавки)+СтавкаРоялтиВсех*('03_Сеть'!BV7&gt;=ДатаПереходаСтавки))+ABS(ГруппыФикс*ГруппыТочек*IF(ШколыСтарт=0,0,'03_Сеть'!BV18/ШколыСтарт)-('03_Сеть'!BV20*'07_Тарифы'!BL$8)*ГруппыДоля*(ГруппыСтавка*('03_Сеть'!BV7&lt;ДатаПереходаСтавки)+СтавкаРоялтиВсех*('03_Сеть'!BV7&gt;=ДатаПереходаСтавки))))/2)</f>
        <v/>
      </c>
      <c r="BW17" s="87">
        <f>SUMPRODUCT((ГруппыФикс*ГруппыТочек*IF(ШколыСтарт=0,0,'03_Сеть'!BW18/ШколыСтарт)+('03_Сеть'!BW20*'07_Тарифы'!BM$8)*ГруппыДоля*(ГруппыСтавка*('03_Сеть'!BW7&lt;ДатаПереходаСтавки)+СтавкаРоялтиВсех*('03_Сеть'!BW7&gt;=ДатаПереходаСтавки))+ABS(ГруппыФикс*ГруппыТочек*IF(ШколыСтарт=0,0,'03_Сеть'!BW18/ШколыСтарт)-('03_Сеть'!BW20*'07_Тарифы'!BM$8)*ГруппыДоля*(ГруппыСтавка*('03_Сеть'!BW7&lt;ДатаПереходаСтавки)+СтавкаРоялтиВсех*('03_Сеть'!BW7&gt;=ДатаПереходаСтавки))))/2)</f>
        <v/>
      </c>
      <c r="BX17" s="87">
        <f>SUMPRODUCT((ГруппыФикс*ГруппыТочек*IF(ШколыСтарт=0,0,'03_Сеть'!BX18/ШколыСтарт)+('03_Сеть'!BX20*'07_Тарифы'!BN$8)*ГруппыДоля*(ГруппыСтавка*('03_Сеть'!BX7&lt;ДатаПереходаСтавки)+СтавкаРоялтиВсех*('03_Сеть'!BX7&gt;=ДатаПереходаСтавки))+ABS(ГруппыФикс*ГруппыТочек*IF(ШколыСтарт=0,0,'03_Сеть'!BX18/ШколыСтарт)-('03_Сеть'!BX20*'07_Тарифы'!BN$8)*ГруппыДоля*(ГруппыСтавка*('03_Сеть'!BX7&lt;ДатаПереходаСтавки)+СтавкаРоялтиВсех*('03_Сеть'!BX7&gt;=ДатаПереходаСтавки))))/2)</f>
        <v/>
      </c>
      <c r="BY17" s="87">
        <f>SUMPRODUCT((ГруппыФикс*ГруппыТочек*IF(ШколыСтарт=0,0,'03_Сеть'!BY18/ШколыСтарт)+('03_Сеть'!BY20*'07_Тарифы'!BO$8)*ГруппыДоля*(ГруппыСтавка*('03_Сеть'!BY7&lt;ДатаПереходаСтавки)+СтавкаРоялтиВсех*('03_Сеть'!BY7&gt;=ДатаПереходаСтавки))+ABS(ГруппыФикс*ГруппыТочек*IF(ШколыСтарт=0,0,'03_Сеть'!BY18/ШколыСтарт)-('03_Сеть'!BY20*'07_Тарифы'!BO$8)*ГруппыДоля*(ГруппыСтавка*('03_Сеть'!BY7&lt;ДатаПереходаСтавки)+СтавкаРоялтиВсех*('03_Сеть'!BY7&gt;=ДатаПереходаСтавки))))/2)</f>
        <v/>
      </c>
    </row>
    <row r="19">
      <c r="B19" s="54" t="inlineStr">
        <is>
          <t>Школы по возрасту: договоры до перехода на новую ставку</t>
        </is>
      </c>
      <c r="C19" s="55" t="n"/>
      <c r="D19" s="55" t="n"/>
      <c r="E19" s="55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  <c r="O19" s="55" t="n"/>
      <c r="P19" s="55" t="n"/>
      <c r="Q19" s="55" t="n"/>
      <c r="R19" s="55" t="n"/>
      <c r="S19" s="55" t="n"/>
      <c r="T19" s="55" t="n"/>
      <c r="U19" s="55" t="n"/>
      <c r="V19" s="55" t="n"/>
      <c r="W19" s="55" t="n"/>
      <c r="X19" s="55" t="n"/>
      <c r="Y19" s="55" t="n"/>
      <c r="Z19" s="55" t="n"/>
      <c r="AA19" s="55" t="n"/>
      <c r="AB19" s="55" t="n"/>
      <c r="AC19" s="55" t="n"/>
      <c r="AD19" s="55" t="n"/>
      <c r="AE19" s="55" t="n"/>
      <c r="AF19" s="55" t="n"/>
      <c r="AG19" s="55" t="n"/>
      <c r="AH19" s="55" t="n"/>
      <c r="AI19" s="55" t="n"/>
      <c r="AJ19" s="55" t="n"/>
      <c r="AK19" s="55" t="n"/>
      <c r="AL19" s="55" t="n"/>
      <c r="AM19" s="55" t="n"/>
      <c r="AN19" s="55" t="n"/>
      <c r="AO19" s="55" t="n"/>
      <c r="AP19" s="55" t="n"/>
      <c r="AQ19" s="55" t="n"/>
      <c r="AR19" s="55" t="n"/>
      <c r="AS19" s="55" t="n"/>
      <c r="AT19" s="55" t="n"/>
      <c r="AU19" s="55" t="n"/>
      <c r="AV19" s="55" t="n"/>
      <c r="AW19" s="55" t="n"/>
      <c r="AX19" s="55" t="n"/>
      <c r="AY19" s="55" t="n"/>
      <c r="AZ19" s="55" t="n"/>
      <c r="BA19" s="55" t="n"/>
      <c r="BB19" s="55" t="n"/>
      <c r="BC19" s="55" t="n"/>
      <c r="BD19" s="55" t="n"/>
      <c r="BE19" s="55" t="n"/>
      <c r="BF19" s="55" t="n"/>
      <c r="BG19" s="55" t="n"/>
      <c r="BH19" s="55" t="n"/>
      <c r="BI19" s="55" t="n"/>
      <c r="BJ19" s="55" t="n"/>
      <c r="BK19" s="55" t="n"/>
      <c r="BL19" s="55" t="n"/>
      <c r="BM19" s="55" t="n"/>
      <c r="BN19" s="55" t="n"/>
      <c r="BO19" s="55" t="n"/>
      <c r="BP19" s="55" t="n"/>
      <c r="BQ19" s="55" t="n"/>
      <c r="BR19" s="55" t="n"/>
      <c r="BS19" s="55" t="n"/>
      <c r="BT19" s="55" t="n"/>
      <c r="BU19" s="55" t="n"/>
      <c r="BV19" s="55" t="n"/>
      <c r="BW19" s="55" t="n"/>
      <c r="BX19" s="55" t="n"/>
      <c r="BY19" s="55" t="n"/>
    </row>
    <row r="20">
      <c r="B20" s="56" t="inlineStr">
        <is>
          <t>Открытия по старым договорам</t>
        </is>
      </c>
      <c r="C20" s="56" t="inlineStr">
        <is>
          <t>шт.</t>
        </is>
      </c>
      <c r="D20" s="57" t="inlineStr">
        <is>
          <t>Школа считается «старой», если франшизу купили до граничной даты</t>
        </is>
      </c>
      <c r="E20" s="59">
        <f>SUM(L20:W20)</f>
        <v/>
      </c>
      <c r="F20" s="59">
        <f>SUM(X20:AI20)</f>
        <v/>
      </c>
      <c r="G20" s="59">
        <f>SUM(AJ20:AU20)</f>
        <v/>
      </c>
      <c r="H20" s="59">
        <f>SUM(AV20:BG20)</f>
        <v/>
      </c>
      <c r="I20" s="59">
        <f>SUM(BH20:BS20)</f>
        <v/>
      </c>
      <c r="J20" s="61">
        <f>SUM(L20:BS20)</f>
        <v/>
      </c>
      <c r="L20" s="62">
        <f t="array" ref="L20">IF(1-ЛагОткрытия&lt;1,0,IF(INDEX('03_Сеть'!$L7:$BY7,1,1-ЛагОткрытия)&lt;=ДатаLegacy,'03_Сеть'!L14,0))</f>
        <v/>
      </c>
      <c r="M20" s="62">
        <f t="array" ref="M20">IF(2-ЛагОткрытия&lt;1,0,IF(INDEX('03_Сеть'!$L7:$BY7,1,2-ЛагОткрытия)&lt;=ДатаLegacy,'03_Сеть'!M14,0))</f>
        <v/>
      </c>
      <c r="N20" s="62">
        <f t="array" ref="N20">IF(3-ЛагОткрытия&lt;1,0,IF(INDEX('03_Сеть'!$L7:$BY7,1,3-ЛагОткрытия)&lt;=ДатаLegacy,'03_Сеть'!N14,0))</f>
        <v/>
      </c>
      <c r="O20" s="62">
        <f t="array" ref="O20">IF(4-ЛагОткрытия&lt;1,0,IF(INDEX('03_Сеть'!$L7:$BY7,1,4-ЛагОткрытия)&lt;=ДатаLegacy,'03_Сеть'!O14,0))</f>
        <v/>
      </c>
      <c r="P20" s="62">
        <f t="array" ref="P20">IF(5-ЛагОткрытия&lt;1,0,IF(INDEX('03_Сеть'!$L7:$BY7,1,5-ЛагОткрытия)&lt;=ДатаLegacy,'03_Сеть'!P14,0))</f>
        <v/>
      </c>
      <c r="Q20" s="62">
        <f t="array" ref="Q20">IF(6-ЛагОткрытия&lt;1,0,IF(INDEX('03_Сеть'!$L7:$BY7,1,6-ЛагОткрытия)&lt;=ДатаLegacy,'03_Сеть'!Q14,0))</f>
        <v/>
      </c>
      <c r="R20" s="62">
        <f t="array" ref="R20">IF(7-ЛагОткрытия&lt;1,0,IF(INDEX('03_Сеть'!$L7:$BY7,1,7-ЛагОткрытия)&lt;=ДатаLegacy,'03_Сеть'!R14,0))</f>
        <v/>
      </c>
      <c r="S20" s="62">
        <f t="array" ref="S20">IF(8-ЛагОткрытия&lt;1,0,IF(INDEX('03_Сеть'!$L7:$BY7,1,8-ЛагОткрытия)&lt;=ДатаLegacy,'03_Сеть'!S14,0))</f>
        <v/>
      </c>
      <c r="T20" s="62">
        <f t="array" ref="T20">IF(9-ЛагОткрытия&lt;1,0,IF(INDEX('03_Сеть'!$L7:$BY7,1,9-ЛагОткрытия)&lt;=ДатаLegacy,'03_Сеть'!T14,0))</f>
        <v/>
      </c>
      <c r="U20" s="62">
        <f t="array" ref="U20">IF(10-ЛагОткрытия&lt;1,0,IF(INDEX('03_Сеть'!$L7:$BY7,1,10-ЛагОткрытия)&lt;=ДатаLegacy,'03_Сеть'!U14,0))</f>
        <v/>
      </c>
      <c r="V20" s="62">
        <f t="array" ref="V20">IF(11-ЛагОткрытия&lt;1,0,IF(INDEX('03_Сеть'!$L7:$BY7,1,11-ЛагОткрытия)&lt;=ДатаLegacy,'03_Сеть'!V14,0))</f>
        <v/>
      </c>
      <c r="W20" s="62">
        <f t="array" ref="W20">IF(12-ЛагОткрытия&lt;1,0,IF(INDEX('03_Сеть'!$L7:$BY7,1,12-ЛагОткрытия)&lt;=ДатаLegacy,'03_Сеть'!W14,0))</f>
        <v/>
      </c>
      <c r="X20" s="62">
        <f t="array" ref="X20">IF(13-ЛагОткрытия&lt;1,0,IF(INDEX('03_Сеть'!$L7:$BY7,1,13-ЛагОткрытия)&lt;=ДатаLegacy,'03_Сеть'!X14,0))</f>
        <v/>
      </c>
      <c r="Y20" s="62">
        <f t="array" ref="Y20">IF(14-ЛагОткрытия&lt;1,0,IF(INDEX('03_Сеть'!$L7:$BY7,1,14-ЛагОткрытия)&lt;=ДатаLegacy,'03_Сеть'!Y14,0))</f>
        <v/>
      </c>
      <c r="Z20" s="62">
        <f t="array" ref="Z20">IF(15-ЛагОткрытия&lt;1,0,IF(INDEX('03_Сеть'!$L7:$BY7,1,15-ЛагОткрытия)&lt;=ДатаLegacy,'03_Сеть'!Z14,0))</f>
        <v/>
      </c>
      <c r="AA20" s="62">
        <f t="array" ref="AA20">IF(16-ЛагОткрытия&lt;1,0,IF(INDEX('03_Сеть'!$L7:$BY7,1,16-ЛагОткрытия)&lt;=ДатаLegacy,'03_Сеть'!AA14,0))</f>
        <v/>
      </c>
      <c r="AB20" s="62">
        <f t="array" ref="AB20">IF(17-ЛагОткрытия&lt;1,0,IF(INDEX('03_Сеть'!$L7:$BY7,1,17-ЛагОткрытия)&lt;=ДатаLegacy,'03_Сеть'!AB14,0))</f>
        <v/>
      </c>
      <c r="AC20" s="62">
        <f t="array" ref="AC20">IF(18-ЛагОткрытия&lt;1,0,IF(INDEX('03_Сеть'!$L7:$BY7,1,18-ЛагОткрытия)&lt;=ДатаLegacy,'03_Сеть'!AC14,0))</f>
        <v/>
      </c>
      <c r="AD20" s="62">
        <f t="array" ref="AD20">IF(19-ЛагОткрытия&lt;1,0,IF(INDEX('03_Сеть'!$L7:$BY7,1,19-ЛагОткрытия)&lt;=ДатаLegacy,'03_Сеть'!AD14,0))</f>
        <v/>
      </c>
      <c r="AE20" s="62">
        <f t="array" ref="AE20">IF(20-ЛагОткрытия&lt;1,0,IF(INDEX('03_Сеть'!$L7:$BY7,1,20-ЛагОткрытия)&lt;=ДатаLegacy,'03_Сеть'!AE14,0))</f>
        <v/>
      </c>
      <c r="AF20" s="62">
        <f t="array" ref="AF20">IF(21-ЛагОткрытия&lt;1,0,IF(INDEX('03_Сеть'!$L7:$BY7,1,21-ЛагОткрытия)&lt;=ДатаLegacy,'03_Сеть'!AF14,0))</f>
        <v/>
      </c>
      <c r="AG20" s="62">
        <f t="array" ref="AG20">IF(22-ЛагОткрытия&lt;1,0,IF(INDEX('03_Сеть'!$L7:$BY7,1,22-ЛагОткрытия)&lt;=ДатаLegacy,'03_Сеть'!AG14,0))</f>
        <v/>
      </c>
      <c r="AH20" s="62">
        <f t="array" ref="AH20">IF(23-ЛагОткрытия&lt;1,0,IF(INDEX('03_Сеть'!$L7:$BY7,1,23-ЛагОткрытия)&lt;=ДатаLegacy,'03_Сеть'!AH14,0))</f>
        <v/>
      </c>
      <c r="AI20" s="62">
        <f t="array" ref="AI20">IF(24-ЛагОткрытия&lt;1,0,IF(INDEX('03_Сеть'!$L7:$BY7,1,24-ЛагОткрытия)&lt;=ДатаLegacy,'03_Сеть'!AI14,0))</f>
        <v/>
      </c>
      <c r="AJ20" s="62">
        <f t="array" ref="AJ20">IF(25-ЛагОткрытия&lt;1,0,IF(INDEX('03_Сеть'!$L7:$BY7,1,25-ЛагОткрытия)&lt;=ДатаLegacy,'03_Сеть'!AJ14,0))</f>
        <v/>
      </c>
      <c r="AK20" s="62">
        <f t="array" ref="AK20">IF(26-ЛагОткрытия&lt;1,0,IF(INDEX('03_Сеть'!$L7:$BY7,1,26-ЛагОткрытия)&lt;=ДатаLegacy,'03_Сеть'!AK14,0))</f>
        <v/>
      </c>
      <c r="AL20" s="62">
        <f t="array" ref="AL20">IF(27-ЛагОткрытия&lt;1,0,IF(INDEX('03_Сеть'!$L7:$BY7,1,27-ЛагОткрытия)&lt;=ДатаLegacy,'03_Сеть'!AL14,0))</f>
        <v/>
      </c>
      <c r="AM20" s="62">
        <f t="array" ref="AM20">IF(28-ЛагОткрытия&lt;1,0,IF(INDEX('03_Сеть'!$L7:$BY7,1,28-ЛагОткрытия)&lt;=ДатаLegacy,'03_Сеть'!AM14,0))</f>
        <v/>
      </c>
      <c r="AN20" s="62">
        <f t="array" ref="AN20">IF(29-ЛагОткрытия&lt;1,0,IF(INDEX('03_Сеть'!$L7:$BY7,1,29-ЛагОткрытия)&lt;=ДатаLegacy,'03_Сеть'!AN14,0))</f>
        <v/>
      </c>
      <c r="AO20" s="62">
        <f t="array" ref="AO20">IF(30-ЛагОткрытия&lt;1,0,IF(INDEX('03_Сеть'!$L7:$BY7,1,30-ЛагОткрытия)&lt;=ДатаLegacy,'03_Сеть'!AO14,0))</f>
        <v/>
      </c>
      <c r="AP20" s="62">
        <f t="array" ref="AP20">IF(31-ЛагОткрытия&lt;1,0,IF(INDEX('03_Сеть'!$L7:$BY7,1,31-ЛагОткрытия)&lt;=ДатаLegacy,'03_Сеть'!AP14,0))</f>
        <v/>
      </c>
      <c r="AQ20" s="62">
        <f t="array" ref="AQ20">IF(32-ЛагОткрытия&lt;1,0,IF(INDEX('03_Сеть'!$L7:$BY7,1,32-ЛагОткрытия)&lt;=ДатаLegacy,'03_Сеть'!AQ14,0))</f>
        <v/>
      </c>
      <c r="AR20" s="62">
        <f t="array" ref="AR20">IF(33-ЛагОткрытия&lt;1,0,IF(INDEX('03_Сеть'!$L7:$BY7,1,33-ЛагОткрытия)&lt;=ДатаLegacy,'03_Сеть'!AR14,0))</f>
        <v/>
      </c>
      <c r="AS20" s="62">
        <f t="array" ref="AS20">IF(34-ЛагОткрытия&lt;1,0,IF(INDEX('03_Сеть'!$L7:$BY7,1,34-ЛагОткрытия)&lt;=ДатаLegacy,'03_Сеть'!AS14,0))</f>
        <v/>
      </c>
      <c r="AT20" s="62">
        <f t="array" ref="AT20">IF(35-ЛагОткрытия&lt;1,0,IF(INDEX('03_Сеть'!$L7:$BY7,1,35-ЛагОткрытия)&lt;=ДатаLegacy,'03_Сеть'!AT14,0))</f>
        <v/>
      </c>
      <c r="AU20" s="62">
        <f t="array" ref="AU20">IF(36-ЛагОткрытия&lt;1,0,IF(INDEX('03_Сеть'!$L7:$BY7,1,36-ЛагОткрытия)&lt;=ДатаLegacy,'03_Сеть'!AU14,0))</f>
        <v/>
      </c>
      <c r="AV20" s="62">
        <f t="array" ref="AV20">IF(37-ЛагОткрытия&lt;1,0,IF(INDEX('03_Сеть'!$L7:$BY7,1,37-ЛагОткрытия)&lt;=ДатаLegacy,'03_Сеть'!AV14,0))</f>
        <v/>
      </c>
      <c r="AW20" s="62">
        <f t="array" ref="AW20">IF(38-ЛагОткрытия&lt;1,0,IF(INDEX('03_Сеть'!$L7:$BY7,1,38-ЛагОткрытия)&lt;=ДатаLegacy,'03_Сеть'!AW14,0))</f>
        <v/>
      </c>
      <c r="AX20" s="62">
        <f t="array" ref="AX20">IF(39-ЛагОткрытия&lt;1,0,IF(INDEX('03_Сеть'!$L7:$BY7,1,39-ЛагОткрытия)&lt;=ДатаLegacy,'03_Сеть'!AX14,0))</f>
        <v/>
      </c>
      <c r="AY20" s="62">
        <f t="array" ref="AY20">IF(40-ЛагОткрытия&lt;1,0,IF(INDEX('03_Сеть'!$L7:$BY7,1,40-ЛагОткрытия)&lt;=ДатаLegacy,'03_Сеть'!AY14,0))</f>
        <v/>
      </c>
      <c r="AZ20" s="62">
        <f t="array" ref="AZ20">IF(41-ЛагОткрытия&lt;1,0,IF(INDEX('03_Сеть'!$L7:$BY7,1,41-ЛагОткрытия)&lt;=ДатаLegacy,'03_Сеть'!AZ14,0))</f>
        <v/>
      </c>
      <c r="BA20" s="62">
        <f t="array" ref="BA20">IF(42-ЛагОткрытия&lt;1,0,IF(INDEX('03_Сеть'!$L7:$BY7,1,42-ЛагОткрытия)&lt;=ДатаLegacy,'03_Сеть'!BA14,0))</f>
        <v/>
      </c>
      <c r="BB20" s="62">
        <f t="array" ref="BB20">IF(43-ЛагОткрытия&lt;1,0,IF(INDEX('03_Сеть'!$L7:$BY7,1,43-ЛагОткрытия)&lt;=ДатаLegacy,'03_Сеть'!BB14,0))</f>
        <v/>
      </c>
      <c r="BC20" s="62">
        <f t="array" ref="BC20">IF(44-ЛагОткрытия&lt;1,0,IF(INDEX('03_Сеть'!$L7:$BY7,1,44-ЛагОткрытия)&lt;=ДатаLegacy,'03_Сеть'!BC14,0))</f>
        <v/>
      </c>
      <c r="BD20" s="62">
        <f t="array" ref="BD20">IF(45-ЛагОткрытия&lt;1,0,IF(INDEX('03_Сеть'!$L7:$BY7,1,45-ЛагОткрытия)&lt;=ДатаLegacy,'03_Сеть'!BD14,0))</f>
        <v/>
      </c>
      <c r="BE20" s="62">
        <f t="array" ref="BE20">IF(46-ЛагОткрытия&lt;1,0,IF(INDEX('03_Сеть'!$L7:$BY7,1,46-ЛагОткрытия)&lt;=ДатаLegacy,'03_Сеть'!BE14,0))</f>
        <v/>
      </c>
      <c r="BF20" s="62">
        <f t="array" ref="BF20">IF(47-ЛагОткрытия&lt;1,0,IF(INDEX('03_Сеть'!$L7:$BY7,1,47-ЛагОткрытия)&lt;=ДатаLegacy,'03_Сеть'!BF14,0))</f>
        <v/>
      </c>
      <c r="BG20" s="62">
        <f t="array" ref="BG20">IF(48-ЛагОткрытия&lt;1,0,IF(INDEX('03_Сеть'!$L7:$BY7,1,48-ЛагОткрытия)&lt;=ДатаLegacy,'03_Сеть'!BG14,0))</f>
        <v/>
      </c>
      <c r="BH20" s="62">
        <f t="array" ref="BH20">IF(49-ЛагОткрытия&lt;1,0,IF(INDEX('03_Сеть'!$L7:$BY7,1,49-ЛагОткрытия)&lt;=ДатаLegacy,'03_Сеть'!BH14,0))</f>
        <v/>
      </c>
      <c r="BI20" s="62">
        <f t="array" ref="BI20">IF(50-ЛагОткрытия&lt;1,0,IF(INDEX('03_Сеть'!$L7:$BY7,1,50-ЛагОткрытия)&lt;=ДатаLegacy,'03_Сеть'!BI14,0))</f>
        <v/>
      </c>
      <c r="BJ20" s="62">
        <f t="array" ref="BJ20">IF(51-ЛагОткрытия&lt;1,0,IF(INDEX('03_Сеть'!$L7:$BY7,1,51-ЛагОткрытия)&lt;=ДатаLegacy,'03_Сеть'!BJ14,0))</f>
        <v/>
      </c>
      <c r="BK20" s="62">
        <f t="array" ref="BK20">IF(52-ЛагОткрытия&lt;1,0,IF(INDEX('03_Сеть'!$L7:$BY7,1,52-ЛагОткрытия)&lt;=ДатаLegacy,'03_Сеть'!BK14,0))</f>
        <v/>
      </c>
      <c r="BL20" s="62">
        <f t="array" ref="BL20">IF(53-ЛагОткрытия&lt;1,0,IF(INDEX('03_Сеть'!$L7:$BY7,1,53-ЛагОткрытия)&lt;=ДатаLegacy,'03_Сеть'!BL14,0))</f>
        <v/>
      </c>
      <c r="BM20" s="62">
        <f t="array" ref="BM20">IF(54-ЛагОткрытия&lt;1,0,IF(INDEX('03_Сеть'!$L7:$BY7,1,54-ЛагОткрытия)&lt;=ДатаLegacy,'03_Сеть'!BM14,0))</f>
        <v/>
      </c>
      <c r="BN20" s="62">
        <f t="array" ref="BN20">IF(55-ЛагОткрытия&lt;1,0,IF(INDEX('03_Сеть'!$L7:$BY7,1,55-ЛагОткрытия)&lt;=ДатаLegacy,'03_Сеть'!BN14,0))</f>
        <v/>
      </c>
      <c r="BO20" s="62">
        <f t="array" ref="BO20">IF(56-ЛагОткрытия&lt;1,0,IF(INDEX('03_Сеть'!$L7:$BY7,1,56-ЛагОткрытия)&lt;=ДатаLegacy,'03_Сеть'!BO14,0))</f>
        <v/>
      </c>
      <c r="BP20" s="62">
        <f t="array" ref="BP20">IF(57-ЛагОткрытия&lt;1,0,IF(INDEX('03_Сеть'!$L7:$BY7,1,57-ЛагОткрытия)&lt;=ДатаLegacy,'03_Сеть'!BP14,0))</f>
        <v/>
      </c>
      <c r="BQ20" s="62">
        <f t="array" ref="BQ20">IF(58-ЛагОткрытия&lt;1,0,IF(INDEX('03_Сеть'!$L7:$BY7,1,58-ЛагОткрытия)&lt;=ДатаLegacy,'03_Сеть'!BQ14,0))</f>
        <v/>
      </c>
      <c r="BR20" s="62">
        <f t="array" ref="BR20">IF(59-ЛагОткрытия&lt;1,0,IF(INDEX('03_Сеть'!$L7:$BY7,1,59-ЛагОткрытия)&lt;=ДатаLegacy,'03_Сеть'!BR14,0))</f>
        <v/>
      </c>
      <c r="BS20" s="62">
        <f t="array" ref="BS20">IF(60-ЛагОткрытия&lt;1,0,IF(INDEX('03_Сеть'!$L7:$BY7,1,60-ЛагОткрытия)&lt;=ДатаLegacy,'03_Сеть'!BS14,0))</f>
        <v/>
      </c>
      <c r="BT20" s="62">
        <f t="array" ref="BT20">IF(61-ЛагОткрытия&lt;1,0,IF(INDEX('03_Сеть'!$L7:$BY7,1,61-ЛагОткрытия)&lt;=ДатаLegacy,'03_Сеть'!BT14,0))</f>
        <v/>
      </c>
      <c r="BU20" s="62">
        <f t="array" ref="BU20">IF(62-ЛагОткрытия&lt;1,0,IF(INDEX('03_Сеть'!$L7:$BY7,1,62-ЛагОткрытия)&lt;=ДатаLegacy,'03_Сеть'!BU14,0))</f>
        <v/>
      </c>
      <c r="BV20" s="62">
        <f t="array" ref="BV20">IF(63-ЛагОткрытия&lt;1,0,IF(INDEX('03_Сеть'!$L7:$BY7,1,63-ЛагОткрытия)&lt;=ДатаLegacy,'03_Сеть'!BV14,0))</f>
        <v/>
      </c>
      <c r="BW20" s="62">
        <f t="array" ref="BW20">IF(64-ЛагОткрытия&lt;1,0,IF(INDEX('03_Сеть'!$L7:$BY7,1,64-ЛагОткрытия)&lt;=ДатаLegacy,'03_Сеть'!BW14,0))</f>
        <v/>
      </c>
      <c r="BX20" s="62">
        <f t="array" ref="BX20">IF(65-ЛагОткрытия&lt;1,0,IF(INDEX('03_Сеть'!$L7:$BY7,1,65-ЛагОткрытия)&lt;=ДатаLegacy,'03_Сеть'!BX14,0))</f>
        <v/>
      </c>
      <c r="BY20" s="62">
        <f t="array" ref="BY20">IF(66-ЛагОткрытия&lt;1,0,IF(INDEX('03_Сеть'!$L7:$BY7,1,66-ЛагОткрытия)&lt;=ДатаLegacy,'03_Сеть'!BY14,0))</f>
        <v/>
      </c>
    </row>
    <row r="21" ht="15.75" customHeight="1" s="194">
      <c r="B21" s="56" t="inlineStr">
        <is>
          <t>1 мес.</t>
        </is>
      </c>
      <c r="C21" s="56" t="inlineStr">
        <is>
          <t>шт.</t>
        </is>
      </c>
      <c r="D21" s="57" t="inlineStr">
        <is>
          <t>В колонках лет — значение на конец года, в «Итого» — на конец пятого года. Это остаток, а не сумма.</t>
        </is>
      </c>
      <c r="E21" s="59">
        <f>W21</f>
        <v/>
      </c>
      <c r="F21" s="59">
        <f>AI21</f>
        <v/>
      </c>
      <c r="G21" s="59">
        <f>AU21</f>
        <v/>
      </c>
      <c r="H21" s="59">
        <f>BG21</f>
        <v/>
      </c>
      <c r="I21" s="59">
        <f>BS21</f>
        <v/>
      </c>
      <c r="J21" s="61">
        <f>BS21</f>
        <v/>
      </c>
      <c r="L21" s="62">
        <f>L20</f>
        <v/>
      </c>
      <c r="M21" s="62">
        <f>M20</f>
        <v/>
      </c>
      <c r="N21" s="62">
        <f>N20</f>
        <v/>
      </c>
      <c r="O21" s="62">
        <f>O20</f>
        <v/>
      </c>
      <c r="P21" s="62">
        <f>P20</f>
        <v/>
      </c>
      <c r="Q21" s="62">
        <f>Q20</f>
        <v/>
      </c>
      <c r="R21" s="62">
        <f>R20</f>
        <v/>
      </c>
      <c r="S21" s="62">
        <f>S20</f>
        <v/>
      </c>
      <c r="T21" s="62">
        <f>T20</f>
        <v/>
      </c>
      <c r="U21" s="62">
        <f>U20</f>
        <v/>
      </c>
      <c r="V21" s="62">
        <f>V20</f>
        <v/>
      </c>
      <c r="W21" s="62">
        <f>W20</f>
        <v/>
      </c>
      <c r="X21" s="62">
        <f>X20</f>
        <v/>
      </c>
      <c r="Y21" s="62">
        <f>Y20</f>
        <v/>
      </c>
      <c r="Z21" s="62">
        <f>Z20</f>
        <v/>
      </c>
      <c r="AA21" s="62">
        <f>AA20</f>
        <v/>
      </c>
      <c r="AB21" s="62">
        <f>AB20</f>
        <v/>
      </c>
      <c r="AC21" s="62">
        <f>AC20</f>
        <v/>
      </c>
      <c r="AD21" s="62">
        <f>AD20</f>
        <v/>
      </c>
      <c r="AE21" s="62">
        <f>AE20</f>
        <v/>
      </c>
      <c r="AF21" s="62">
        <f>AF20</f>
        <v/>
      </c>
      <c r="AG21" s="62">
        <f>AG20</f>
        <v/>
      </c>
      <c r="AH21" s="62">
        <f>AH20</f>
        <v/>
      </c>
      <c r="AI21" s="62">
        <f>AI20</f>
        <v/>
      </c>
      <c r="AJ21" s="62">
        <f>AJ20</f>
        <v/>
      </c>
      <c r="AK21" s="62">
        <f>AK20</f>
        <v/>
      </c>
      <c r="AL21" s="62">
        <f>AL20</f>
        <v/>
      </c>
      <c r="AM21" s="62">
        <f>AM20</f>
        <v/>
      </c>
      <c r="AN21" s="62">
        <f>AN20</f>
        <v/>
      </c>
      <c r="AO21" s="62">
        <f>AO20</f>
        <v/>
      </c>
      <c r="AP21" s="62">
        <f>AP20</f>
        <v/>
      </c>
      <c r="AQ21" s="62">
        <f>AQ20</f>
        <v/>
      </c>
      <c r="AR21" s="62">
        <f>AR20</f>
        <v/>
      </c>
      <c r="AS21" s="62">
        <f>AS20</f>
        <v/>
      </c>
      <c r="AT21" s="62">
        <f>AT20</f>
        <v/>
      </c>
      <c r="AU21" s="62">
        <f>AU20</f>
        <v/>
      </c>
      <c r="AV21" s="62">
        <f>AV20</f>
        <v/>
      </c>
      <c r="AW21" s="62">
        <f>AW20</f>
        <v/>
      </c>
      <c r="AX21" s="62">
        <f>AX20</f>
        <v/>
      </c>
      <c r="AY21" s="62">
        <f>AY20</f>
        <v/>
      </c>
      <c r="AZ21" s="62">
        <f>AZ20</f>
        <v/>
      </c>
      <c r="BA21" s="62">
        <f>BA20</f>
        <v/>
      </c>
      <c r="BB21" s="62">
        <f>BB20</f>
        <v/>
      </c>
      <c r="BC21" s="62">
        <f>BC20</f>
        <v/>
      </c>
      <c r="BD21" s="62">
        <f>BD20</f>
        <v/>
      </c>
      <c r="BE21" s="62">
        <f>BE20</f>
        <v/>
      </c>
      <c r="BF21" s="62">
        <f>BF20</f>
        <v/>
      </c>
      <c r="BG21" s="62">
        <f>BG20</f>
        <v/>
      </c>
      <c r="BH21" s="62">
        <f>BH20</f>
        <v/>
      </c>
      <c r="BI21" s="62">
        <f>BI20</f>
        <v/>
      </c>
      <c r="BJ21" s="62">
        <f>BJ20</f>
        <v/>
      </c>
      <c r="BK21" s="62">
        <f>BK20</f>
        <v/>
      </c>
      <c r="BL21" s="62">
        <f>BL20</f>
        <v/>
      </c>
      <c r="BM21" s="62">
        <f>BM20</f>
        <v/>
      </c>
      <c r="BN21" s="62">
        <f>BN20</f>
        <v/>
      </c>
      <c r="BO21" s="62">
        <f>BO20</f>
        <v/>
      </c>
      <c r="BP21" s="62">
        <f>BP20</f>
        <v/>
      </c>
      <c r="BQ21" s="62">
        <f>BQ20</f>
        <v/>
      </c>
      <c r="BR21" s="62">
        <f>BR20</f>
        <v/>
      </c>
      <c r="BS21" s="62">
        <f>BS20</f>
        <v/>
      </c>
      <c r="BT21" s="62">
        <f>BT20</f>
        <v/>
      </c>
      <c r="BU21" s="62">
        <f>BU20</f>
        <v/>
      </c>
      <c r="BV21" s="62">
        <f>BV20</f>
        <v/>
      </c>
      <c r="BW21" s="62">
        <f>BW20</f>
        <v/>
      </c>
      <c r="BX21" s="62">
        <f>BX20</f>
        <v/>
      </c>
      <c r="BY21" s="62">
        <f>BY20</f>
        <v/>
      </c>
    </row>
    <row r="22" ht="15.75" customHeight="1" s="194">
      <c r="B22" s="56" t="inlineStr">
        <is>
          <t>2 мес.</t>
        </is>
      </c>
      <c r="C22" s="56" t="inlineStr">
        <is>
          <t>шт.</t>
        </is>
      </c>
      <c r="D22" s="57" t="inlineStr">
        <is>
          <t>В колонках лет — значение на конец года, в «Итого» — на конец пятого года. Это остаток, а не сумма.</t>
        </is>
      </c>
      <c r="E22" s="59">
        <f>W22</f>
        <v/>
      </c>
      <c r="F22" s="59">
        <f>AI22</f>
        <v/>
      </c>
      <c r="G22" s="59">
        <f>AU22</f>
        <v/>
      </c>
      <c r="H22" s="59">
        <f>BG22</f>
        <v/>
      </c>
      <c r="I22" s="59">
        <f>BS22</f>
        <v/>
      </c>
      <c r="J22" s="61">
        <f>BS22</f>
        <v/>
      </c>
      <c r="L22" s="62">
        <f>0</f>
        <v/>
      </c>
      <c r="M22" s="62">
        <f>L21*КоэффСохранения</f>
        <v/>
      </c>
      <c r="N22" s="62">
        <f>M21*КоэффСохранения</f>
        <v/>
      </c>
      <c r="O22" s="62">
        <f>N21*КоэффСохранения</f>
        <v/>
      </c>
      <c r="P22" s="62">
        <f>O21*КоэффСохранения</f>
        <v/>
      </c>
      <c r="Q22" s="62">
        <f>P21*КоэффСохранения</f>
        <v/>
      </c>
      <c r="R22" s="62">
        <f>Q21*КоэффСохранения</f>
        <v/>
      </c>
      <c r="S22" s="62">
        <f>R21*КоэффСохранения</f>
        <v/>
      </c>
      <c r="T22" s="62">
        <f>S21*КоэффСохранения</f>
        <v/>
      </c>
      <c r="U22" s="62">
        <f>T21*КоэффСохранения</f>
        <v/>
      </c>
      <c r="V22" s="62">
        <f>U21*КоэффСохранения</f>
        <v/>
      </c>
      <c r="W22" s="62">
        <f>V21*КоэффСохранения</f>
        <v/>
      </c>
      <c r="X22" s="62">
        <f>W21*КоэффСохранения</f>
        <v/>
      </c>
      <c r="Y22" s="62">
        <f>X21*КоэффСохранения</f>
        <v/>
      </c>
      <c r="Z22" s="62">
        <f>Y21*КоэффСохранения</f>
        <v/>
      </c>
      <c r="AA22" s="62">
        <f>Z21*КоэффСохранения</f>
        <v/>
      </c>
      <c r="AB22" s="62">
        <f>AA21*КоэффСохранения</f>
        <v/>
      </c>
      <c r="AC22" s="62">
        <f>AB21*КоэффСохранения</f>
        <v/>
      </c>
      <c r="AD22" s="62">
        <f>AC21*КоэффСохранения</f>
        <v/>
      </c>
      <c r="AE22" s="62">
        <f>AD21*КоэффСохранения</f>
        <v/>
      </c>
      <c r="AF22" s="62">
        <f>AE21*КоэффСохранения</f>
        <v/>
      </c>
      <c r="AG22" s="62">
        <f>AF21*КоэффСохранения</f>
        <v/>
      </c>
      <c r="AH22" s="62">
        <f>AG21*КоэффСохранения</f>
        <v/>
      </c>
      <c r="AI22" s="62">
        <f>AH21*КоэффСохранения</f>
        <v/>
      </c>
      <c r="AJ22" s="62">
        <f>AI21*КоэффСохранения</f>
        <v/>
      </c>
      <c r="AK22" s="62">
        <f>AJ21*КоэффСохранения</f>
        <v/>
      </c>
      <c r="AL22" s="62">
        <f>AK21*КоэффСохранения</f>
        <v/>
      </c>
      <c r="AM22" s="62">
        <f>AL21*КоэффСохранения</f>
        <v/>
      </c>
      <c r="AN22" s="62">
        <f>AM21*КоэффСохранения</f>
        <v/>
      </c>
      <c r="AO22" s="62">
        <f>AN21*КоэффСохранения</f>
        <v/>
      </c>
      <c r="AP22" s="62">
        <f>AO21*КоэффСохранения</f>
        <v/>
      </c>
      <c r="AQ22" s="62">
        <f>AP21*КоэффСохранения</f>
        <v/>
      </c>
      <c r="AR22" s="62">
        <f>AQ21*КоэффСохранения</f>
        <v/>
      </c>
      <c r="AS22" s="62">
        <f>AR21*КоэффСохранения</f>
        <v/>
      </c>
      <c r="AT22" s="62">
        <f>AS21*КоэффСохранения</f>
        <v/>
      </c>
      <c r="AU22" s="62">
        <f>AT21*КоэффСохранения</f>
        <v/>
      </c>
      <c r="AV22" s="62">
        <f>AU21*КоэффСохранения</f>
        <v/>
      </c>
      <c r="AW22" s="62">
        <f>AV21*КоэффСохранения</f>
        <v/>
      </c>
      <c r="AX22" s="62">
        <f>AW21*КоэффСохранения</f>
        <v/>
      </c>
      <c r="AY22" s="62">
        <f>AX21*КоэффСохранения</f>
        <v/>
      </c>
      <c r="AZ22" s="62">
        <f>AY21*КоэффСохранения</f>
        <v/>
      </c>
      <c r="BA22" s="62">
        <f>AZ21*КоэффСохранения</f>
        <v/>
      </c>
      <c r="BB22" s="62">
        <f>BA21*КоэффСохранения</f>
        <v/>
      </c>
      <c r="BC22" s="62">
        <f>BB21*КоэффСохранения</f>
        <v/>
      </c>
      <c r="BD22" s="62">
        <f>BC21*КоэффСохранения</f>
        <v/>
      </c>
      <c r="BE22" s="62">
        <f>BD21*КоэффСохранения</f>
        <v/>
      </c>
      <c r="BF22" s="62">
        <f>BE21*КоэффСохранения</f>
        <v/>
      </c>
      <c r="BG22" s="62">
        <f>BF21*КоэффСохранения</f>
        <v/>
      </c>
      <c r="BH22" s="62">
        <f>BG21*КоэффСохранения</f>
        <v/>
      </c>
      <c r="BI22" s="62">
        <f>BH21*КоэффСохранения</f>
        <v/>
      </c>
      <c r="BJ22" s="62">
        <f>BI21*КоэффСохранения</f>
        <v/>
      </c>
      <c r="BK22" s="62">
        <f>BJ21*КоэффСохранения</f>
        <v/>
      </c>
      <c r="BL22" s="62">
        <f>BK21*КоэффСохранения</f>
        <v/>
      </c>
      <c r="BM22" s="62">
        <f>BL21*КоэффСохранения</f>
        <v/>
      </c>
      <c r="BN22" s="62">
        <f>BM21*КоэффСохранения</f>
        <v/>
      </c>
      <c r="BO22" s="62">
        <f>BN21*КоэффСохранения</f>
        <v/>
      </c>
      <c r="BP22" s="62">
        <f>BO21*КоэффСохранения</f>
        <v/>
      </c>
      <c r="BQ22" s="62">
        <f>BP21*КоэффСохранения</f>
        <v/>
      </c>
      <c r="BR22" s="62">
        <f>BQ21*КоэффСохранения</f>
        <v/>
      </c>
      <c r="BS22" s="62">
        <f>BR21*КоэффСохранения</f>
        <v/>
      </c>
      <c r="BT22" s="62">
        <f>BS21*КоэффСохранения</f>
        <v/>
      </c>
      <c r="BU22" s="62">
        <f>BT21*КоэффСохранения</f>
        <v/>
      </c>
      <c r="BV22" s="62">
        <f>BU21*КоэффСохранения</f>
        <v/>
      </c>
      <c r="BW22" s="62">
        <f>BV21*КоэффСохранения</f>
        <v/>
      </c>
      <c r="BX22" s="62">
        <f>BW21*КоэффСохранения</f>
        <v/>
      </c>
      <c r="BY22" s="62">
        <f>BX21*КоэффСохранения</f>
        <v/>
      </c>
    </row>
    <row r="23" ht="15.75" customHeight="1" s="194">
      <c r="B23" s="56" t="inlineStr">
        <is>
          <t>3 мес.</t>
        </is>
      </c>
      <c r="C23" s="56" t="inlineStr">
        <is>
          <t>шт.</t>
        </is>
      </c>
      <c r="D23" s="57" t="inlineStr">
        <is>
          <t>В колонках лет — значение на конец года, в «Итого» — на конец пятого года. Это остаток, а не сумма.</t>
        </is>
      </c>
      <c r="E23" s="59">
        <f>W23</f>
        <v/>
      </c>
      <c r="F23" s="59">
        <f>AI23</f>
        <v/>
      </c>
      <c r="G23" s="59">
        <f>AU23</f>
        <v/>
      </c>
      <c r="H23" s="59">
        <f>BG23</f>
        <v/>
      </c>
      <c r="I23" s="59">
        <f>BS23</f>
        <v/>
      </c>
      <c r="J23" s="61">
        <f>BS23</f>
        <v/>
      </c>
      <c r="L23" s="62">
        <f>0</f>
        <v/>
      </c>
      <c r="M23" s="62">
        <f>L22*КоэффСохранения</f>
        <v/>
      </c>
      <c r="N23" s="62">
        <f>M22*КоэффСохранения</f>
        <v/>
      </c>
      <c r="O23" s="62">
        <f>N22*КоэффСохранения</f>
        <v/>
      </c>
      <c r="P23" s="62">
        <f>O22*КоэффСохранения</f>
        <v/>
      </c>
      <c r="Q23" s="62">
        <f>P22*КоэффСохранения</f>
        <v/>
      </c>
      <c r="R23" s="62">
        <f>Q22*КоэффСохранения</f>
        <v/>
      </c>
      <c r="S23" s="62">
        <f>R22*КоэффСохранения</f>
        <v/>
      </c>
      <c r="T23" s="62">
        <f>S22*КоэффСохранения</f>
        <v/>
      </c>
      <c r="U23" s="62">
        <f>T22*КоэффСохранения</f>
        <v/>
      </c>
      <c r="V23" s="62">
        <f>U22*КоэффСохранения</f>
        <v/>
      </c>
      <c r="W23" s="62">
        <f>V22*КоэффСохранения</f>
        <v/>
      </c>
      <c r="X23" s="62">
        <f>W22*КоэффСохранения</f>
        <v/>
      </c>
      <c r="Y23" s="62">
        <f>X22*КоэффСохранения</f>
        <v/>
      </c>
      <c r="Z23" s="62">
        <f>Y22*КоэффСохранения</f>
        <v/>
      </c>
      <c r="AA23" s="62">
        <f>Z22*КоэффСохранения</f>
        <v/>
      </c>
      <c r="AB23" s="62">
        <f>AA22*КоэффСохранения</f>
        <v/>
      </c>
      <c r="AC23" s="62">
        <f>AB22*КоэффСохранения</f>
        <v/>
      </c>
      <c r="AD23" s="62">
        <f>AC22*КоэффСохранения</f>
        <v/>
      </c>
      <c r="AE23" s="62">
        <f>AD22*КоэффСохранения</f>
        <v/>
      </c>
      <c r="AF23" s="62">
        <f>AE22*КоэффСохранения</f>
        <v/>
      </c>
      <c r="AG23" s="62">
        <f>AF22*КоэффСохранения</f>
        <v/>
      </c>
      <c r="AH23" s="62">
        <f>AG22*КоэффСохранения</f>
        <v/>
      </c>
      <c r="AI23" s="62">
        <f>AH22*КоэффСохранения</f>
        <v/>
      </c>
      <c r="AJ23" s="62">
        <f>AI22*КоэффСохранения</f>
        <v/>
      </c>
      <c r="AK23" s="62">
        <f>AJ22*КоэффСохранения</f>
        <v/>
      </c>
      <c r="AL23" s="62">
        <f>AK22*КоэффСохранения</f>
        <v/>
      </c>
      <c r="AM23" s="62">
        <f>AL22*КоэффСохранения</f>
        <v/>
      </c>
      <c r="AN23" s="62">
        <f>AM22*КоэффСохранения</f>
        <v/>
      </c>
      <c r="AO23" s="62">
        <f>AN22*КоэффСохранения</f>
        <v/>
      </c>
      <c r="AP23" s="62">
        <f>AO22*КоэффСохранения</f>
        <v/>
      </c>
      <c r="AQ23" s="62">
        <f>AP22*КоэффСохранения</f>
        <v/>
      </c>
      <c r="AR23" s="62">
        <f>AQ22*КоэффСохранения</f>
        <v/>
      </c>
      <c r="AS23" s="62">
        <f>AR22*КоэффСохранения</f>
        <v/>
      </c>
      <c r="AT23" s="62">
        <f>AS22*КоэффСохранения</f>
        <v/>
      </c>
      <c r="AU23" s="62">
        <f>AT22*КоэффСохранения</f>
        <v/>
      </c>
      <c r="AV23" s="62">
        <f>AU22*КоэффСохранения</f>
        <v/>
      </c>
      <c r="AW23" s="62">
        <f>AV22*КоэффСохранения</f>
        <v/>
      </c>
      <c r="AX23" s="62">
        <f>AW22*КоэффСохранения</f>
        <v/>
      </c>
      <c r="AY23" s="62">
        <f>AX22*КоэффСохранения</f>
        <v/>
      </c>
      <c r="AZ23" s="62">
        <f>AY22*КоэффСохранения</f>
        <v/>
      </c>
      <c r="BA23" s="62">
        <f>AZ22*КоэффСохранения</f>
        <v/>
      </c>
      <c r="BB23" s="62">
        <f>BA22*КоэффСохранения</f>
        <v/>
      </c>
      <c r="BC23" s="62">
        <f>BB22*КоэффСохранения</f>
        <v/>
      </c>
      <c r="BD23" s="62">
        <f>BC22*КоэффСохранения</f>
        <v/>
      </c>
      <c r="BE23" s="62">
        <f>BD22*КоэффСохранения</f>
        <v/>
      </c>
      <c r="BF23" s="62">
        <f>BE22*КоэффСохранения</f>
        <v/>
      </c>
      <c r="BG23" s="62">
        <f>BF22*КоэффСохранения</f>
        <v/>
      </c>
      <c r="BH23" s="62">
        <f>BG22*КоэффСохранения</f>
        <v/>
      </c>
      <c r="BI23" s="62">
        <f>BH22*КоэффСохранения</f>
        <v/>
      </c>
      <c r="BJ23" s="62">
        <f>BI22*КоэффСохранения</f>
        <v/>
      </c>
      <c r="BK23" s="62">
        <f>BJ22*КоэффСохранения</f>
        <v/>
      </c>
      <c r="BL23" s="62">
        <f>BK22*КоэффСохранения</f>
        <v/>
      </c>
      <c r="BM23" s="62">
        <f>BL22*КоэффСохранения</f>
        <v/>
      </c>
      <c r="BN23" s="62">
        <f>BM22*КоэффСохранения</f>
        <v/>
      </c>
      <c r="BO23" s="62">
        <f>BN22*КоэффСохранения</f>
        <v/>
      </c>
      <c r="BP23" s="62">
        <f>BO22*КоэффСохранения</f>
        <v/>
      </c>
      <c r="BQ23" s="62">
        <f>BP22*КоэффСохранения</f>
        <v/>
      </c>
      <c r="BR23" s="62">
        <f>BQ22*КоэффСохранения</f>
        <v/>
      </c>
      <c r="BS23" s="62">
        <f>BR22*КоэффСохранения</f>
        <v/>
      </c>
      <c r="BT23" s="62">
        <f>BS22*КоэффСохранения</f>
        <v/>
      </c>
      <c r="BU23" s="62">
        <f>BT22*КоэффСохранения</f>
        <v/>
      </c>
      <c r="BV23" s="62">
        <f>BU22*КоэффСохранения</f>
        <v/>
      </c>
      <c r="BW23" s="62">
        <f>BV22*КоэффСохранения</f>
        <v/>
      </c>
      <c r="BX23" s="62">
        <f>BW22*КоэффСохранения</f>
        <v/>
      </c>
      <c r="BY23" s="62">
        <f>BX22*КоэффСохранения</f>
        <v/>
      </c>
    </row>
    <row r="24" ht="15.75" customHeight="1" s="194">
      <c r="B24" s="56" t="inlineStr">
        <is>
          <t>4 мес.</t>
        </is>
      </c>
      <c r="C24" s="56" t="inlineStr">
        <is>
          <t>шт.</t>
        </is>
      </c>
      <c r="D24" s="57" t="inlineStr">
        <is>
          <t>В колонках лет — значение на конец года, в «Итого» — на конец пятого года. Это остаток, а не сумма.</t>
        </is>
      </c>
      <c r="E24" s="59">
        <f>W24</f>
        <v/>
      </c>
      <c r="F24" s="59">
        <f>AI24</f>
        <v/>
      </c>
      <c r="G24" s="59">
        <f>AU24</f>
        <v/>
      </c>
      <c r="H24" s="59">
        <f>BG24</f>
        <v/>
      </c>
      <c r="I24" s="59">
        <f>BS24</f>
        <v/>
      </c>
      <c r="J24" s="61">
        <f>BS24</f>
        <v/>
      </c>
      <c r="L24" s="62">
        <f>0</f>
        <v/>
      </c>
      <c r="M24" s="62">
        <f>L23*КоэффСохранения</f>
        <v/>
      </c>
      <c r="N24" s="62">
        <f>M23*КоэффСохранения</f>
        <v/>
      </c>
      <c r="O24" s="62">
        <f>N23*КоэффСохранения</f>
        <v/>
      </c>
      <c r="P24" s="62">
        <f>O23*КоэффСохранения</f>
        <v/>
      </c>
      <c r="Q24" s="62">
        <f>P23*КоэффСохранения</f>
        <v/>
      </c>
      <c r="R24" s="62">
        <f>Q23*КоэффСохранения</f>
        <v/>
      </c>
      <c r="S24" s="62">
        <f>R23*КоэффСохранения</f>
        <v/>
      </c>
      <c r="T24" s="62">
        <f>S23*КоэффСохранения</f>
        <v/>
      </c>
      <c r="U24" s="62">
        <f>T23*КоэффСохранения</f>
        <v/>
      </c>
      <c r="V24" s="62">
        <f>U23*КоэффСохранения</f>
        <v/>
      </c>
      <c r="W24" s="62">
        <f>V23*КоэффСохранения</f>
        <v/>
      </c>
      <c r="X24" s="62">
        <f>W23*КоэффСохранения</f>
        <v/>
      </c>
      <c r="Y24" s="62">
        <f>X23*КоэффСохранения</f>
        <v/>
      </c>
      <c r="Z24" s="62">
        <f>Y23*КоэффСохранения</f>
        <v/>
      </c>
      <c r="AA24" s="62">
        <f>Z23*КоэффСохранения</f>
        <v/>
      </c>
      <c r="AB24" s="62">
        <f>AA23*КоэффСохранения</f>
        <v/>
      </c>
      <c r="AC24" s="62">
        <f>AB23*КоэффСохранения</f>
        <v/>
      </c>
      <c r="AD24" s="62">
        <f>AC23*КоэффСохранения</f>
        <v/>
      </c>
      <c r="AE24" s="62">
        <f>AD23*КоэффСохранения</f>
        <v/>
      </c>
      <c r="AF24" s="62">
        <f>AE23*КоэффСохранения</f>
        <v/>
      </c>
      <c r="AG24" s="62">
        <f>AF23*КоэффСохранения</f>
        <v/>
      </c>
      <c r="AH24" s="62">
        <f>AG23*КоэффСохранения</f>
        <v/>
      </c>
      <c r="AI24" s="62">
        <f>AH23*КоэффСохранения</f>
        <v/>
      </c>
      <c r="AJ24" s="62">
        <f>AI23*КоэффСохранения</f>
        <v/>
      </c>
      <c r="AK24" s="62">
        <f>AJ23*КоэффСохранения</f>
        <v/>
      </c>
      <c r="AL24" s="62">
        <f>AK23*КоэффСохранения</f>
        <v/>
      </c>
      <c r="AM24" s="62">
        <f>AL23*КоэффСохранения</f>
        <v/>
      </c>
      <c r="AN24" s="62">
        <f>AM23*КоэффСохранения</f>
        <v/>
      </c>
      <c r="AO24" s="62">
        <f>AN23*КоэффСохранения</f>
        <v/>
      </c>
      <c r="AP24" s="62">
        <f>AO23*КоэффСохранения</f>
        <v/>
      </c>
      <c r="AQ24" s="62">
        <f>AP23*КоэффСохранения</f>
        <v/>
      </c>
      <c r="AR24" s="62">
        <f>AQ23*КоэффСохранения</f>
        <v/>
      </c>
      <c r="AS24" s="62">
        <f>AR23*КоэффСохранения</f>
        <v/>
      </c>
      <c r="AT24" s="62">
        <f>AS23*КоэффСохранения</f>
        <v/>
      </c>
      <c r="AU24" s="62">
        <f>AT23*КоэффСохранения</f>
        <v/>
      </c>
      <c r="AV24" s="62">
        <f>AU23*КоэффСохранения</f>
        <v/>
      </c>
      <c r="AW24" s="62">
        <f>AV23*КоэффСохранения</f>
        <v/>
      </c>
      <c r="AX24" s="62">
        <f>AW23*КоэффСохранения</f>
        <v/>
      </c>
      <c r="AY24" s="62">
        <f>AX23*КоэффСохранения</f>
        <v/>
      </c>
      <c r="AZ24" s="62">
        <f>AY23*КоэффСохранения</f>
        <v/>
      </c>
      <c r="BA24" s="62">
        <f>AZ23*КоэффСохранения</f>
        <v/>
      </c>
      <c r="BB24" s="62">
        <f>BA23*КоэффСохранения</f>
        <v/>
      </c>
      <c r="BC24" s="62">
        <f>BB23*КоэффСохранения</f>
        <v/>
      </c>
      <c r="BD24" s="62">
        <f>BC23*КоэффСохранения</f>
        <v/>
      </c>
      <c r="BE24" s="62">
        <f>BD23*КоэффСохранения</f>
        <v/>
      </c>
      <c r="BF24" s="62">
        <f>BE23*КоэффСохранения</f>
        <v/>
      </c>
      <c r="BG24" s="62">
        <f>BF23*КоэффСохранения</f>
        <v/>
      </c>
      <c r="BH24" s="62">
        <f>BG23*КоэффСохранения</f>
        <v/>
      </c>
      <c r="BI24" s="62">
        <f>BH23*КоэффСохранения</f>
        <v/>
      </c>
      <c r="BJ24" s="62">
        <f>BI23*КоэффСохранения</f>
        <v/>
      </c>
      <c r="BK24" s="62">
        <f>BJ23*КоэффСохранения</f>
        <v/>
      </c>
      <c r="BL24" s="62">
        <f>BK23*КоэффСохранения</f>
        <v/>
      </c>
      <c r="BM24" s="62">
        <f>BL23*КоэффСохранения</f>
        <v/>
      </c>
      <c r="BN24" s="62">
        <f>BM23*КоэффСохранения</f>
        <v/>
      </c>
      <c r="BO24" s="62">
        <f>BN23*КоэффСохранения</f>
        <v/>
      </c>
      <c r="BP24" s="62">
        <f>BO23*КоэффСохранения</f>
        <v/>
      </c>
      <c r="BQ24" s="62">
        <f>BP23*КоэффСохранения</f>
        <v/>
      </c>
      <c r="BR24" s="62">
        <f>BQ23*КоэффСохранения</f>
        <v/>
      </c>
      <c r="BS24" s="62">
        <f>BR23*КоэффСохранения</f>
        <v/>
      </c>
      <c r="BT24" s="62">
        <f>BS23*КоэффСохранения</f>
        <v/>
      </c>
      <c r="BU24" s="62">
        <f>BT23*КоэффСохранения</f>
        <v/>
      </c>
      <c r="BV24" s="62">
        <f>BU23*КоэффСохранения</f>
        <v/>
      </c>
      <c r="BW24" s="62">
        <f>BV23*КоэффСохранения</f>
        <v/>
      </c>
      <c r="BX24" s="62">
        <f>BW23*КоэффСохранения</f>
        <v/>
      </c>
      <c r="BY24" s="62">
        <f>BX23*КоэффСохранения</f>
        <v/>
      </c>
    </row>
    <row r="25" ht="15.75" customHeight="1" s="194">
      <c r="B25" s="56" t="inlineStr">
        <is>
          <t>5 мес.</t>
        </is>
      </c>
      <c r="C25" s="56" t="inlineStr">
        <is>
          <t>шт.</t>
        </is>
      </c>
      <c r="D25" s="57" t="inlineStr">
        <is>
          <t>В колонках лет — значение на конец года, в «Итого» — на конец пятого года. Это остаток, а не сумма.</t>
        </is>
      </c>
      <c r="E25" s="59">
        <f>W25</f>
        <v/>
      </c>
      <c r="F25" s="59">
        <f>AI25</f>
        <v/>
      </c>
      <c r="G25" s="59">
        <f>AU25</f>
        <v/>
      </c>
      <c r="H25" s="59">
        <f>BG25</f>
        <v/>
      </c>
      <c r="I25" s="59">
        <f>BS25</f>
        <v/>
      </c>
      <c r="J25" s="61">
        <f>BS25</f>
        <v/>
      </c>
      <c r="L25" s="62">
        <f>0</f>
        <v/>
      </c>
      <c r="M25" s="62">
        <f>L24*КоэффСохранения</f>
        <v/>
      </c>
      <c r="N25" s="62">
        <f>M24*КоэффСохранения</f>
        <v/>
      </c>
      <c r="O25" s="62">
        <f>N24*КоэффСохранения</f>
        <v/>
      </c>
      <c r="P25" s="62">
        <f>O24*КоэффСохранения</f>
        <v/>
      </c>
      <c r="Q25" s="62">
        <f>P24*КоэффСохранения</f>
        <v/>
      </c>
      <c r="R25" s="62">
        <f>Q24*КоэффСохранения</f>
        <v/>
      </c>
      <c r="S25" s="62">
        <f>R24*КоэффСохранения</f>
        <v/>
      </c>
      <c r="T25" s="62">
        <f>S24*КоэффСохранения</f>
        <v/>
      </c>
      <c r="U25" s="62">
        <f>T24*КоэффСохранения</f>
        <v/>
      </c>
      <c r="V25" s="62">
        <f>U24*КоэффСохранения</f>
        <v/>
      </c>
      <c r="W25" s="62">
        <f>V24*КоэффСохранения</f>
        <v/>
      </c>
      <c r="X25" s="62">
        <f>W24*КоэффСохранения</f>
        <v/>
      </c>
      <c r="Y25" s="62">
        <f>X24*КоэффСохранения</f>
        <v/>
      </c>
      <c r="Z25" s="62">
        <f>Y24*КоэффСохранения</f>
        <v/>
      </c>
      <c r="AA25" s="62">
        <f>Z24*КоэффСохранения</f>
        <v/>
      </c>
      <c r="AB25" s="62">
        <f>AA24*КоэффСохранения</f>
        <v/>
      </c>
      <c r="AC25" s="62">
        <f>AB24*КоэффСохранения</f>
        <v/>
      </c>
      <c r="AD25" s="62">
        <f>AC24*КоэффСохранения</f>
        <v/>
      </c>
      <c r="AE25" s="62">
        <f>AD24*КоэффСохранения</f>
        <v/>
      </c>
      <c r="AF25" s="62">
        <f>AE24*КоэффСохранения</f>
        <v/>
      </c>
      <c r="AG25" s="62">
        <f>AF24*КоэффСохранения</f>
        <v/>
      </c>
      <c r="AH25" s="62">
        <f>AG24*КоэффСохранения</f>
        <v/>
      </c>
      <c r="AI25" s="62">
        <f>AH24*КоэффСохранения</f>
        <v/>
      </c>
      <c r="AJ25" s="62">
        <f>AI24*КоэффСохранения</f>
        <v/>
      </c>
      <c r="AK25" s="62">
        <f>AJ24*КоэффСохранения</f>
        <v/>
      </c>
      <c r="AL25" s="62">
        <f>AK24*КоэффСохранения</f>
        <v/>
      </c>
      <c r="AM25" s="62">
        <f>AL24*КоэффСохранения</f>
        <v/>
      </c>
      <c r="AN25" s="62">
        <f>AM24*КоэффСохранения</f>
        <v/>
      </c>
      <c r="AO25" s="62">
        <f>AN24*КоэффСохранения</f>
        <v/>
      </c>
      <c r="AP25" s="62">
        <f>AO24*КоэффСохранения</f>
        <v/>
      </c>
      <c r="AQ25" s="62">
        <f>AP24*КоэффСохранения</f>
        <v/>
      </c>
      <c r="AR25" s="62">
        <f>AQ24*КоэффСохранения</f>
        <v/>
      </c>
      <c r="AS25" s="62">
        <f>AR24*КоэффСохранения</f>
        <v/>
      </c>
      <c r="AT25" s="62">
        <f>AS24*КоэффСохранения</f>
        <v/>
      </c>
      <c r="AU25" s="62">
        <f>AT24*КоэффСохранения</f>
        <v/>
      </c>
      <c r="AV25" s="62">
        <f>AU24*КоэффСохранения</f>
        <v/>
      </c>
      <c r="AW25" s="62">
        <f>AV24*КоэффСохранения</f>
        <v/>
      </c>
      <c r="AX25" s="62">
        <f>AW24*КоэффСохранения</f>
        <v/>
      </c>
      <c r="AY25" s="62">
        <f>AX24*КоэффСохранения</f>
        <v/>
      </c>
      <c r="AZ25" s="62">
        <f>AY24*КоэффСохранения</f>
        <v/>
      </c>
      <c r="BA25" s="62">
        <f>AZ24*КоэффСохранения</f>
        <v/>
      </c>
      <c r="BB25" s="62">
        <f>BA24*КоэффСохранения</f>
        <v/>
      </c>
      <c r="BC25" s="62">
        <f>BB24*КоэффСохранения</f>
        <v/>
      </c>
      <c r="BD25" s="62">
        <f>BC24*КоэффСохранения</f>
        <v/>
      </c>
      <c r="BE25" s="62">
        <f>BD24*КоэффСохранения</f>
        <v/>
      </c>
      <c r="BF25" s="62">
        <f>BE24*КоэффСохранения</f>
        <v/>
      </c>
      <c r="BG25" s="62">
        <f>BF24*КоэффСохранения</f>
        <v/>
      </c>
      <c r="BH25" s="62">
        <f>BG24*КоэффСохранения</f>
        <v/>
      </c>
      <c r="BI25" s="62">
        <f>BH24*КоэффСохранения</f>
        <v/>
      </c>
      <c r="BJ25" s="62">
        <f>BI24*КоэффСохранения</f>
        <v/>
      </c>
      <c r="BK25" s="62">
        <f>BJ24*КоэффСохранения</f>
        <v/>
      </c>
      <c r="BL25" s="62">
        <f>BK24*КоэффСохранения</f>
        <v/>
      </c>
      <c r="BM25" s="62">
        <f>BL24*КоэффСохранения</f>
        <v/>
      </c>
      <c r="BN25" s="62">
        <f>BM24*КоэффСохранения</f>
        <v/>
      </c>
      <c r="BO25" s="62">
        <f>BN24*КоэффСохранения</f>
        <v/>
      </c>
      <c r="BP25" s="62">
        <f>BO24*КоэффСохранения</f>
        <v/>
      </c>
      <c r="BQ25" s="62">
        <f>BP24*КоэффСохранения</f>
        <v/>
      </c>
      <c r="BR25" s="62">
        <f>BQ24*КоэффСохранения</f>
        <v/>
      </c>
      <c r="BS25" s="62">
        <f>BR24*КоэффСохранения</f>
        <v/>
      </c>
      <c r="BT25" s="62">
        <f>BS24*КоэффСохранения</f>
        <v/>
      </c>
      <c r="BU25" s="62">
        <f>BT24*КоэффСохранения</f>
        <v/>
      </c>
      <c r="BV25" s="62">
        <f>BU24*КоэффСохранения</f>
        <v/>
      </c>
      <c r="BW25" s="62">
        <f>BV24*КоэффСохранения</f>
        <v/>
      </c>
      <c r="BX25" s="62">
        <f>BW24*КоэффСохранения</f>
        <v/>
      </c>
      <c r="BY25" s="62">
        <f>BX24*КоэффСохранения</f>
        <v/>
      </c>
    </row>
    <row r="26" ht="15.75" customHeight="1" s="194">
      <c r="B26" s="56" t="inlineStr">
        <is>
          <t>6 мес.</t>
        </is>
      </c>
      <c r="C26" s="56" t="inlineStr">
        <is>
          <t>шт.</t>
        </is>
      </c>
      <c r="D26" s="57" t="inlineStr">
        <is>
          <t>В колонках лет — значение на конец года, в «Итого» — на конец пятого года. Это остаток, а не сумма.</t>
        </is>
      </c>
      <c r="E26" s="59">
        <f>W26</f>
        <v/>
      </c>
      <c r="F26" s="59">
        <f>AI26</f>
        <v/>
      </c>
      <c r="G26" s="59">
        <f>AU26</f>
        <v/>
      </c>
      <c r="H26" s="59">
        <f>BG26</f>
        <v/>
      </c>
      <c r="I26" s="59">
        <f>BS26</f>
        <v/>
      </c>
      <c r="J26" s="61">
        <f>BS26</f>
        <v/>
      </c>
      <c r="L26" s="62">
        <f>0</f>
        <v/>
      </c>
      <c r="M26" s="62">
        <f>L25*КоэффСохранения</f>
        <v/>
      </c>
      <c r="N26" s="62">
        <f>M25*КоэффСохранения</f>
        <v/>
      </c>
      <c r="O26" s="62">
        <f>N25*КоэффСохранения</f>
        <v/>
      </c>
      <c r="P26" s="62">
        <f>O25*КоэффСохранения</f>
        <v/>
      </c>
      <c r="Q26" s="62">
        <f>P25*КоэффСохранения</f>
        <v/>
      </c>
      <c r="R26" s="62">
        <f>Q25*КоэффСохранения</f>
        <v/>
      </c>
      <c r="S26" s="62">
        <f>R25*КоэффСохранения</f>
        <v/>
      </c>
      <c r="T26" s="62">
        <f>S25*КоэффСохранения</f>
        <v/>
      </c>
      <c r="U26" s="62">
        <f>T25*КоэффСохранения</f>
        <v/>
      </c>
      <c r="V26" s="62">
        <f>U25*КоэффСохранения</f>
        <v/>
      </c>
      <c r="W26" s="62">
        <f>V25*КоэффСохранения</f>
        <v/>
      </c>
      <c r="X26" s="62">
        <f>W25*КоэффСохранения</f>
        <v/>
      </c>
      <c r="Y26" s="62">
        <f>X25*КоэффСохранения</f>
        <v/>
      </c>
      <c r="Z26" s="62">
        <f>Y25*КоэффСохранения</f>
        <v/>
      </c>
      <c r="AA26" s="62">
        <f>Z25*КоэффСохранения</f>
        <v/>
      </c>
      <c r="AB26" s="62">
        <f>AA25*КоэффСохранения</f>
        <v/>
      </c>
      <c r="AC26" s="62">
        <f>AB25*КоэффСохранения</f>
        <v/>
      </c>
      <c r="AD26" s="62">
        <f>AC25*КоэффСохранения</f>
        <v/>
      </c>
      <c r="AE26" s="62">
        <f>AD25*КоэффСохранения</f>
        <v/>
      </c>
      <c r="AF26" s="62">
        <f>AE25*КоэффСохранения</f>
        <v/>
      </c>
      <c r="AG26" s="62">
        <f>AF25*КоэффСохранения</f>
        <v/>
      </c>
      <c r="AH26" s="62">
        <f>AG25*КоэффСохранения</f>
        <v/>
      </c>
      <c r="AI26" s="62">
        <f>AH25*КоэффСохранения</f>
        <v/>
      </c>
      <c r="AJ26" s="62">
        <f>AI25*КоэффСохранения</f>
        <v/>
      </c>
      <c r="AK26" s="62">
        <f>AJ25*КоэффСохранения</f>
        <v/>
      </c>
      <c r="AL26" s="62">
        <f>AK25*КоэффСохранения</f>
        <v/>
      </c>
      <c r="AM26" s="62">
        <f>AL25*КоэффСохранения</f>
        <v/>
      </c>
      <c r="AN26" s="62">
        <f>AM25*КоэффСохранения</f>
        <v/>
      </c>
      <c r="AO26" s="62">
        <f>AN25*КоэффСохранения</f>
        <v/>
      </c>
      <c r="AP26" s="62">
        <f>AO25*КоэффСохранения</f>
        <v/>
      </c>
      <c r="AQ26" s="62">
        <f>AP25*КоэффСохранения</f>
        <v/>
      </c>
      <c r="AR26" s="62">
        <f>AQ25*КоэффСохранения</f>
        <v/>
      </c>
      <c r="AS26" s="62">
        <f>AR25*КоэффСохранения</f>
        <v/>
      </c>
      <c r="AT26" s="62">
        <f>AS25*КоэффСохранения</f>
        <v/>
      </c>
      <c r="AU26" s="62">
        <f>AT25*КоэффСохранения</f>
        <v/>
      </c>
      <c r="AV26" s="62">
        <f>AU25*КоэффСохранения</f>
        <v/>
      </c>
      <c r="AW26" s="62">
        <f>AV25*КоэффСохранения</f>
        <v/>
      </c>
      <c r="AX26" s="62">
        <f>AW25*КоэффСохранения</f>
        <v/>
      </c>
      <c r="AY26" s="62">
        <f>AX25*КоэффСохранения</f>
        <v/>
      </c>
      <c r="AZ26" s="62">
        <f>AY25*КоэффСохранения</f>
        <v/>
      </c>
      <c r="BA26" s="62">
        <f>AZ25*КоэффСохранения</f>
        <v/>
      </c>
      <c r="BB26" s="62">
        <f>BA25*КоэффСохранения</f>
        <v/>
      </c>
      <c r="BC26" s="62">
        <f>BB25*КоэффСохранения</f>
        <v/>
      </c>
      <c r="BD26" s="62">
        <f>BC25*КоэффСохранения</f>
        <v/>
      </c>
      <c r="BE26" s="62">
        <f>BD25*КоэффСохранения</f>
        <v/>
      </c>
      <c r="BF26" s="62">
        <f>BE25*КоэффСохранения</f>
        <v/>
      </c>
      <c r="BG26" s="62">
        <f>BF25*КоэффСохранения</f>
        <v/>
      </c>
      <c r="BH26" s="62">
        <f>BG25*КоэффСохранения</f>
        <v/>
      </c>
      <c r="BI26" s="62">
        <f>BH25*КоэффСохранения</f>
        <v/>
      </c>
      <c r="BJ26" s="62">
        <f>BI25*КоэффСохранения</f>
        <v/>
      </c>
      <c r="BK26" s="62">
        <f>BJ25*КоэффСохранения</f>
        <v/>
      </c>
      <c r="BL26" s="62">
        <f>BK25*КоэффСохранения</f>
        <v/>
      </c>
      <c r="BM26" s="62">
        <f>BL25*КоэффСохранения</f>
        <v/>
      </c>
      <c r="BN26" s="62">
        <f>BM25*КоэффСохранения</f>
        <v/>
      </c>
      <c r="BO26" s="62">
        <f>BN25*КоэффСохранения</f>
        <v/>
      </c>
      <c r="BP26" s="62">
        <f>BO25*КоэффСохранения</f>
        <v/>
      </c>
      <c r="BQ26" s="62">
        <f>BP25*КоэффСохранения</f>
        <v/>
      </c>
      <c r="BR26" s="62">
        <f>BQ25*КоэффСохранения</f>
        <v/>
      </c>
      <c r="BS26" s="62">
        <f>BR25*КоэффСохранения</f>
        <v/>
      </c>
      <c r="BT26" s="62">
        <f>BS25*КоэффСохранения</f>
        <v/>
      </c>
      <c r="BU26" s="62">
        <f>BT25*КоэффСохранения</f>
        <v/>
      </c>
      <c r="BV26" s="62">
        <f>BU25*КоэффСохранения</f>
        <v/>
      </c>
      <c r="BW26" s="62">
        <f>BV25*КоэффСохранения</f>
        <v/>
      </c>
      <c r="BX26" s="62">
        <f>BW25*КоэффСохранения</f>
        <v/>
      </c>
      <c r="BY26" s="62">
        <f>BX25*КоэффСохранения</f>
        <v/>
      </c>
    </row>
    <row r="27" ht="15.75" customHeight="1" s="194">
      <c r="B27" s="56" t="inlineStr">
        <is>
          <t>7 мес.</t>
        </is>
      </c>
      <c r="C27" s="56" t="inlineStr">
        <is>
          <t>шт.</t>
        </is>
      </c>
      <c r="D27" s="57" t="inlineStr">
        <is>
          <t>В колонках лет — значение на конец года, в «Итого» — на конец пятого года. Это остаток, а не сумма.</t>
        </is>
      </c>
      <c r="E27" s="59">
        <f>W27</f>
        <v/>
      </c>
      <c r="F27" s="59">
        <f>AI27</f>
        <v/>
      </c>
      <c r="G27" s="59">
        <f>AU27</f>
        <v/>
      </c>
      <c r="H27" s="59">
        <f>BG27</f>
        <v/>
      </c>
      <c r="I27" s="59">
        <f>BS27</f>
        <v/>
      </c>
      <c r="J27" s="61">
        <f>BS27</f>
        <v/>
      </c>
      <c r="L27" s="62">
        <f>0</f>
        <v/>
      </c>
      <c r="M27" s="62">
        <f>L26*КоэффСохранения</f>
        <v/>
      </c>
      <c r="N27" s="62">
        <f>M26*КоэффСохранения</f>
        <v/>
      </c>
      <c r="O27" s="62">
        <f>N26*КоэффСохранения</f>
        <v/>
      </c>
      <c r="P27" s="62">
        <f>O26*КоэффСохранения</f>
        <v/>
      </c>
      <c r="Q27" s="62">
        <f>P26*КоэффСохранения</f>
        <v/>
      </c>
      <c r="R27" s="62">
        <f>Q26*КоэффСохранения</f>
        <v/>
      </c>
      <c r="S27" s="62">
        <f>R26*КоэффСохранения</f>
        <v/>
      </c>
      <c r="T27" s="62">
        <f>S26*КоэффСохранения</f>
        <v/>
      </c>
      <c r="U27" s="62">
        <f>T26*КоэффСохранения</f>
        <v/>
      </c>
      <c r="V27" s="62">
        <f>U26*КоэффСохранения</f>
        <v/>
      </c>
      <c r="W27" s="62">
        <f>V26*КоэффСохранения</f>
        <v/>
      </c>
      <c r="X27" s="62">
        <f>W26*КоэффСохранения</f>
        <v/>
      </c>
      <c r="Y27" s="62">
        <f>X26*КоэффСохранения</f>
        <v/>
      </c>
      <c r="Z27" s="62">
        <f>Y26*КоэффСохранения</f>
        <v/>
      </c>
      <c r="AA27" s="62">
        <f>Z26*КоэффСохранения</f>
        <v/>
      </c>
      <c r="AB27" s="62">
        <f>AA26*КоэффСохранения</f>
        <v/>
      </c>
      <c r="AC27" s="62">
        <f>AB26*КоэффСохранения</f>
        <v/>
      </c>
      <c r="AD27" s="62">
        <f>AC26*КоэффСохранения</f>
        <v/>
      </c>
      <c r="AE27" s="62">
        <f>AD26*КоэффСохранения</f>
        <v/>
      </c>
      <c r="AF27" s="62">
        <f>AE26*КоэффСохранения</f>
        <v/>
      </c>
      <c r="AG27" s="62">
        <f>AF26*КоэффСохранения</f>
        <v/>
      </c>
      <c r="AH27" s="62">
        <f>AG26*КоэффСохранения</f>
        <v/>
      </c>
      <c r="AI27" s="62">
        <f>AH26*КоэффСохранения</f>
        <v/>
      </c>
      <c r="AJ27" s="62">
        <f>AI26*КоэффСохранения</f>
        <v/>
      </c>
      <c r="AK27" s="62">
        <f>AJ26*КоэффСохранения</f>
        <v/>
      </c>
      <c r="AL27" s="62">
        <f>AK26*КоэффСохранения</f>
        <v/>
      </c>
      <c r="AM27" s="62">
        <f>AL26*КоэффСохранения</f>
        <v/>
      </c>
      <c r="AN27" s="62">
        <f>AM26*КоэффСохранения</f>
        <v/>
      </c>
      <c r="AO27" s="62">
        <f>AN26*КоэффСохранения</f>
        <v/>
      </c>
      <c r="AP27" s="62">
        <f>AO26*КоэффСохранения</f>
        <v/>
      </c>
      <c r="AQ27" s="62">
        <f>AP26*КоэффСохранения</f>
        <v/>
      </c>
      <c r="AR27" s="62">
        <f>AQ26*КоэффСохранения</f>
        <v/>
      </c>
      <c r="AS27" s="62">
        <f>AR26*КоэффСохранения</f>
        <v/>
      </c>
      <c r="AT27" s="62">
        <f>AS26*КоэффСохранения</f>
        <v/>
      </c>
      <c r="AU27" s="62">
        <f>AT26*КоэффСохранения</f>
        <v/>
      </c>
      <c r="AV27" s="62">
        <f>AU26*КоэффСохранения</f>
        <v/>
      </c>
      <c r="AW27" s="62">
        <f>AV26*КоэффСохранения</f>
        <v/>
      </c>
      <c r="AX27" s="62">
        <f>AW26*КоэффСохранения</f>
        <v/>
      </c>
      <c r="AY27" s="62">
        <f>AX26*КоэффСохранения</f>
        <v/>
      </c>
      <c r="AZ27" s="62">
        <f>AY26*КоэффСохранения</f>
        <v/>
      </c>
      <c r="BA27" s="62">
        <f>AZ26*КоэффСохранения</f>
        <v/>
      </c>
      <c r="BB27" s="62">
        <f>BA26*КоэффСохранения</f>
        <v/>
      </c>
      <c r="BC27" s="62">
        <f>BB26*КоэффСохранения</f>
        <v/>
      </c>
      <c r="BD27" s="62">
        <f>BC26*КоэффСохранения</f>
        <v/>
      </c>
      <c r="BE27" s="62">
        <f>BD26*КоэффСохранения</f>
        <v/>
      </c>
      <c r="BF27" s="62">
        <f>BE26*КоэффСохранения</f>
        <v/>
      </c>
      <c r="BG27" s="62">
        <f>BF26*КоэффСохранения</f>
        <v/>
      </c>
      <c r="BH27" s="62">
        <f>BG26*КоэффСохранения</f>
        <v/>
      </c>
      <c r="BI27" s="62">
        <f>BH26*КоэффСохранения</f>
        <v/>
      </c>
      <c r="BJ27" s="62">
        <f>BI26*КоэффСохранения</f>
        <v/>
      </c>
      <c r="BK27" s="62">
        <f>BJ26*КоэффСохранения</f>
        <v/>
      </c>
      <c r="BL27" s="62">
        <f>BK26*КоэффСохранения</f>
        <v/>
      </c>
      <c r="BM27" s="62">
        <f>BL26*КоэффСохранения</f>
        <v/>
      </c>
      <c r="BN27" s="62">
        <f>BM26*КоэффСохранения</f>
        <v/>
      </c>
      <c r="BO27" s="62">
        <f>BN26*КоэффСохранения</f>
        <v/>
      </c>
      <c r="BP27" s="62">
        <f>BO26*КоэффСохранения</f>
        <v/>
      </c>
      <c r="BQ27" s="62">
        <f>BP26*КоэффСохранения</f>
        <v/>
      </c>
      <c r="BR27" s="62">
        <f>BQ26*КоэффСохранения</f>
        <v/>
      </c>
      <c r="BS27" s="62">
        <f>BR26*КоэффСохранения</f>
        <v/>
      </c>
      <c r="BT27" s="62">
        <f>BS26*КоэффСохранения</f>
        <v/>
      </c>
      <c r="BU27" s="62">
        <f>BT26*КоэффСохранения</f>
        <v/>
      </c>
      <c r="BV27" s="62">
        <f>BU26*КоэффСохранения</f>
        <v/>
      </c>
      <c r="BW27" s="62">
        <f>BV26*КоэффСохранения</f>
        <v/>
      </c>
      <c r="BX27" s="62">
        <f>BW26*КоэффСохранения</f>
        <v/>
      </c>
      <c r="BY27" s="62">
        <f>BX26*КоэффСохранения</f>
        <v/>
      </c>
    </row>
    <row r="28" ht="15.75" customHeight="1" s="194">
      <c r="B28" s="56" t="inlineStr">
        <is>
          <t>8 мес.</t>
        </is>
      </c>
      <c r="C28" s="56" t="inlineStr">
        <is>
          <t>шт.</t>
        </is>
      </c>
      <c r="D28" s="57" t="inlineStr">
        <is>
          <t>В колонках лет — значение на конец года, в «Итого» — на конец пятого года. Это остаток, а не сумма.</t>
        </is>
      </c>
      <c r="E28" s="59">
        <f>W28</f>
        <v/>
      </c>
      <c r="F28" s="59">
        <f>AI28</f>
        <v/>
      </c>
      <c r="G28" s="59">
        <f>AU28</f>
        <v/>
      </c>
      <c r="H28" s="59">
        <f>BG28</f>
        <v/>
      </c>
      <c r="I28" s="59">
        <f>BS28</f>
        <v/>
      </c>
      <c r="J28" s="61">
        <f>BS28</f>
        <v/>
      </c>
      <c r="L28" s="62">
        <f>0</f>
        <v/>
      </c>
      <c r="M28" s="62">
        <f>L27*КоэффСохранения</f>
        <v/>
      </c>
      <c r="N28" s="62">
        <f>M27*КоэффСохранения</f>
        <v/>
      </c>
      <c r="O28" s="62">
        <f>N27*КоэффСохранения</f>
        <v/>
      </c>
      <c r="P28" s="62">
        <f>O27*КоэффСохранения</f>
        <v/>
      </c>
      <c r="Q28" s="62">
        <f>P27*КоэффСохранения</f>
        <v/>
      </c>
      <c r="R28" s="62">
        <f>Q27*КоэффСохранения</f>
        <v/>
      </c>
      <c r="S28" s="62">
        <f>R27*КоэффСохранения</f>
        <v/>
      </c>
      <c r="T28" s="62">
        <f>S27*КоэффСохранения</f>
        <v/>
      </c>
      <c r="U28" s="62">
        <f>T27*КоэффСохранения</f>
        <v/>
      </c>
      <c r="V28" s="62">
        <f>U27*КоэффСохранения</f>
        <v/>
      </c>
      <c r="W28" s="62">
        <f>V27*КоэффСохранения</f>
        <v/>
      </c>
      <c r="X28" s="62">
        <f>W27*КоэффСохранения</f>
        <v/>
      </c>
      <c r="Y28" s="62">
        <f>X27*КоэффСохранения</f>
        <v/>
      </c>
      <c r="Z28" s="62">
        <f>Y27*КоэффСохранения</f>
        <v/>
      </c>
      <c r="AA28" s="62">
        <f>Z27*КоэффСохранения</f>
        <v/>
      </c>
      <c r="AB28" s="62">
        <f>AA27*КоэффСохранения</f>
        <v/>
      </c>
      <c r="AC28" s="62">
        <f>AB27*КоэффСохранения</f>
        <v/>
      </c>
      <c r="AD28" s="62">
        <f>AC27*КоэффСохранения</f>
        <v/>
      </c>
      <c r="AE28" s="62">
        <f>AD27*КоэффСохранения</f>
        <v/>
      </c>
      <c r="AF28" s="62">
        <f>AE27*КоэффСохранения</f>
        <v/>
      </c>
      <c r="AG28" s="62">
        <f>AF27*КоэффСохранения</f>
        <v/>
      </c>
      <c r="AH28" s="62">
        <f>AG27*КоэффСохранения</f>
        <v/>
      </c>
      <c r="AI28" s="62">
        <f>AH27*КоэффСохранения</f>
        <v/>
      </c>
      <c r="AJ28" s="62">
        <f>AI27*КоэффСохранения</f>
        <v/>
      </c>
      <c r="AK28" s="62">
        <f>AJ27*КоэффСохранения</f>
        <v/>
      </c>
      <c r="AL28" s="62">
        <f>AK27*КоэффСохранения</f>
        <v/>
      </c>
      <c r="AM28" s="62">
        <f>AL27*КоэффСохранения</f>
        <v/>
      </c>
      <c r="AN28" s="62">
        <f>AM27*КоэффСохранения</f>
        <v/>
      </c>
      <c r="AO28" s="62">
        <f>AN27*КоэффСохранения</f>
        <v/>
      </c>
      <c r="AP28" s="62">
        <f>AO27*КоэффСохранения</f>
        <v/>
      </c>
      <c r="AQ28" s="62">
        <f>AP27*КоэффСохранения</f>
        <v/>
      </c>
      <c r="AR28" s="62">
        <f>AQ27*КоэффСохранения</f>
        <v/>
      </c>
      <c r="AS28" s="62">
        <f>AR27*КоэффСохранения</f>
        <v/>
      </c>
      <c r="AT28" s="62">
        <f>AS27*КоэффСохранения</f>
        <v/>
      </c>
      <c r="AU28" s="62">
        <f>AT27*КоэффСохранения</f>
        <v/>
      </c>
      <c r="AV28" s="62">
        <f>AU27*КоэффСохранения</f>
        <v/>
      </c>
      <c r="AW28" s="62">
        <f>AV27*КоэффСохранения</f>
        <v/>
      </c>
      <c r="AX28" s="62">
        <f>AW27*КоэффСохранения</f>
        <v/>
      </c>
      <c r="AY28" s="62">
        <f>AX27*КоэффСохранения</f>
        <v/>
      </c>
      <c r="AZ28" s="62">
        <f>AY27*КоэффСохранения</f>
        <v/>
      </c>
      <c r="BA28" s="62">
        <f>AZ27*КоэффСохранения</f>
        <v/>
      </c>
      <c r="BB28" s="62">
        <f>BA27*КоэффСохранения</f>
        <v/>
      </c>
      <c r="BC28" s="62">
        <f>BB27*КоэффСохранения</f>
        <v/>
      </c>
      <c r="BD28" s="62">
        <f>BC27*КоэффСохранения</f>
        <v/>
      </c>
      <c r="BE28" s="62">
        <f>BD27*КоэффСохранения</f>
        <v/>
      </c>
      <c r="BF28" s="62">
        <f>BE27*КоэффСохранения</f>
        <v/>
      </c>
      <c r="BG28" s="62">
        <f>BF27*КоэффСохранения</f>
        <v/>
      </c>
      <c r="BH28" s="62">
        <f>BG27*КоэффСохранения</f>
        <v/>
      </c>
      <c r="BI28" s="62">
        <f>BH27*КоэффСохранения</f>
        <v/>
      </c>
      <c r="BJ28" s="62">
        <f>BI27*КоэффСохранения</f>
        <v/>
      </c>
      <c r="BK28" s="62">
        <f>BJ27*КоэффСохранения</f>
        <v/>
      </c>
      <c r="BL28" s="62">
        <f>BK27*КоэффСохранения</f>
        <v/>
      </c>
      <c r="BM28" s="62">
        <f>BL27*КоэффСохранения</f>
        <v/>
      </c>
      <c r="BN28" s="62">
        <f>BM27*КоэффСохранения</f>
        <v/>
      </c>
      <c r="BO28" s="62">
        <f>BN27*КоэффСохранения</f>
        <v/>
      </c>
      <c r="BP28" s="62">
        <f>BO27*КоэффСохранения</f>
        <v/>
      </c>
      <c r="BQ28" s="62">
        <f>BP27*КоэффСохранения</f>
        <v/>
      </c>
      <c r="BR28" s="62">
        <f>BQ27*КоэффСохранения</f>
        <v/>
      </c>
      <c r="BS28" s="62">
        <f>BR27*КоэффСохранения</f>
        <v/>
      </c>
      <c r="BT28" s="62">
        <f>BS27*КоэффСохранения</f>
        <v/>
      </c>
      <c r="BU28" s="62">
        <f>BT27*КоэффСохранения</f>
        <v/>
      </c>
      <c r="BV28" s="62">
        <f>BU27*КоэффСохранения</f>
        <v/>
      </c>
      <c r="BW28" s="62">
        <f>BV27*КоэффСохранения</f>
        <v/>
      </c>
      <c r="BX28" s="62">
        <f>BW27*КоэффСохранения</f>
        <v/>
      </c>
      <c r="BY28" s="62">
        <f>BX27*КоэффСохранения</f>
        <v/>
      </c>
    </row>
    <row r="29" ht="15.75" customHeight="1" s="194">
      <c r="B29" s="56" t="inlineStr">
        <is>
          <t>9 мес.</t>
        </is>
      </c>
      <c r="C29" s="56" t="inlineStr">
        <is>
          <t>шт.</t>
        </is>
      </c>
      <c r="D29" s="57" t="inlineStr">
        <is>
          <t>В колонках лет — значение на конец года, в «Итого» — на конец пятого года. Это остаток, а не сумма.</t>
        </is>
      </c>
      <c r="E29" s="59">
        <f>W29</f>
        <v/>
      </c>
      <c r="F29" s="59">
        <f>AI29</f>
        <v/>
      </c>
      <c r="G29" s="59">
        <f>AU29</f>
        <v/>
      </c>
      <c r="H29" s="59">
        <f>BG29</f>
        <v/>
      </c>
      <c r="I29" s="59">
        <f>BS29</f>
        <v/>
      </c>
      <c r="J29" s="61">
        <f>BS29</f>
        <v/>
      </c>
      <c r="L29" s="62">
        <f>0</f>
        <v/>
      </c>
      <c r="M29" s="62">
        <f>L28*КоэффСохранения</f>
        <v/>
      </c>
      <c r="N29" s="62">
        <f>M28*КоэффСохранения</f>
        <v/>
      </c>
      <c r="O29" s="62">
        <f>N28*КоэффСохранения</f>
        <v/>
      </c>
      <c r="P29" s="62">
        <f>O28*КоэффСохранения</f>
        <v/>
      </c>
      <c r="Q29" s="62">
        <f>P28*КоэффСохранения</f>
        <v/>
      </c>
      <c r="R29" s="62">
        <f>Q28*КоэффСохранения</f>
        <v/>
      </c>
      <c r="S29" s="62">
        <f>R28*КоэффСохранения</f>
        <v/>
      </c>
      <c r="T29" s="62">
        <f>S28*КоэффСохранения</f>
        <v/>
      </c>
      <c r="U29" s="62">
        <f>T28*КоэффСохранения</f>
        <v/>
      </c>
      <c r="V29" s="62">
        <f>U28*КоэффСохранения</f>
        <v/>
      </c>
      <c r="W29" s="62">
        <f>V28*КоэффСохранения</f>
        <v/>
      </c>
      <c r="X29" s="62">
        <f>W28*КоэффСохранения</f>
        <v/>
      </c>
      <c r="Y29" s="62">
        <f>X28*КоэффСохранения</f>
        <v/>
      </c>
      <c r="Z29" s="62">
        <f>Y28*КоэффСохранения</f>
        <v/>
      </c>
      <c r="AA29" s="62">
        <f>Z28*КоэффСохранения</f>
        <v/>
      </c>
      <c r="AB29" s="62">
        <f>AA28*КоэффСохранения</f>
        <v/>
      </c>
      <c r="AC29" s="62">
        <f>AB28*КоэффСохранения</f>
        <v/>
      </c>
      <c r="AD29" s="62">
        <f>AC28*КоэффСохранения</f>
        <v/>
      </c>
      <c r="AE29" s="62">
        <f>AD28*КоэффСохранения</f>
        <v/>
      </c>
      <c r="AF29" s="62">
        <f>AE28*КоэффСохранения</f>
        <v/>
      </c>
      <c r="AG29" s="62">
        <f>AF28*КоэффСохранения</f>
        <v/>
      </c>
      <c r="AH29" s="62">
        <f>AG28*КоэффСохранения</f>
        <v/>
      </c>
      <c r="AI29" s="62">
        <f>AH28*КоэффСохранения</f>
        <v/>
      </c>
      <c r="AJ29" s="62">
        <f>AI28*КоэффСохранения</f>
        <v/>
      </c>
      <c r="AK29" s="62">
        <f>AJ28*КоэффСохранения</f>
        <v/>
      </c>
      <c r="AL29" s="62">
        <f>AK28*КоэффСохранения</f>
        <v/>
      </c>
      <c r="AM29" s="62">
        <f>AL28*КоэффСохранения</f>
        <v/>
      </c>
      <c r="AN29" s="62">
        <f>AM28*КоэффСохранения</f>
        <v/>
      </c>
      <c r="AO29" s="62">
        <f>AN28*КоэффСохранения</f>
        <v/>
      </c>
      <c r="AP29" s="62">
        <f>AO28*КоэффСохранения</f>
        <v/>
      </c>
      <c r="AQ29" s="62">
        <f>AP28*КоэффСохранения</f>
        <v/>
      </c>
      <c r="AR29" s="62">
        <f>AQ28*КоэффСохранения</f>
        <v/>
      </c>
      <c r="AS29" s="62">
        <f>AR28*КоэффСохранения</f>
        <v/>
      </c>
      <c r="AT29" s="62">
        <f>AS28*КоэффСохранения</f>
        <v/>
      </c>
      <c r="AU29" s="62">
        <f>AT28*КоэффСохранения</f>
        <v/>
      </c>
      <c r="AV29" s="62">
        <f>AU28*КоэффСохранения</f>
        <v/>
      </c>
      <c r="AW29" s="62">
        <f>AV28*КоэффСохранения</f>
        <v/>
      </c>
      <c r="AX29" s="62">
        <f>AW28*КоэффСохранения</f>
        <v/>
      </c>
      <c r="AY29" s="62">
        <f>AX28*КоэффСохранения</f>
        <v/>
      </c>
      <c r="AZ29" s="62">
        <f>AY28*КоэффСохранения</f>
        <v/>
      </c>
      <c r="BA29" s="62">
        <f>AZ28*КоэффСохранения</f>
        <v/>
      </c>
      <c r="BB29" s="62">
        <f>BA28*КоэффСохранения</f>
        <v/>
      </c>
      <c r="BC29" s="62">
        <f>BB28*КоэффСохранения</f>
        <v/>
      </c>
      <c r="BD29" s="62">
        <f>BC28*КоэффСохранения</f>
        <v/>
      </c>
      <c r="BE29" s="62">
        <f>BD28*КоэффСохранения</f>
        <v/>
      </c>
      <c r="BF29" s="62">
        <f>BE28*КоэффСохранения</f>
        <v/>
      </c>
      <c r="BG29" s="62">
        <f>BF28*КоэффСохранения</f>
        <v/>
      </c>
      <c r="BH29" s="62">
        <f>BG28*КоэффСохранения</f>
        <v/>
      </c>
      <c r="BI29" s="62">
        <f>BH28*КоэффСохранения</f>
        <v/>
      </c>
      <c r="BJ29" s="62">
        <f>BI28*КоэффСохранения</f>
        <v/>
      </c>
      <c r="BK29" s="62">
        <f>BJ28*КоэффСохранения</f>
        <v/>
      </c>
      <c r="BL29" s="62">
        <f>BK28*КоэффСохранения</f>
        <v/>
      </c>
      <c r="BM29" s="62">
        <f>BL28*КоэффСохранения</f>
        <v/>
      </c>
      <c r="BN29" s="62">
        <f>BM28*КоэффСохранения</f>
        <v/>
      </c>
      <c r="BO29" s="62">
        <f>BN28*КоэффСохранения</f>
        <v/>
      </c>
      <c r="BP29" s="62">
        <f>BO28*КоэффСохранения</f>
        <v/>
      </c>
      <c r="BQ29" s="62">
        <f>BP28*КоэффСохранения</f>
        <v/>
      </c>
      <c r="BR29" s="62">
        <f>BQ28*КоэффСохранения</f>
        <v/>
      </c>
      <c r="BS29" s="62">
        <f>BR28*КоэффСохранения</f>
        <v/>
      </c>
      <c r="BT29" s="62">
        <f>BS28*КоэффСохранения</f>
        <v/>
      </c>
      <c r="BU29" s="62">
        <f>BT28*КоэффСохранения</f>
        <v/>
      </c>
      <c r="BV29" s="62">
        <f>BU28*КоэффСохранения</f>
        <v/>
      </c>
      <c r="BW29" s="62">
        <f>BV28*КоэффСохранения</f>
        <v/>
      </c>
      <c r="BX29" s="62">
        <f>BW28*КоэффСохранения</f>
        <v/>
      </c>
      <c r="BY29" s="62">
        <f>BX28*КоэффСохранения</f>
        <v/>
      </c>
    </row>
    <row r="30" ht="15.75" customHeight="1" s="194">
      <c r="B30" s="56" t="inlineStr">
        <is>
          <t>10 мес.</t>
        </is>
      </c>
      <c r="C30" s="56" t="inlineStr">
        <is>
          <t>шт.</t>
        </is>
      </c>
      <c r="D30" s="57" t="inlineStr">
        <is>
          <t>В колонках лет — значение на конец года, в «Итого» — на конец пятого года. Это остаток, а не сумма.</t>
        </is>
      </c>
      <c r="E30" s="59">
        <f>W30</f>
        <v/>
      </c>
      <c r="F30" s="59">
        <f>AI30</f>
        <v/>
      </c>
      <c r="G30" s="59">
        <f>AU30</f>
        <v/>
      </c>
      <c r="H30" s="59">
        <f>BG30</f>
        <v/>
      </c>
      <c r="I30" s="59">
        <f>BS30</f>
        <v/>
      </c>
      <c r="J30" s="61">
        <f>BS30</f>
        <v/>
      </c>
      <c r="L30" s="62">
        <f>0</f>
        <v/>
      </c>
      <c r="M30" s="62">
        <f>L29*КоэффСохранения</f>
        <v/>
      </c>
      <c r="N30" s="62">
        <f>M29*КоэффСохранения</f>
        <v/>
      </c>
      <c r="O30" s="62">
        <f>N29*КоэффСохранения</f>
        <v/>
      </c>
      <c r="P30" s="62">
        <f>O29*КоэффСохранения</f>
        <v/>
      </c>
      <c r="Q30" s="62">
        <f>P29*КоэффСохранения</f>
        <v/>
      </c>
      <c r="R30" s="62">
        <f>Q29*КоэффСохранения</f>
        <v/>
      </c>
      <c r="S30" s="62">
        <f>R29*КоэффСохранения</f>
        <v/>
      </c>
      <c r="T30" s="62">
        <f>S29*КоэффСохранения</f>
        <v/>
      </c>
      <c r="U30" s="62">
        <f>T29*КоэффСохранения</f>
        <v/>
      </c>
      <c r="V30" s="62">
        <f>U29*КоэффСохранения</f>
        <v/>
      </c>
      <c r="W30" s="62">
        <f>V29*КоэффСохранения</f>
        <v/>
      </c>
      <c r="X30" s="62">
        <f>W29*КоэффСохранения</f>
        <v/>
      </c>
      <c r="Y30" s="62">
        <f>X29*КоэффСохранения</f>
        <v/>
      </c>
      <c r="Z30" s="62">
        <f>Y29*КоэффСохранения</f>
        <v/>
      </c>
      <c r="AA30" s="62">
        <f>Z29*КоэффСохранения</f>
        <v/>
      </c>
      <c r="AB30" s="62">
        <f>AA29*КоэффСохранения</f>
        <v/>
      </c>
      <c r="AC30" s="62">
        <f>AB29*КоэффСохранения</f>
        <v/>
      </c>
      <c r="AD30" s="62">
        <f>AC29*КоэффСохранения</f>
        <v/>
      </c>
      <c r="AE30" s="62">
        <f>AD29*КоэффСохранения</f>
        <v/>
      </c>
      <c r="AF30" s="62">
        <f>AE29*КоэффСохранения</f>
        <v/>
      </c>
      <c r="AG30" s="62">
        <f>AF29*КоэффСохранения</f>
        <v/>
      </c>
      <c r="AH30" s="62">
        <f>AG29*КоэффСохранения</f>
        <v/>
      </c>
      <c r="AI30" s="62">
        <f>AH29*КоэффСохранения</f>
        <v/>
      </c>
      <c r="AJ30" s="62">
        <f>AI29*КоэффСохранения</f>
        <v/>
      </c>
      <c r="AK30" s="62">
        <f>AJ29*КоэффСохранения</f>
        <v/>
      </c>
      <c r="AL30" s="62">
        <f>AK29*КоэффСохранения</f>
        <v/>
      </c>
      <c r="AM30" s="62">
        <f>AL29*КоэффСохранения</f>
        <v/>
      </c>
      <c r="AN30" s="62">
        <f>AM29*КоэффСохранения</f>
        <v/>
      </c>
      <c r="AO30" s="62">
        <f>AN29*КоэффСохранения</f>
        <v/>
      </c>
      <c r="AP30" s="62">
        <f>AO29*КоэффСохранения</f>
        <v/>
      </c>
      <c r="AQ30" s="62">
        <f>AP29*КоэффСохранения</f>
        <v/>
      </c>
      <c r="AR30" s="62">
        <f>AQ29*КоэффСохранения</f>
        <v/>
      </c>
      <c r="AS30" s="62">
        <f>AR29*КоэффСохранения</f>
        <v/>
      </c>
      <c r="AT30" s="62">
        <f>AS29*КоэффСохранения</f>
        <v/>
      </c>
      <c r="AU30" s="62">
        <f>AT29*КоэффСохранения</f>
        <v/>
      </c>
      <c r="AV30" s="62">
        <f>AU29*КоэффСохранения</f>
        <v/>
      </c>
      <c r="AW30" s="62">
        <f>AV29*КоэффСохранения</f>
        <v/>
      </c>
      <c r="AX30" s="62">
        <f>AW29*КоэффСохранения</f>
        <v/>
      </c>
      <c r="AY30" s="62">
        <f>AX29*КоэффСохранения</f>
        <v/>
      </c>
      <c r="AZ30" s="62">
        <f>AY29*КоэффСохранения</f>
        <v/>
      </c>
      <c r="BA30" s="62">
        <f>AZ29*КоэффСохранения</f>
        <v/>
      </c>
      <c r="BB30" s="62">
        <f>BA29*КоэффСохранения</f>
        <v/>
      </c>
      <c r="BC30" s="62">
        <f>BB29*КоэффСохранения</f>
        <v/>
      </c>
      <c r="BD30" s="62">
        <f>BC29*КоэффСохранения</f>
        <v/>
      </c>
      <c r="BE30" s="62">
        <f>BD29*КоэффСохранения</f>
        <v/>
      </c>
      <c r="BF30" s="62">
        <f>BE29*КоэффСохранения</f>
        <v/>
      </c>
      <c r="BG30" s="62">
        <f>BF29*КоэффСохранения</f>
        <v/>
      </c>
      <c r="BH30" s="62">
        <f>BG29*КоэффСохранения</f>
        <v/>
      </c>
      <c r="BI30" s="62">
        <f>BH29*КоэффСохранения</f>
        <v/>
      </c>
      <c r="BJ30" s="62">
        <f>BI29*КоэффСохранения</f>
        <v/>
      </c>
      <c r="BK30" s="62">
        <f>BJ29*КоэффСохранения</f>
        <v/>
      </c>
      <c r="BL30" s="62">
        <f>BK29*КоэффСохранения</f>
        <v/>
      </c>
      <c r="BM30" s="62">
        <f>BL29*КоэффСохранения</f>
        <v/>
      </c>
      <c r="BN30" s="62">
        <f>BM29*КоэффСохранения</f>
        <v/>
      </c>
      <c r="BO30" s="62">
        <f>BN29*КоэффСохранения</f>
        <v/>
      </c>
      <c r="BP30" s="62">
        <f>BO29*КоэффСохранения</f>
        <v/>
      </c>
      <c r="BQ30" s="62">
        <f>BP29*КоэффСохранения</f>
        <v/>
      </c>
      <c r="BR30" s="62">
        <f>BQ29*КоэффСохранения</f>
        <v/>
      </c>
      <c r="BS30" s="62">
        <f>BR29*КоэффСохранения</f>
        <v/>
      </c>
      <c r="BT30" s="62">
        <f>BS29*КоэффСохранения</f>
        <v/>
      </c>
      <c r="BU30" s="62">
        <f>BT29*КоэффСохранения</f>
        <v/>
      </c>
      <c r="BV30" s="62">
        <f>BU29*КоэффСохранения</f>
        <v/>
      </c>
      <c r="BW30" s="62">
        <f>BV29*КоэффСохранения</f>
        <v/>
      </c>
      <c r="BX30" s="62">
        <f>BW29*КоэффСохранения</f>
        <v/>
      </c>
      <c r="BY30" s="62">
        <f>BX29*КоэффСохранения</f>
        <v/>
      </c>
    </row>
    <row r="31" ht="15.75" customHeight="1" s="194">
      <c r="B31" s="56" t="inlineStr">
        <is>
          <t>11 мес.</t>
        </is>
      </c>
      <c r="C31" s="56" t="inlineStr">
        <is>
          <t>шт.</t>
        </is>
      </c>
      <c r="D31" s="57" t="inlineStr">
        <is>
          <t>В колонках лет — значение на конец года, в «Итого» — на конец пятого года. Это остаток, а не сумма.</t>
        </is>
      </c>
      <c r="E31" s="59">
        <f>W31</f>
        <v/>
      </c>
      <c r="F31" s="59">
        <f>AI31</f>
        <v/>
      </c>
      <c r="G31" s="59">
        <f>AU31</f>
        <v/>
      </c>
      <c r="H31" s="59">
        <f>BG31</f>
        <v/>
      </c>
      <c r="I31" s="59">
        <f>BS31</f>
        <v/>
      </c>
      <c r="J31" s="61">
        <f>BS31</f>
        <v/>
      </c>
      <c r="L31" s="62">
        <f>0</f>
        <v/>
      </c>
      <c r="M31" s="62">
        <f>L30*КоэффСохранения</f>
        <v/>
      </c>
      <c r="N31" s="62">
        <f>M30*КоэффСохранения</f>
        <v/>
      </c>
      <c r="O31" s="62">
        <f>N30*КоэффСохранения</f>
        <v/>
      </c>
      <c r="P31" s="62">
        <f>O30*КоэффСохранения</f>
        <v/>
      </c>
      <c r="Q31" s="62">
        <f>P30*КоэффСохранения</f>
        <v/>
      </c>
      <c r="R31" s="62">
        <f>Q30*КоэффСохранения</f>
        <v/>
      </c>
      <c r="S31" s="62">
        <f>R30*КоэффСохранения</f>
        <v/>
      </c>
      <c r="T31" s="62">
        <f>S30*КоэффСохранения</f>
        <v/>
      </c>
      <c r="U31" s="62">
        <f>T30*КоэффСохранения</f>
        <v/>
      </c>
      <c r="V31" s="62">
        <f>U30*КоэффСохранения</f>
        <v/>
      </c>
      <c r="W31" s="62">
        <f>V30*КоэффСохранения</f>
        <v/>
      </c>
      <c r="X31" s="62">
        <f>W30*КоэффСохранения</f>
        <v/>
      </c>
      <c r="Y31" s="62">
        <f>X30*КоэффСохранения</f>
        <v/>
      </c>
      <c r="Z31" s="62">
        <f>Y30*КоэффСохранения</f>
        <v/>
      </c>
      <c r="AA31" s="62">
        <f>Z30*КоэффСохранения</f>
        <v/>
      </c>
      <c r="AB31" s="62">
        <f>AA30*КоэффСохранения</f>
        <v/>
      </c>
      <c r="AC31" s="62">
        <f>AB30*КоэффСохранения</f>
        <v/>
      </c>
      <c r="AD31" s="62">
        <f>AC30*КоэффСохранения</f>
        <v/>
      </c>
      <c r="AE31" s="62">
        <f>AD30*КоэффСохранения</f>
        <v/>
      </c>
      <c r="AF31" s="62">
        <f>AE30*КоэффСохранения</f>
        <v/>
      </c>
      <c r="AG31" s="62">
        <f>AF30*КоэффСохранения</f>
        <v/>
      </c>
      <c r="AH31" s="62">
        <f>AG30*КоэффСохранения</f>
        <v/>
      </c>
      <c r="AI31" s="62">
        <f>AH30*КоэффСохранения</f>
        <v/>
      </c>
      <c r="AJ31" s="62">
        <f>AI30*КоэффСохранения</f>
        <v/>
      </c>
      <c r="AK31" s="62">
        <f>AJ30*КоэффСохранения</f>
        <v/>
      </c>
      <c r="AL31" s="62">
        <f>AK30*КоэффСохранения</f>
        <v/>
      </c>
      <c r="AM31" s="62">
        <f>AL30*КоэффСохранения</f>
        <v/>
      </c>
      <c r="AN31" s="62">
        <f>AM30*КоэффСохранения</f>
        <v/>
      </c>
      <c r="AO31" s="62">
        <f>AN30*КоэффСохранения</f>
        <v/>
      </c>
      <c r="AP31" s="62">
        <f>AO30*КоэффСохранения</f>
        <v/>
      </c>
      <c r="AQ31" s="62">
        <f>AP30*КоэффСохранения</f>
        <v/>
      </c>
      <c r="AR31" s="62">
        <f>AQ30*КоэффСохранения</f>
        <v/>
      </c>
      <c r="AS31" s="62">
        <f>AR30*КоэффСохранения</f>
        <v/>
      </c>
      <c r="AT31" s="62">
        <f>AS30*КоэффСохранения</f>
        <v/>
      </c>
      <c r="AU31" s="62">
        <f>AT30*КоэффСохранения</f>
        <v/>
      </c>
      <c r="AV31" s="62">
        <f>AU30*КоэффСохранения</f>
        <v/>
      </c>
      <c r="AW31" s="62">
        <f>AV30*КоэффСохранения</f>
        <v/>
      </c>
      <c r="AX31" s="62">
        <f>AW30*КоэффСохранения</f>
        <v/>
      </c>
      <c r="AY31" s="62">
        <f>AX30*КоэффСохранения</f>
        <v/>
      </c>
      <c r="AZ31" s="62">
        <f>AY30*КоэффСохранения</f>
        <v/>
      </c>
      <c r="BA31" s="62">
        <f>AZ30*КоэффСохранения</f>
        <v/>
      </c>
      <c r="BB31" s="62">
        <f>BA30*КоэффСохранения</f>
        <v/>
      </c>
      <c r="BC31" s="62">
        <f>BB30*КоэффСохранения</f>
        <v/>
      </c>
      <c r="BD31" s="62">
        <f>BC30*КоэффСохранения</f>
        <v/>
      </c>
      <c r="BE31" s="62">
        <f>BD30*КоэффСохранения</f>
        <v/>
      </c>
      <c r="BF31" s="62">
        <f>BE30*КоэффСохранения</f>
        <v/>
      </c>
      <c r="BG31" s="62">
        <f>BF30*КоэффСохранения</f>
        <v/>
      </c>
      <c r="BH31" s="62">
        <f>BG30*КоэффСохранения</f>
        <v/>
      </c>
      <c r="BI31" s="62">
        <f>BH30*КоэффСохранения</f>
        <v/>
      </c>
      <c r="BJ31" s="62">
        <f>BI30*КоэффСохранения</f>
        <v/>
      </c>
      <c r="BK31" s="62">
        <f>BJ30*КоэффСохранения</f>
        <v/>
      </c>
      <c r="BL31" s="62">
        <f>BK30*КоэффСохранения</f>
        <v/>
      </c>
      <c r="BM31" s="62">
        <f>BL30*КоэффСохранения</f>
        <v/>
      </c>
      <c r="BN31" s="62">
        <f>BM30*КоэффСохранения</f>
        <v/>
      </c>
      <c r="BO31" s="62">
        <f>BN30*КоэффСохранения</f>
        <v/>
      </c>
      <c r="BP31" s="62">
        <f>BO30*КоэффСохранения</f>
        <v/>
      </c>
      <c r="BQ31" s="62">
        <f>BP30*КоэффСохранения</f>
        <v/>
      </c>
      <c r="BR31" s="62">
        <f>BQ30*КоэффСохранения</f>
        <v/>
      </c>
      <c r="BS31" s="62">
        <f>BR30*КоэффСохранения</f>
        <v/>
      </c>
      <c r="BT31" s="62">
        <f>BS30*КоэффСохранения</f>
        <v/>
      </c>
      <c r="BU31" s="62">
        <f>BT30*КоэффСохранения</f>
        <v/>
      </c>
      <c r="BV31" s="62">
        <f>BU30*КоэффСохранения</f>
        <v/>
      </c>
      <c r="BW31" s="62">
        <f>BV30*КоэффСохранения</f>
        <v/>
      </c>
      <c r="BX31" s="62">
        <f>BW30*КоэффСохранения</f>
        <v/>
      </c>
      <c r="BY31" s="62">
        <f>BX30*КоэффСохранения</f>
        <v/>
      </c>
    </row>
    <row r="32" ht="15.75" customHeight="1" s="194">
      <c r="B32" s="56" t="inlineStr">
        <is>
          <t>12 мес.</t>
        </is>
      </c>
      <c r="C32" s="56" t="inlineStr">
        <is>
          <t>шт.</t>
        </is>
      </c>
      <c r="D32" s="57" t="inlineStr">
        <is>
          <t>В колонках лет — значение на конец года, в «Итого» — на конец пятого года. Это остаток, а не сумма.</t>
        </is>
      </c>
      <c r="E32" s="59">
        <f>W32</f>
        <v/>
      </c>
      <c r="F32" s="59">
        <f>AI32</f>
        <v/>
      </c>
      <c r="G32" s="59">
        <f>AU32</f>
        <v/>
      </c>
      <c r="H32" s="59">
        <f>BG32</f>
        <v/>
      </c>
      <c r="I32" s="59">
        <f>BS32</f>
        <v/>
      </c>
      <c r="J32" s="61">
        <f>BS32</f>
        <v/>
      </c>
      <c r="L32" s="62">
        <f>0</f>
        <v/>
      </c>
      <c r="M32" s="62">
        <f>L31*КоэффСохранения</f>
        <v/>
      </c>
      <c r="N32" s="62">
        <f>M31*КоэффСохранения</f>
        <v/>
      </c>
      <c r="O32" s="62">
        <f>N31*КоэффСохранения</f>
        <v/>
      </c>
      <c r="P32" s="62">
        <f>O31*КоэффСохранения</f>
        <v/>
      </c>
      <c r="Q32" s="62">
        <f>P31*КоэффСохранения</f>
        <v/>
      </c>
      <c r="R32" s="62">
        <f>Q31*КоэффСохранения</f>
        <v/>
      </c>
      <c r="S32" s="62">
        <f>R31*КоэффСохранения</f>
        <v/>
      </c>
      <c r="T32" s="62">
        <f>S31*КоэффСохранения</f>
        <v/>
      </c>
      <c r="U32" s="62">
        <f>T31*КоэффСохранения</f>
        <v/>
      </c>
      <c r="V32" s="62">
        <f>U31*КоэффСохранения</f>
        <v/>
      </c>
      <c r="W32" s="62">
        <f>V31*КоэффСохранения</f>
        <v/>
      </c>
      <c r="X32" s="62">
        <f>W31*КоэффСохранения</f>
        <v/>
      </c>
      <c r="Y32" s="62">
        <f>X31*КоэффСохранения</f>
        <v/>
      </c>
      <c r="Z32" s="62">
        <f>Y31*КоэффСохранения</f>
        <v/>
      </c>
      <c r="AA32" s="62">
        <f>Z31*КоэффСохранения</f>
        <v/>
      </c>
      <c r="AB32" s="62">
        <f>AA31*КоэффСохранения</f>
        <v/>
      </c>
      <c r="AC32" s="62">
        <f>AB31*КоэффСохранения</f>
        <v/>
      </c>
      <c r="AD32" s="62">
        <f>AC31*КоэффСохранения</f>
        <v/>
      </c>
      <c r="AE32" s="62">
        <f>AD31*КоэффСохранения</f>
        <v/>
      </c>
      <c r="AF32" s="62">
        <f>AE31*КоэффСохранения</f>
        <v/>
      </c>
      <c r="AG32" s="62">
        <f>AF31*КоэффСохранения</f>
        <v/>
      </c>
      <c r="AH32" s="62">
        <f>AG31*КоэффСохранения</f>
        <v/>
      </c>
      <c r="AI32" s="62">
        <f>AH31*КоэффСохранения</f>
        <v/>
      </c>
      <c r="AJ32" s="62">
        <f>AI31*КоэффСохранения</f>
        <v/>
      </c>
      <c r="AK32" s="62">
        <f>AJ31*КоэффСохранения</f>
        <v/>
      </c>
      <c r="AL32" s="62">
        <f>AK31*КоэффСохранения</f>
        <v/>
      </c>
      <c r="AM32" s="62">
        <f>AL31*КоэффСохранения</f>
        <v/>
      </c>
      <c r="AN32" s="62">
        <f>AM31*КоэффСохранения</f>
        <v/>
      </c>
      <c r="AO32" s="62">
        <f>AN31*КоэффСохранения</f>
        <v/>
      </c>
      <c r="AP32" s="62">
        <f>AO31*КоэффСохранения</f>
        <v/>
      </c>
      <c r="AQ32" s="62">
        <f>AP31*КоэффСохранения</f>
        <v/>
      </c>
      <c r="AR32" s="62">
        <f>AQ31*КоэффСохранения</f>
        <v/>
      </c>
      <c r="AS32" s="62">
        <f>AR31*КоэффСохранения</f>
        <v/>
      </c>
      <c r="AT32" s="62">
        <f>AS31*КоэффСохранения</f>
        <v/>
      </c>
      <c r="AU32" s="62">
        <f>AT31*КоэффСохранения</f>
        <v/>
      </c>
      <c r="AV32" s="62">
        <f>AU31*КоэффСохранения</f>
        <v/>
      </c>
      <c r="AW32" s="62">
        <f>AV31*КоэффСохранения</f>
        <v/>
      </c>
      <c r="AX32" s="62">
        <f>AW31*КоэффСохранения</f>
        <v/>
      </c>
      <c r="AY32" s="62">
        <f>AX31*КоэффСохранения</f>
        <v/>
      </c>
      <c r="AZ32" s="62">
        <f>AY31*КоэффСохранения</f>
        <v/>
      </c>
      <c r="BA32" s="62">
        <f>AZ31*КоэффСохранения</f>
        <v/>
      </c>
      <c r="BB32" s="62">
        <f>BA31*КоэффСохранения</f>
        <v/>
      </c>
      <c r="BC32" s="62">
        <f>BB31*КоэффСохранения</f>
        <v/>
      </c>
      <c r="BD32" s="62">
        <f>BC31*КоэффСохранения</f>
        <v/>
      </c>
      <c r="BE32" s="62">
        <f>BD31*КоэффСохранения</f>
        <v/>
      </c>
      <c r="BF32" s="62">
        <f>BE31*КоэффСохранения</f>
        <v/>
      </c>
      <c r="BG32" s="62">
        <f>BF31*КоэффСохранения</f>
        <v/>
      </c>
      <c r="BH32" s="62">
        <f>BG31*КоэффСохранения</f>
        <v/>
      </c>
      <c r="BI32" s="62">
        <f>BH31*КоэффСохранения</f>
        <v/>
      </c>
      <c r="BJ32" s="62">
        <f>BI31*КоэффСохранения</f>
        <v/>
      </c>
      <c r="BK32" s="62">
        <f>BJ31*КоэффСохранения</f>
        <v/>
      </c>
      <c r="BL32" s="62">
        <f>BK31*КоэффСохранения</f>
        <v/>
      </c>
      <c r="BM32" s="62">
        <f>BL31*КоэффСохранения</f>
        <v/>
      </c>
      <c r="BN32" s="62">
        <f>BM31*КоэффСохранения</f>
        <v/>
      </c>
      <c r="BO32" s="62">
        <f>BN31*КоэффСохранения</f>
        <v/>
      </c>
      <c r="BP32" s="62">
        <f>BO31*КоэффСохранения</f>
        <v/>
      </c>
      <c r="BQ32" s="62">
        <f>BP31*КоэффСохранения</f>
        <v/>
      </c>
      <c r="BR32" s="62">
        <f>BQ31*КоэффСохранения</f>
        <v/>
      </c>
      <c r="BS32" s="62">
        <f>BR31*КоэффСохранения</f>
        <v/>
      </c>
      <c r="BT32" s="62">
        <f>BS31*КоэффСохранения</f>
        <v/>
      </c>
      <c r="BU32" s="62">
        <f>BT31*КоэффСохранения</f>
        <v/>
      </c>
      <c r="BV32" s="62">
        <f>BU31*КоэффСохранения</f>
        <v/>
      </c>
      <c r="BW32" s="62">
        <f>BV31*КоэффСохранения</f>
        <v/>
      </c>
      <c r="BX32" s="62">
        <f>BW31*КоэффСохранения</f>
        <v/>
      </c>
      <c r="BY32" s="62">
        <f>BX31*КоэффСохранения</f>
        <v/>
      </c>
    </row>
    <row r="33" ht="15.75" customHeight="1" s="194">
      <c r="B33" s="56" t="inlineStr">
        <is>
          <t>13 мес.</t>
        </is>
      </c>
      <c r="C33" s="56" t="inlineStr">
        <is>
          <t>шт.</t>
        </is>
      </c>
      <c r="D33" s="57" t="inlineStr">
        <is>
          <t>В колонках лет — значение на конец года, в «Итого» — на конец пятого года. Это остаток, а не сумма.</t>
        </is>
      </c>
      <c r="E33" s="59">
        <f>W33</f>
        <v/>
      </c>
      <c r="F33" s="59">
        <f>AI33</f>
        <v/>
      </c>
      <c r="G33" s="59">
        <f>AU33</f>
        <v/>
      </c>
      <c r="H33" s="59">
        <f>BG33</f>
        <v/>
      </c>
      <c r="I33" s="59">
        <f>BS33</f>
        <v/>
      </c>
      <c r="J33" s="61">
        <f>BS33</f>
        <v/>
      </c>
      <c r="L33" s="62">
        <f>0</f>
        <v/>
      </c>
      <c r="M33" s="62">
        <f>L32*КоэффСохранения</f>
        <v/>
      </c>
      <c r="N33" s="62">
        <f>M32*КоэффСохранения</f>
        <v/>
      </c>
      <c r="O33" s="62">
        <f>N32*КоэффСохранения</f>
        <v/>
      </c>
      <c r="P33" s="62">
        <f>O32*КоэффСохранения</f>
        <v/>
      </c>
      <c r="Q33" s="62">
        <f>P32*КоэффСохранения</f>
        <v/>
      </c>
      <c r="R33" s="62">
        <f>Q32*КоэффСохранения</f>
        <v/>
      </c>
      <c r="S33" s="62">
        <f>R32*КоэффСохранения</f>
        <v/>
      </c>
      <c r="T33" s="62">
        <f>S32*КоэффСохранения</f>
        <v/>
      </c>
      <c r="U33" s="62">
        <f>T32*КоэффСохранения</f>
        <v/>
      </c>
      <c r="V33" s="62">
        <f>U32*КоэффСохранения</f>
        <v/>
      </c>
      <c r="W33" s="62">
        <f>V32*КоэффСохранения</f>
        <v/>
      </c>
      <c r="X33" s="62">
        <f>W32*КоэффСохранения</f>
        <v/>
      </c>
      <c r="Y33" s="62">
        <f>X32*КоэффСохранения</f>
        <v/>
      </c>
      <c r="Z33" s="62">
        <f>Y32*КоэффСохранения</f>
        <v/>
      </c>
      <c r="AA33" s="62">
        <f>Z32*КоэффСохранения</f>
        <v/>
      </c>
      <c r="AB33" s="62">
        <f>AA32*КоэффСохранения</f>
        <v/>
      </c>
      <c r="AC33" s="62">
        <f>AB32*КоэффСохранения</f>
        <v/>
      </c>
      <c r="AD33" s="62">
        <f>AC32*КоэффСохранения</f>
        <v/>
      </c>
      <c r="AE33" s="62">
        <f>AD32*КоэффСохранения</f>
        <v/>
      </c>
      <c r="AF33" s="62">
        <f>AE32*КоэффСохранения</f>
        <v/>
      </c>
      <c r="AG33" s="62">
        <f>AF32*КоэффСохранения</f>
        <v/>
      </c>
      <c r="AH33" s="62">
        <f>AG32*КоэффСохранения</f>
        <v/>
      </c>
      <c r="AI33" s="62">
        <f>AH32*КоэффСохранения</f>
        <v/>
      </c>
      <c r="AJ33" s="62">
        <f>AI32*КоэффСохранения</f>
        <v/>
      </c>
      <c r="AK33" s="62">
        <f>AJ32*КоэффСохранения</f>
        <v/>
      </c>
      <c r="AL33" s="62">
        <f>AK32*КоэффСохранения</f>
        <v/>
      </c>
      <c r="AM33" s="62">
        <f>AL32*КоэффСохранения</f>
        <v/>
      </c>
      <c r="AN33" s="62">
        <f>AM32*КоэффСохранения</f>
        <v/>
      </c>
      <c r="AO33" s="62">
        <f>AN32*КоэффСохранения</f>
        <v/>
      </c>
      <c r="AP33" s="62">
        <f>AO32*КоэффСохранения</f>
        <v/>
      </c>
      <c r="AQ33" s="62">
        <f>AP32*КоэффСохранения</f>
        <v/>
      </c>
      <c r="AR33" s="62">
        <f>AQ32*КоэффСохранения</f>
        <v/>
      </c>
      <c r="AS33" s="62">
        <f>AR32*КоэффСохранения</f>
        <v/>
      </c>
      <c r="AT33" s="62">
        <f>AS32*КоэффСохранения</f>
        <v/>
      </c>
      <c r="AU33" s="62">
        <f>AT32*КоэффСохранения</f>
        <v/>
      </c>
      <c r="AV33" s="62">
        <f>AU32*КоэффСохранения</f>
        <v/>
      </c>
      <c r="AW33" s="62">
        <f>AV32*КоэффСохранения</f>
        <v/>
      </c>
      <c r="AX33" s="62">
        <f>AW32*КоэффСохранения</f>
        <v/>
      </c>
      <c r="AY33" s="62">
        <f>AX32*КоэффСохранения</f>
        <v/>
      </c>
      <c r="AZ33" s="62">
        <f>AY32*КоэффСохранения</f>
        <v/>
      </c>
      <c r="BA33" s="62">
        <f>AZ32*КоэффСохранения</f>
        <v/>
      </c>
      <c r="BB33" s="62">
        <f>BA32*КоэффСохранения</f>
        <v/>
      </c>
      <c r="BC33" s="62">
        <f>BB32*КоэффСохранения</f>
        <v/>
      </c>
      <c r="BD33" s="62">
        <f>BC32*КоэффСохранения</f>
        <v/>
      </c>
      <c r="BE33" s="62">
        <f>BD32*КоэффСохранения</f>
        <v/>
      </c>
      <c r="BF33" s="62">
        <f>BE32*КоэффСохранения</f>
        <v/>
      </c>
      <c r="BG33" s="62">
        <f>BF32*КоэффСохранения</f>
        <v/>
      </c>
      <c r="BH33" s="62">
        <f>BG32*КоэффСохранения</f>
        <v/>
      </c>
      <c r="BI33" s="62">
        <f>BH32*КоэффСохранения</f>
        <v/>
      </c>
      <c r="BJ33" s="62">
        <f>BI32*КоэффСохранения</f>
        <v/>
      </c>
      <c r="BK33" s="62">
        <f>BJ32*КоэффСохранения</f>
        <v/>
      </c>
      <c r="BL33" s="62">
        <f>BK32*КоэффСохранения</f>
        <v/>
      </c>
      <c r="BM33" s="62">
        <f>BL32*КоэффСохранения</f>
        <v/>
      </c>
      <c r="BN33" s="62">
        <f>BM32*КоэффСохранения</f>
        <v/>
      </c>
      <c r="BO33" s="62">
        <f>BN32*КоэффСохранения</f>
        <v/>
      </c>
      <c r="BP33" s="62">
        <f>BO32*КоэффСохранения</f>
        <v/>
      </c>
      <c r="BQ33" s="62">
        <f>BP32*КоэффСохранения</f>
        <v/>
      </c>
      <c r="BR33" s="62">
        <f>BQ32*КоэффСохранения</f>
        <v/>
      </c>
      <c r="BS33" s="62">
        <f>BR32*КоэффСохранения</f>
        <v/>
      </c>
      <c r="BT33" s="62">
        <f>BS32*КоэффСохранения</f>
        <v/>
      </c>
      <c r="BU33" s="62">
        <f>BT32*КоэффСохранения</f>
        <v/>
      </c>
      <c r="BV33" s="62">
        <f>BU32*КоэффСохранения</f>
        <v/>
      </c>
      <c r="BW33" s="62">
        <f>BV32*КоэффСохранения</f>
        <v/>
      </c>
      <c r="BX33" s="62">
        <f>BW32*КоэффСохранения</f>
        <v/>
      </c>
      <c r="BY33" s="62">
        <f>BX32*КоэффСохранения</f>
        <v/>
      </c>
    </row>
    <row r="34" ht="15.75" customHeight="1" s="194">
      <c r="B34" s="56" t="inlineStr">
        <is>
          <t>14 мес.</t>
        </is>
      </c>
      <c r="C34" s="56" t="inlineStr">
        <is>
          <t>шт.</t>
        </is>
      </c>
      <c r="D34" s="57" t="inlineStr">
        <is>
          <t>В колонках лет — значение на конец года, в «Итого» — на конец пятого года. Это остаток, а не сумма.</t>
        </is>
      </c>
      <c r="E34" s="59">
        <f>W34</f>
        <v/>
      </c>
      <c r="F34" s="59">
        <f>AI34</f>
        <v/>
      </c>
      <c r="G34" s="59">
        <f>AU34</f>
        <v/>
      </c>
      <c r="H34" s="59">
        <f>BG34</f>
        <v/>
      </c>
      <c r="I34" s="59">
        <f>BS34</f>
        <v/>
      </c>
      <c r="J34" s="61">
        <f>BS34</f>
        <v/>
      </c>
      <c r="L34" s="62">
        <f>0</f>
        <v/>
      </c>
      <c r="M34" s="62">
        <f>L33*КоэффСохранения</f>
        <v/>
      </c>
      <c r="N34" s="62">
        <f>M33*КоэффСохранения</f>
        <v/>
      </c>
      <c r="O34" s="62">
        <f>N33*КоэффСохранения</f>
        <v/>
      </c>
      <c r="P34" s="62">
        <f>O33*КоэффСохранения</f>
        <v/>
      </c>
      <c r="Q34" s="62">
        <f>P33*КоэффСохранения</f>
        <v/>
      </c>
      <c r="R34" s="62">
        <f>Q33*КоэффСохранения</f>
        <v/>
      </c>
      <c r="S34" s="62">
        <f>R33*КоэффСохранения</f>
        <v/>
      </c>
      <c r="T34" s="62">
        <f>S33*КоэффСохранения</f>
        <v/>
      </c>
      <c r="U34" s="62">
        <f>T33*КоэффСохранения</f>
        <v/>
      </c>
      <c r="V34" s="62">
        <f>U33*КоэффСохранения</f>
        <v/>
      </c>
      <c r="W34" s="62">
        <f>V33*КоэффСохранения</f>
        <v/>
      </c>
      <c r="X34" s="62">
        <f>W33*КоэффСохранения</f>
        <v/>
      </c>
      <c r="Y34" s="62">
        <f>X33*КоэффСохранения</f>
        <v/>
      </c>
      <c r="Z34" s="62">
        <f>Y33*КоэффСохранения</f>
        <v/>
      </c>
      <c r="AA34" s="62">
        <f>Z33*КоэффСохранения</f>
        <v/>
      </c>
      <c r="AB34" s="62">
        <f>AA33*КоэффСохранения</f>
        <v/>
      </c>
      <c r="AC34" s="62">
        <f>AB33*КоэффСохранения</f>
        <v/>
      </c>
      <c r="AD34" s="62">
        <f>AC33*КоэффСохранения</f>
        <v/>
      </c>
      <c r="AE34" s="62">
        <f>AD33*КоэффСохранения</f>
        <v/>
      </c>
      <c r="AF34" s="62">
        <f>AE33*КоэффСохранения</f>
        <v/>
      </c>
      <c r="AG34" s="62">
        <f>AF33*КоэффСохранения</f>
        <v/>
      </c>
      <c r="AH34" s="62">
        <f>AG33*КоэффСохранения</f>
        <v/>
      </c>
      <c r="AI34" s="62">
        <f>AH33*КоэффСохранения</f>
        <v/>
      </c>
      <c r="AJ34" s="62">
        <f>AI33*КоэффСохранения</f>
        <v/>
      </c>
      <c r="AK34" s="62">
        <f>AJ33*КоэффСохранения</f>
        <v/>
      </c>
      <c r="AL34" s="62">
        <f>AK33*КоэффСохранения</f>
        <v/>
      </c>
      <c r="AM34" s="62">
        <f>AL33*КоэффСохранения</f>
        <v/>
      </c>
      <c r="AN34" s="62">
        <f>AM33*КоэффСохранения</f>
        <v/>
      </c>
      <c r="AO34" s="62">
        <f>AN33*КоэффСохранения</f>
        <v/>
      </c>
      <c r="AP34" s="62">
        <f>AO33*КоэффСохранения</f>
        <v/>
      </c>
      <c r="AQ34" s="62">
        <f>AP33*КоэффСохранения</f>
        <v/>
      </c>
      <c r="AR34" s="62">
        <f>AQ33*КоэффСохранения</f>
        <v/>
      </c>
      <c r="AS34" s="62">
        <f>AR33*КоэффСохранения</f>
        <v/>
      </c>
      <c r="AT34" s="62">
        <f>AS33*КоэффСохранения</f>
        <v/>
      </c>
      <c r="AU34" s="62">
        <f>AT33*КоэффСохранения</f>
        <v/>
      </c>
      <c r="AV34" s="62">
        <f>AU33*КоэффСохранения</f>
        <v/>
      </c>
      <c r="AW34" s="62">
        <f>AV33*КоэффСохранения</f>
        <v/>
      </c>
      <c r="AX34" s="62">
        <f>AW33*КоэффСохранения</f>
        <v/>
      </c>
      <c r="AY34" s="62">
        <f>AX33*КоэффСохранения</f>
        <v/>
      </c>
      <c r="AZ34" s="62">
        <f>AY33*КоэффСохранения</f>
        <v/>
      </c>
      <c r="BA34" s="62">
        <f>AZ33*КоэффСохранения</f>
        <v/>
      </c>
      <c r="BB34" s="62">
        <f>BA33*КоэффСохранения</f>
        <v/>
      </c>
      <c r="BC34" s="62">
        <f>BB33*КоэффСохранения</f>
        <v/>
      </c>
      <c r="BD34" s="62">
        <f>BC33*КоэффСохранения</f>
        <v/>
      </c>
      <c r="BE34" s="62">
        <f>BD33*КоэффСохранения</f>
        <v/>
      </c>
      <c r="BF34" s="62">
        <f>BE33*КоэффСохранения</f>
        <v/>
      </c>
      <c r="BG34" s="62">
        <f>BF33*КоэффСохранения</f>
        <v/>
      </c>
      <c r="BH34" s="62">
        <f>BG33*КоэффСохранения</f>
        <v/>
      </c>
      <c r="BI34" s="62">
        <f>BH33*КоэффСохранения</f>
        <v/>
      </c>
      <c r="BJ34" s="62">
        <f>BI33*КоэффСохранения</f>
        <v/>
      </c>
      <c r="BK34" s="62">
        <f>BJ33*КоэффСохранения</f>
        <v/>
      </c>
      <c r="BL34" s="62">
        <f>BK33*КоэффСохранения</f>
        <v/>
      </c>
      <c r="BM34" s="62">
        <f>BL33*КоэффСохранения</f>
        <v/>
      </c>
      <c r="BN34" s="62">
        <f>BM33*КоэффСохранения</f>
        <v/>
      </c>
      <c r="BO34" s="62">
        <f>BN33*КоэффСохранения</f>
        <v/>
      </c>
      <c r="BP34" s="62">
        <f>BO33*КоэффСохранения</f>
        <v/>
      </c>
      <c r="BQ34" s="62">
        <f>BP33*КоэффСохранения</f>
        <v/>
      </c>
      <c r="BR34" s="62">
        <f>BQ33*КоэффСохранения</f>
        <v/>
      </c>
      <c r="BS34" s="62">
        <f>BR33*КоэффСохранения</f>
        <v/>
      </c>
      <c r="BT34" s="62">
        <f>BS33*КоэффСохранения</f>
        <v/>
      </c>
      <c r="BU34" s="62">
        <f>BT33*КоэффСохранения</f>
        <v/>
      </c>
      <c r="BV34" s="62">
        <f>BU33*КоэффСохранения</f>
        <v/>
      </c>
      <c r="BW34" s="62">
        <f>BV33*КоэффСохранения</f>
        <v/>
      </c>
      <c r="BX34" s="62">
        <f>BW33*КоэффСохранения</f>
        <v/>
      </c>
      <c r="BY34" s="62">
        <f>BX33*КоэффСохранения</f>
        <v/>
      </c>
    </row>
    <row r="35" ht="15.75" customHeight="1" s="194">
      <c r="B35" s="56" t="inlineStr">
        <is>
          <t>15 мес.</t>
        </is>
      </c>
      <c r="C35" s="56" t="inlineStr">
        <is>
          <t>шт.</t>
        </is>
      </c>
      <c r="D35" s="57" t="inlineStr">
        <is>
          <t>В колонках лет — значение на конец года, в «Итого» — на конец пятого года. Это остаток, а не сумма.</t>
        </is>
      </c>
      <c r="E35" s="59">
        <f>W35</f>
        <v/>
      </c>
      <c r="F35" s="59">
        <f>AI35</f>
        <v/>
      </c>
      <c r="G35" s="59">
        <f>AU35</f>
        <v/>
      </c>
      <c r="H35" s="59">
        <f>BG35</f>
        <v/>
      </c>
      <c r="I35" s="59">
        <f>BS35</f>
        <v/>
      </c>
      <c r="J35" s="61">
        <f>BS35</f>
        <v/>
      </c>
      <c r="L35" s="62">
        <f>0</f>
        <v/>
      </c>
      <c r="M35" s="62">
        <f>L34*КоэффСохранения</f>
        <v/>
      </c>
      <c r="N35" s="62">
        <f>M34*КоэффСохранения</f>
        <v/>
      </c>
      <c r="O35" s="62">
        <f>N34*КоэффСохранения</f>
        <v/>
      </c>
      <c r="P35" s="62">
        <f>O34*КоэффСохранения</f>
        <v/>
      </c>
      <c r="Q35" s="62">
        <f>P34*КоэффСохранения</f>
        <v/>
      </c>
      <c r="R35" s="62">
        <f>Q34*КоэффСохранения</f>
        <v/>
      </c>
      <c r="S35" s="62">
        <f>R34*КоэффСохранения</f>
        <v/>
      </c>
      <c r="T35" s="62">
        <f>S34*КоэффСохранения</f>
        <v/>
      </c>
      <c r="U35" s="62">
        <f>T34*КоэффСохранения</f>
        <v/>
      </c>
      <c r="V35" s="62">
        <f>U34*КоэффСохранения</f>
        <v/>
      </c>
      <c r="W35" s="62">
        <f>V34*КоэффСохранения</f>
        <v/>
      </c>
      <c r="X35" s="62">
        <f>W34*КоэффСохранения</f>
        <v/>
      </c>
      <c r="Y35" s="62">
        <f>X34*КоэффСохранения</f>
        <v/>
      </c>
      <c r="Z35" s="62">
        <f>Y34*КоэффСохранения</f>
        <v/>
      </c>
      <c r="AA35" s="62">
        <f>Z34*КоэффСохранения</f>
        <v/>
      </c>
      <c r="AB35" s="62">
        <f>AA34*КоэффСохранения</f>
        <v/>
      </c>
      <c r="AC35" s="62">
        <f>AB34*КоэффСохранения</f>
        <v/>
      </c>
      <c r="AD35" s="62">
        <f>AC34*КоэффСохранения</f>
        <v/>
      </c>
      <c r="AE35" s="62">
        <f>AD34*КоэффСохранения</f>
        <v/>
      </c>
      <c r="AF35" s="62">
        <f>AE34*КоэффСохранения</f>
        <v/>
      </c>
      <c r="AG35" s="62">
        <f>AF34*КоэффСохранения</f>
        <v/>
      </c>
      <c r="AH35" s="62">
        <f>AG34*КоэффСохранения</f>
        <v/>
      </c>
      <c r="AI35" s="62">
        <f>AH34*КоэффСохранения</f>
        <v/>
      </c>
      <c r="AJ35" s="62">
        <f>AI34*КоэффСохранения</f>
        <v/>
      </c>
      <c r="AK35" s="62">
        <f>AJ34*КоэффСохранения</f>
        <v/>
      </c>
      <c r="AL35" s="62">
        <f>AK34*КоэффСохранения</f>
        <v/>
      </c>
      <c r="AM35" s="62">
        <f>AL34*КоэффСохранения</f>
        <v/>
      </c>
      <c r="AN35" s="62">
        <f>AM34*КоэффСохранения</f>
        <v/>
      </c>
      <c r="AO35" s="62">
        <f>AN34*КоэффСохранения</f>
        <v/>
      </c>
      <c r="AP35" s="62">
        <f>AO34*КоэффСохранения</f>
        <v/>
      </c>
      <c r="AQ35" s="62">
        <f>AP34*КоэффСохранения</f>
        <v/>
      </c>
      <c r="AR35" s="62">
        <f>AQ34*КоэффСохранения</f>
        <v/>
      </c>
      <c r="AS35" s="62">
        <f>AR34*КоэффСохранения</f>
        <v/>
      </c>
      <c r="AT35" s="62">
        <f>AS34*КоэффСохранения</f>
        <v/>
      </c>
      <c r="AU35" s="62">
        <f>AT34*КоэффСохранения</f>
        <v/>
      </c>
      <c r="AV35" s="62">
        <f>AU34*КоэффСохранения</f>
        <v/>
      </c>
      <c r="AW35" s="62">
        <f>AV34*КоэффСохранения</f>
        <v/>
      </c>
      <c r="AX35" s="62">
        <f>AW34*КоэффСохранения</f>
        <v/>
      </c>
      <c r="AY35" s="62">
        <f>AX34*КоэффСохранения</f>
        <v/>
      </c>
      <c r="AZ35" s="62">
        <f>AY34*КоэффСохранения</f>
        <v/>
      </c>
      <c r="BA35" s="62">
        <f>AZ34*КоэффСохранения</f>
        <v/>
      </c>
      <c r="BB35" s="62">
        <f>BA34*КоэффСохранения</f>
        <v/>
      </c>
      <c r="BC35" s="62">
        <f>BB34*КоэффСохранения</f>
        <v/>
      </c>
      <c r="BD35" s="62">
        <f>BC34*КоэффСохранения</f>
        <v/>
      </c>
      <c r="BE35" s="62">
        <f>BD34*КоэффСохранения</f>
        <v/>
      </c>
      <c r="BF35" s="62">
        <f>BE34*КоэффСохранения</f>
        <v/>
      </c>
      <c r="BG35" s="62">
        <f>BF34*КоэффСохранения</f>
        <v/>
      </c>
      <c r="BH35" s="62">
        <f>BG34*КоэффСохранения</f>
        <v/>
      </c>
      <c r="BI35" s="62">
        <f>BH34*КоэффСохранения</f>
        <v/>
      </c>
      <c r="BJ35" s="62">
        <f>BI34*КоэффСохранения</f>
        <v/>
      </c>
      <c r="BK35" s="62">
        <f>BJ34*КоэффСохранения</f>
        <v/>
      </c>
      <c r="BL35" s="62">
        <f>BK34*КоэффСохранения</f>
        <v/>
      </c>
      <c r="BM35" s="62">
        <f>BL34*КоэффСохранения</f>
        <v/>
      </c>
      <c r="BN35" s="62">
        <f>BM34*КоэффСохранения</f>
        <v/>
      </c>
      <c r="BO35" s="62">
        <f>BN34*КоэффСохранения</f>
        <v/>
      </c>
      <c r="BP35" s="62">
        <f>BO34*КоэффСохранения</f>
        <v/>
      </c>
      <c r="BQ35" s="62">
        <f>BP34*КоэффСохранения</f>
        <v/>
      </c>
      <c r="BR35" s="62">
        <f>BQ34*КоэффСохранения</f>
        <v/>
      </c>
      <c r="BS35" s="62">
        <f>BR34*КоэффСохранения</f>
        <v/>
      </c>
      <c r="BT35" s="62">
        <f>BS34*КоэффСохранения</f>
        <v/>
      </c>
      <c r="BU35" s="62">
        <f>BT34*КоэффСохранения</f>
        <v/>
      </c>
      <c r="BV35" s="62">
        <f>BU34*КоэффСохранения</f>
        <v/>
      </c>
      <c r="BW35" s="62">
        <f>BV34*КоэффСохранения</f>
        <v/>
      </c>
      <c r="BX35" s="62">
        <f>BW34*КоэффСохранения</f>
        <v/>
      </c>
      <c r="BY35" s="62">
        <f>BX34*КоэффСохранения</f>
        <v/>
      </c>
    </row>
    <row r="36" ht="15.75" customHeight="1" s="194">
      <c r="B36" s="56" t="inlineStr">
        <is>
          <t>16 мес.</t>
        </is>
      </c>
      <c r="C36" s="56" t="inlineStr">
        <is>
          <t>шт.</t>
        </is>
      </c>
      <c r="D36" s="57" t="inlineStr">
        <is>
          <t>В колонках лет — значение на конец года, в «Итого» — на конец пятого года. Это остаток, а не сумма.</t>
        </is>
      </c>
      <c r="E36" s="59">
        <f>W36</f>
        <v/>
      </c>
      <c r="F36" s="59">
        <f>AI36</f>
        <v/>
      </c>
      <c r="G36" s="59">
        <f>AU36</f>
        <v/>
      </c>
      <c r="H36" s="59">
        <f>BG36</f>
        <v/>
      </c>
      <c r="I36" s="59">
        <f>BS36</f>
        <v/>
      </c>
      <c r="J36" s="61">
        <f>BS36</f>
        <v/>
      </c>
      <c r="L36" s="62">
        <f>0</f>
        <v/>
      </c>
      <c r="M36" s="62">
        <f>L35*КоэффСохранения</f>
        <v/>
      </c>
      <c r="N36" s="62">
        <f>M35*КоэффСохранения</f>
        <v/>
      </c>
      <c r="O36" s="62">
        <f>N35*КоэффСохранения</f>
        <v/>
      </c>
      <c r="P36" s="62">
        <f>O35*КоэффСохранения</f>
        <v/>
      </c>
      <c r="Q36" s="62">
        <f>P35*КоэффСохранения</f>
        <v/>
      </c>
      <c r="R36" s="62">
        <f>Q35*КоэффСохранения</f>
        <v/>
      </c>
      <c r="S36" s="62">
        <f>R35*КоэффСохранения</f>
        <v/>
      </c>
      <c r="T36" s="62">
        <f>S35*КоэффСохранения</f>
        <v/>
      </c>
      <c r="U36" s="62">
        <f>T35*КоэффСохранения</f>
        <v/>
      </c>
      <c r="V36" s="62">
        <f>U35*КоэффСохранения</f>
        <v/>
      </c>
      <c r="W36" s="62">
        <f>V35*КоэффСохранения</f>
        <v/>
      </c>
      <c r="X36" s="62">
        <f>W35*КоэффСохранения</f>
        <v/>
      </c>
      <c r="Y36" s="62">
        <f>X35*КоэффСохранения</f>
        <v/>
      </c>
      <c r="Z36" s="62">
        <f>Y35*КоэффСохранения</f>
        <v/>
      </c>
      <c r="AA36" s="62">
        <f>Z35*КоэффСохранения</f>
        <v/>
      </c>
      <c r="AB36" s="62">
        <f>AA35*КоэффСохранения</f>
        <v/>
      </c>
      <c r="AC36" s="62">
        <f>AB35*КоэффСохранения</f>
        <v/>
      </c>
      <c r="AD36" s="62">
        <f>AC35*КоэффСохранения</f>
        <v/>
      </c>
      <c r="AE36" s="62">
        <f>AD35*КоэффСохранения</f>
        <v/>
      </c>
      <c r="AF36" s="62">
        <f>AE35*КоэффСохранения</f>
        <v/>
      </c>
      <c r="AG36" s="62">
        <f>AF35*КоэффСохранения</f>
        <v/>
      </c>
      <c r="AH36" s="62">
        <f>AG35*КоэффСохранения</f>
        <v/>
      </c>
      <c r="AI36" s="62">
        <f>AH35*КоэффСохранения</f>
        <v/>
      </c>
      <c r="AJ36" s="62">
        <f>AI35*КоэффСохранения</f>
        <v/>
      </c>
      <c r="AK36" s="62">
        <f>AJ35*КоэффСохранения</f>
        <v/>
      </c>
      <c r="AL36" s="62">
        <f>AK35*КоэффСохранения</f>
        <v/>
      </c>
      <c r="AM36" s="62">
        <f>AL35*КоэффСохранения</f>
        <v/>
      </c>
      <c r="AN36" s="62">
        <f>AM35*КоэффСохранения</f>
        <v/>
      </c>
      <c r="AO36" s="62">
        <f>AN35*КоэффСохранения</f>
        <v/>
      </c>
      <c r="AP36" s="62">
        <f>AO35*КоэффСохранения</f>
        <v/>
      </c>
      <c r="AQ36" s="62">
        <f>AP35*КоэффСохранения</f>
        <v/>
      </c>
      <c r="AR36" s="62">
        <f>AQ35*КоэффСохранения</f>
        <v/>
      </c>
      <c r="AS36" s="62">
        <f>AR35*КоэффСохранения</f>
        <v/>
      </c>
      <c r="AT36" s="62">
        <f>AS35*КоэффСохранения</f>
        <v/>
      </c>
      <c r="AU36" s="62">
        <f>AT35*КоэффСохранения</f>
        <v/>
      </c>
      <c r="AV36" s="62">
        <f>AU35*КоэффСохранения</f>
        <v/>
      </c>
      <c r="AW36" s="62">
        <f>AV35*КоэффСохранения</f>
        <v/>
      </c>
      <c r="AX36" s="62">
        <f>AW35*КоэффСохранения</f>
        <v/>
      </c>
      <c r="AY36" s="62">
        <f>AX35*КоэффСохранения</f>
        <v/>
      </c>
      <c r="AZ36" s="62">
        <f>AY35*КоэффСохранения</f>
        <v/>
      </c>
      <c r="BA36" s="62">
        <f>AZ35*КоэффСохранения</f>
        <v/>
      </c>
      <c r="BB36" s="62">
        <f>BA35*КоэффСохранения</f>
        <v/>
      </c>
      <c r="BC36" s="62">
        <f>BB35*КоэффСохранения</f>
        <v/>
      </c>
      <c r="BD36" s="62">
        <f>BC35*КоэффСохранения</f>
        <v/>
      </c>
      <c r="BE36" s="62">
        <f>BD35*КоэффСохранения</f>
        <v/>
      </c>
      <c r="BF36" s="62">
        <f>BE35*КоэффСохранения</f>
        <v/>
      </c>
      <c r="BG36" s="62">
        <f>BF35*КоэффСохранения</f>
        <v/>
      </c>
      <c r="BH36" s="62">
        <f>BG35*КоэффСохранения</f>
        <v/>
      </c>
      <c r="BI36" s="62">
        <f>BH35*КоэффСохранения</f>
        <v/>
      </c>
      <c r="BJ36" s="62">
        <f>BI35*КоэффСохранения</f>
        <v/>
      </c>
      <c r="BK36" s="62">
        <f>BJ35*КоэффСохранения</f>
        <v/>
      </c>
      <c r="BL36" s="62">
        <f>BK35*КоэффСохранения</f>
        <v/>
      </c>
      <c r="BM36" s="62">
        <f>BL35*КоэффСохранения</f>
        <v/>
      </c>
      <c r="BN36" s="62">
        <f>BM35*КоэффСохранения</f>
        <v/>
      </c>
      <c r="BO36" s="62">
        <f>BN35*КоэффСохранения</f>
        <v/>
      </c>
      <c r="BP36" s="62">
        <f>BO35*КоэффСохранения</f>
        <v/>
      </c>
      <c r="BQ36" s="62">
        <f>BP35*КоэффСохранения</f>
        <v/>
      </c>
      <c r="BR36" s="62">
        <f>BQ35*КоэффСохранения</f>
        <v/>
      </c>
      <c r="BS36" s="62">
        <f>BR35*КоэффСохранения</f>
        <v/>
      </c>
      <c r="BT36" s="62">
        <f>BS35*КоэффСохранения</f>
        <v/>
      </c>
      <c r="BU36" s="62">
        <f>BT35*КоэффСохранения</f>
        <v/>
      </c>
      <c r="BV36" s="62">
        <f>BU35*КоэффСохранения</f>
        <v/>
      </c>
      <c r="BW36" s="62">
        <f>BV35*КоэффСохранения</f>
        <v/>
      </c>
      <c r="BX36" s="62">
        <f>BW35*КоэффСохранения</f>
        <v/>
      </c>
      <c r="BY36" s="62">
        <f>BX35*КоэффСохранения</f>
        <v/>
      </c>
    </row>
    <row r="37" ht="15.75" customHeight="1" s="194">
      <c r="B37" s="56" t="inlineStr">
        <is>
          <t>17 мес.</t>
        </is>
      </c>
      <c r="C37" s="56" t="inlineStr">
        <is>
          <t>шт.</t>
        </is>
      </c>
      <c r="D37" s="57" t="inlineStr">
        <is>
          <t>В колонках лет — значение на конец года, в «Итого» — на конец пятого года. Это остаток, а не сумма.</t>
        </is>
      </c>
      <c r="E37" s="59">
        <f>W37</f>
        <v/>
      </c>
      <c r="F37" s="59">
        <f>AI37</f>
        <v/>
      </c>
      <c r="G37" s="59">
        <f>AU37</f>
        <v/>
      </c>
      <c r="H37" s="59">
        <f>BG37</f>
        <v/>
      </c>
      <c r="I37" s="59">
        <f>BS37</f>
        <v/>
      </c>
      <c r="J37" s="61">
        <f>BS37</f>
        <v/>
      </c>
      <c r="L37" s="62">
        <f>0</f>
        <v/>
      </c>
      <c r="M37" s="62">
        <f>L36*КоэффСохранения</f>
        <v/>
      </c>
      <c r="N37" s="62">
        <f>M36*КоэффСохранения</f>
        <v/>
      </c>
      <c r="O37" s="62">
        <f>N36*КоэффСохранения</f>
        <v/>
      </c>
      <c r="P37" s="62">
        <f>O36*КоэффСохранения</f>
        <v/>
      </c>
      <c r="Q37" s="62">
        <f>P36*КоэффСохранения</f>
        <v/>
      </c>
      <c r="R37" s="62">
        <f>Q36*КоэффСохранения</f>
        <v/>
      </c>
      <c r="S37" s="62">
        <f>R36*КоэффСохранения</f>
        <v/>
      </c>
      <c r="T37" s="62">
        <f>S36*КоэффСохранения</f>
        <v/>
      </c>
      <c r="U37" s="62">
        <f>T36*КоэффСохранения</f>
        <v/>
      </c>
      <c r="V37" s="62">
        <f>U36*КоэффСохранения</f>
        <v/>
      </c>
      <c r="W37" s="62">
        <f>V36*КоэффСохранения</f>
        <v/>
      </c>
      <c r="X37" s="62">
        <f>W36*КоэффСохранения</f>
        <v/>
      </c>
      <c r="Y37" s="62">
        <f>X36*КоэффСохранения</f>
        <v/>
      </c>
      <c r="Z37" s="62">
        <f>Y36*КоэффСохранения</f>
        <v/>
      </c>
      <c r="AA37" s="62">
        <f>Z36*КоэффСохранения</f>
        <v/>
      </c>
      <c r="AB37" s="62">
        <f>AA36*КоэффСохранения</f>
        <v/>
      </c>
      <c r="AC37" s="62">
        <f>AB36*КоэффСохранения</f>
        <v/>
      </c>
      <c r="AD37" s="62">
        <f>AC36*КоэффСохранения</f>
        <v/>
      </c>
      <c r="AE37" s="62">
        <f>AD36*КоэффСохранения</f>
        <v/>
      </c>
      <c r="AF37" s="62">
        <f>AE36*КоэффСохранения</f>
        <v/>
      </c>
      <c r="AG37" s="62">
        <f>AF36*КоэффСохранения</f>
        <v/>
      </c>
      <c r="AH37" s="62">
        <f>AG36*КоэффСохранения</f>
        <v/>
      </c>
      <c r="AI37" s="62">
        <f>AH36*КоэффСохранения</f>
        <v/>
      </c>
      <c r="AJ37" s="62">
        <f>AI36*КоэффСохранения</f>
        <v/>
      </c>
      <c r="AK37" s="62">
        <f>AJ36*КоэффСохранения</f>
        <v/>
      </c>
      <c r="AL37" s="62">
        <f>AK36*КоэффСохранения</f>
        <v/>
      </c>
      <c r="AM37" s="62">
        <f>AL36*КоэффСохранения</f>
        <v/>
      </c>
      <c r="AN37" s="62">
        <f>AM36*КоэффСохранения</f>
        <v/>
      </c>
      <c r="AO37" s="62">
        <f>AN36*КоэффСохранения</f>
        <v/>
      </c>
      <c r="AP37" s="62">
        <f>AO36*КоэффСохранения</f>
        <v/>
      </c>
      <c r="AQ37" s="62">
        <f>AP36*КоэффСохранения</f>
        <v/>
      </c>
      <c r="AR37" s="62">
        <f>AQ36*КоэффСохранения</f>
        <v/>
      </c>
      <c r="AS37" s="62">
        <f>AR36*КоэффСохранения</f>
        <v/>
      </c>
      <c r="AT37" s="62">
        <f>AS36*КоэффСохранения</f>
        <v/>
      </c>
      <c r="AU37" s="62">
        <f>AT36*КоэффСохранения</f>
        <v/>
      </c>
      <c r="AV37" s="62">
        <f>AU36*КоэффСохранения</f>
        <v/>
      </c>
      <c r="AW37" s="62">
        <f>AV36*КоэффСохранения</f>
        <v/>
      </c>
      <c r="AX37" s="62">
        <f>AW36*КоэффСохранения</f>
        <v/>
      </c>
      <c r="AY37" s="62">
        <f>AX36*КоэффСохранения</f>
        <v/>
      </c>
      <c r="AZ37" s="62">
        <f>AY36*КоэффСохранения</f>
        <v/>
      </c>
      <c r="BA37" s="62">
        <f>AZ36*КоэффСохранения</f>
        <v/>
      </c>
      <c r="BB37" s="62">
        <f>BA36*КоэффСохранения</f>
        <v/>
      </c>
      <c r="BC37" s="62">
        <f>BB36*КоэффСохранения</f>
        <v/>
      </c>
      <c r="BD37" s="62">
        <f>BC36*КоэффСохранения</f>
        <v/>
      </c>
      <c r="BE37" s="62">
        <f>BD36*КоэффСохранения</f>
        <v/>
      </c>
      <c r="BF37" s="62">
        <f>BE36*КоэффСохранения</f>
        <v/>
      </c>
      <c r="BG37" s="62">
        <f>BF36*КоэффСохранения</f>
        <v/>
      </c>
      <c r="BH37" s="62">
        <f>BG36*КоэффСохранения</f>
        <v/>
      </c>
      <c r="BI37" s="62">
        <f>BH36*КоэффСохранения</f>
        <v/>
      </c>
      <c r="BJ37" s="62">
        <f>BI36*КоэффСохранения</f>
        <v/>
      </c>
      <c r="BK37" s="62">
        <f>BJ36*КоэффСохранения</f>
        <v/>
      </c>
      <c r="BL37" s="62">
        <f>BK36*КоэффСохранения</f>
        <v/>
      </c>
      <c r="BM37" s="62">
        <f>BL36*КоэффСохранения</f>
        <v/>
      </c>
      <c r="BN37" s="62">
        <f>BM36*КоэффСохранения</f>
        <v/>
      </c>
      <c r="BO37" s="62">
        <f>BN36*КоэффСохранения</f>
        <v/>
      </c>
      <c r="BP37" s="62">
        <f>BO36*КоэффСохранения</f>
        <v/>
      </c>
      <c r="BQ37" s="62">
        <f>BP36*КоэффСохранения</f>
        <v/>
      </c>
      <c r="BR37" s="62">
        <f>BQ36*КоэффСохранения</f>
        <v/>
      </c>
      <c r="BS37" s="62">
        <f>BR36*КоэффСохранения</f>
        <v/>
      </c>
      <c r="BT37" s="62">
        <f>BS36*КоэффСохранения</f>
        <v/>
      </c>
      <c r="BU37" s="62">
        <f>BT36*КоэффСохранения</f>
        <v/>
      </c>
      <c r="BV37" s="62">
        <f>BU36*КоэффСохранения</f>
        <v/>
      </c>
      <c r="BW37" s="62">
        <f>BV36*КоэффСохранения</f>
        <v/>
      </c>
      <c r="BX37" s="62">
        <f>BW36*КоэффСохранения</f>
        <v/>
      </c>
      <c r="BY37" s="62">
        <f>BX36*КоэффСохранения</f>
        <v/>
      </c>
    </row>
    <row r="38" ht="15.75" customHeight="1" s="194">
      <c r="B38" s="56" t="inlineStr">
        <is>
          <t>18 мес.</t>
        </is>
      </c>
      <c r="C38" s="56" t="inlineStr">
        <is>
          <t>шт.</t>
        </is>
      </c>
      <c r="D38" s="57" t="inlineStr">
        <is>
          <t>В колонках лет — значение на конец года, в «Итого» — на конец пятого года. Это остаток, а не сумма.</t>
        </is>
      </c>
      <c r="E38" s="59">
        <f>W38</f>
        <v/>
      </c>
      <c r="F38" s="59">
        <f>AI38</f>
        <v/>
      </c>
      <c r="G38" s="59">
        <f>AU38</f>
        <v/>
      </c>
      <c r="H38" s="59">
        <f>BG38</f>
        <v/>
      </c>
      <c r="I38" s="59">
        <f>BS38</f>
        <v/>
      </c>
      <c r="J38" s="61">
        <f>BS38</f>
        <v/>
      </c>
      <c r="L38" s="62">
        <f>0</f>
        <v/>
      </c>
      <c r="M38" s="62">
        <f>L37*КоэффСохранения</f>
        <v/>
      </c>
      <c r="N38" s="62">
        <f>M37*КоэффСохранения</f>
        <v/>
      </c>
      <c r="O38" s="62">
        <f>N37*КоэффСохранения</f>
        <v/>
      </c>
      <c r="P38" s="62">
        <f>O37*КоэффСохранения</f>
        <v/>
      </c>
      <c r="Q38" s="62">
        <f>P37*КоэффСохранения</f>
        <v/>
      </c>
      <c r="R38" s="62">
        <f>Q37*КоэффСохранения</f>
        <v/>
      </c>
      <c r="S38" s="62">
        <f>R37*КоэффСохранения</f>
        <v/>
      </c>
      <c r="T38" s="62">
        <f>S37*КоэффСохранения</f>
        <v/>
      </c>
      <c r="U38" s="62">
        <f>T37*КоэффСохранения</f>
        <v/>
      </c>
      <c r="V38" s="62">
        <f>U37*КоэффСохранения</f>
        <v/>
      </c>
      <c r="W38" s="62">
        <f>V37*КоэффСохранения</f>
        <v/>
      </c>
      <c r="X38" s="62">
        <f>W37*КоэффСохранения</f>
        <v/>
      </c>
      <c r="Y38" s="62">
        <f>X37*КоэффСохранения</f>
        <v/>
      </c>
      <c r="Z38" s="62">
        <f>Y37*КоэффСохранения</f>
        <v/>
      </c>
      <c r="AA38" s="62">
        <f>Z37*КоэффСохранения</f>
        <v/>
      </c>
      <c r="AB38" s="62">
        <f>AA37*КоэффСохранения</f>
        <v/>
      </c>
      <c r="AC38" s="62">
        <f>AB37*КоэффСохранения</f>
        <v/>
      </c>
      <c r="AD38" s="62">
        <f>AC37*КоэффСохранения</f>
        <v/>
      </c>
      <c r="AE38" s="62">
        <f>AD37*КоэффСохранения</f>
        <v/>
      </c>
      <c r="AF38" s="62">
        <f>AE37*КоэффСохранения</f>
        <v/>
      </c>
      <c r="AG38" s="62">
        <f>AF37*КоэффСохранения</f>
        <v/>
      </c>
      <c r="AH38" s="62">
        <f>AG37*КоэффСохранения</f>
        <v/>
      </c>
      <c r="AI38" s="62">
        <f>AH37*КоэффСохранения</f>
        <v/>
      </c>
      <c r="AJ38" s="62">
        <f>AI37*КоэффСохранения</f>
        <v/>
      </c>
      <c r="AK38" s="62">
        <f>AJ37*КоэффСохранения</f>
        <v/>
      </c>
      <c r="AL38" s="62">
        <f>AK37*КоэффСохранения</f>
        <v/>
      </c>
      <c r="AM38" s="62">
        <f>AL37*КоэффСохранения</f>
        <v/>
      </c>
      <c r="AN38" s="62">
        <f>AM37*КоэффСохранения</f>
        <v/>
      </c>
      <c r="AO38" s="62">
        <f>AN37*КоэффСохранения</f>
        <v/>
      </c>
      <c r="AP38" s="62">
        <f>AO37*КоэффСохранения</f>
        <v/>
      </c>
      <c r="AQ38" s="62">
        <f>AP37*КоэффСохранения</f>
        <v/>
      </c>
      <c r="AR38" s="62">
        <f>AQ37*КоэффСохранения</f>
        <v/>
      </c>
      <c r="AS38" s="62">
        <f>AR37*КоэффСохранения</f>
        <v/>
      </c>
      <c r="AT38" s="62">
        <f>AS37*КоэффСохранения</f>
        <v/>
      </c>
      <c r="AU38" s="62">
        <f>AT37*КоэффСохранения</f>
        <v/>
      </c>
      <c r="AV38" s="62">
        <f>AU37*КоэффСохранения</f>
        <v/>
      </c>
      <c r="AW38" s="62">
        <f>AV37*КоэффСохранения</f>
        <v/>
      </c>
      <c r="AX38" s="62">
        <f>AW37*КоэффСохранения</f>
        <v/>
      </c>
      <c r="AY38" s="62">
        <f>AX37*КоэффСохранения</f>
        <v/>
      </c>
      <c r="AZ38" s="62">
        <f>AY37*КоэффСохранения</f>
        <v/>
      </c>
      <c r="BA38" s="62">
        <f>AZ37*КоэффСохранения</f>
        <v/>
      </c>
      <c r="BB38" s="62">
        <f>BA37*КоэффСохранения</f>
        <v/>
      </c>
      <c r="BC38" s="62">
        <f>BB37*КоэффСохранения</f>
        <v/>
      </c>
      <c r="BD38" s="62">
        <f>BC37*КоэффСохранения</f>
        <v/>
      </c>
      <c r="BE38" s="62">
        <f>BD37*КоэффСохранения</f>
        <v/>
      </c>
      <c r="BF38" s="62">
        <f>BE37*КоэффСохранения</f>
        <v/>
      </c>
      <c r="BG38" s="62">
        <f>BF37*КоэффСохранения</f>
        <v/>
      </c>
      <c r="BH38" s="62">
        <f>BG37*КоэффСохранения</f>
        <v/>
      </c>
      <c r="BI38" s="62">
        <f>BH37*КоэффСохранения</f>
        <v/>
      </c>
      <c r="BJ38" s="62">
        <f>BI37*КоэффСохранения</f>
        <v/>
      </c>
      <c r="BK38" s="62">
        <f>BJ37*КоэффСохранения</f>
        <v/>
      </c>
      <c r="BL38" s="62">
        <f>BK37*КоэффСохранения</f>
        <v/>
      </c>
      <c r="BM38" s="62">
        <f>BL37*КоэффСохранения</f>
        <v/>
      </c>
      <c r="BN38" s="62">
        <f>BM37*КоэффСохранения</f>
        <v/>
      </c>
      <c r="BO38" s="62">
        <f>BN37*КоэффСохранения</f>
        <v/>
      </c>
      <c r="BP38" s="62">
        <f>BO37*КоэффСохранения</f>
        <v/>
      </c>
      <c r="BQ38" s="62">
        <f>BP37*КоэффСохранения</f>
        <v/>
      </c>
      <c r="BR38" s="62">
        <f>BQ37*КоэффСохранения</f>
        <v/>
      </c>
      <c r="BS38" s="62">
        <f>BR37*КоэффСохранения</f>
        <v/>
      </c>
      <c r="BT38" s="62">
        <f>BS37*КоэффСохранения</f>
        <v/>
      </c>
      <c r="BU38" s="62">
        <f>BT37*КоэффСохранения</f>
        <v/>
      </c>
      <c r="BV38" s="62">
        <f>BU37*КоэффСохранения</f>
        <v/>
      </c>
      <c r="BW38" s="62">
        <f>BV37*КоэффСохранения</f>
        <v/>
      </c>
      <c r="BX38" s="62">
        <f>BW37*КоэффСохранения</f>
        <v/>
      </c>
      <c r="BY38" s="62">
        <f>BX37*КоэффСохранения</f>
        <v/>
      </c>
    </row>
    <row r="39" ht="15.75" customHeight="1" s="194">
      <c r="B39" s="56" t="inlineStr">
        <is>
          <t>19 мес.</t>
        </is>
      </c>
      <c r="C39" s="56" t="inlineStr">
        <is>
          <t>шт.</t>
        </is>
      </c>
      <c r="D39" s="57" t="inlineStr">
        <is>
          <t>В колонках лет — значение на конец года, в «Итого» — на конец пятого года. Это остаток, а не сумма.</t>
        </is>
      </c>
      <c r="E39" s="59">
        <f>W39</f>
        <v/>
      </c>
      <c r="F39" s="59">
        <f>AI39</f>
        <v/>
      </c>
      <c r="G39" s="59">
        <f>AU39</f>
        <v/>
      </c>
      <c r="H39" s="59">
        <f>BG39</f>
        <v/>
      </c>
      <c r="I39" s="59">
        <f>BS39</f>
        <v/>
      </c>
      <c r="J39" s="61">
        <f>BS39</f>
        <v/>
      </c>
      <c r="L39" s="62">
        <f>0</f>
        <v/>
      </c>
      <c r="M39" s="62">
        <f>L38*КоэффСохранения</f>
        <v/>
      </c>
      <c r="N39" s="62">
        <f>M38*КоэффСохранения</f>
        <v/>
      </c>
      <c r="O39" s="62">
        <f>N38*КоэффСохранения</f>
        <v/>
      </c>
      <c r="P39" s="62">
        <f>O38*КоэффСохранения</f>
        <v/>
      </c>
      <c r="Q39" s="62">
        <f>P38*КоэффСохранения</f>
        <v/>
      </c>
      <c r="R39" s="62">
        <f>Q38*КоэффСохранения</f>
        <v/>
      </c>
      <c r="S39" s="62">
        <f>R38*КоэффСохранения</f>
        <v/>
      </c>
      <c r="T39" s="62">
        <f>S38*КоэффСохранения</f>
        <v/>
      </c>
      <c r="U39" s="62">
        <f>T38*КоэффСохранения</f>
        <v/>
      </c>
      <c r="V39" s="62">
        <f>U38*КоэффСохранения</f>
        <v/>
      </c>
      <c r="W39" s="62">
        <f>V38*КоэффСохранения</f>
        <v/>
      </c>
      <c r="X39" s="62">
        <f>W38*КоэффСохранения</f>
        <v/>
      </c>
      <c r="Y39" s="62">
        <f>X38*КоэффСохранения</f>
        <v/>
      </c>
      <c r="Z39" s="62">
        <f>Y38*КоэффСохранения</f>
        <v/>
      </c>
      <c r="AA39" s="62">
        <f>Z38*КоэффСохранения</f>
        <v/>
      </c>
      <c r="AB39" s="62">
        <f>AA38*КоэффСохранения</f>
        <v/>
      </c>
      <c r="AC39" s="62">
        <f>AB38*КоэффСохранения</f>
        <v/>
      </c>
      <c r="AD39" s="62">
        <f>AC38*КоэффСохранения</f>
        <v/>
      </c>
      <c r="AE39" s="62">
        <f>AD38*КоэффСохранения</f>
        <v/>
      </c>
      <c r="AF39" s="62">
        <f>AE38*КоэффСохранения</f>
        <v/>
      </c>
      <c r="AG39" s="62">
        <f>AF38*КоэффСохранения</f>
        <v/>
      </c>
      <c r="AH39" s="62">
        <f>AG38*КоэффСохранения</f>
        <v/>
      </c>
      <c r="AI39" s="62">
        <f>AH38*КоэффСохранения</f>
        <v/>
      </c>
      <c r="AJ39" s="62">
        <f>AI38*КоэффСохранения</f>
        <v/>
      </c>
      <c r="AK39" s="62">
        <f>AJ38*КоэффСохранения</f>
        <v/>
      </c>
      <c r="AL39" s="62">
        <f>AK38*КоэффСохранения</f>
        <v/>
      </c>
      <c r="AM39" s="62">
        <f>AL38*КоэффСохранения</f>
        <v/>
      </c>
      <c r="AN39" s="62">
        <f>AM38*КоэффСохранения</f>
        <v/>
      </c>
      <c r="AO39" s="62">
        <f>AN38*КоэффСохранения</f>
        <v/>
      </c>
      <c r="AP39" s="62">
        <f>AO38*КоэффСохранения</f>
        <v/>
      </c>
      <c r="AQ39" s="62">
        <f>AP38*КоэффСохранения</f>
        <v/>
      </c>
      <c r="AR39" s="62">
        <f>AQ38*КоэффСохранения</f>
        <v/>
      </c>
      <c r="AS39" s="62">
        <f>AR38*КоэффСохранения</f>
        <v/>
      </c>
      <c r="AT39" s="62">
        <f>AS38*КоэффСохранения</f>
        <v/>
      </c>
      <c r="AU39" s="62">
        <f>AT38*КоэффСохранения</f>
        <v/>
      </c>
      <c r="AV39" s="62">
        <f>AU38*КоэффСохранения</f>
        <v/>
      </c>
      <c r="AW39" s="62">
        <f>AV38*КоэффСохранения</f>
        <v/>
      </c>
      <c r="AX39" s="62">
        <f>AW38*КоэффСохранения</f>
        <v/>
      </c>
      <c r="AY39" s="62">
        <f>AX38*КоэффСохранения</f>
        <v/>
      </c>
      <c r="AZ39" s="62">
        <f>AY38*КоэффСохранения</f>
        <v/>
      </c>
      <c r="BA39" s="62">
        <f>AZ38*КоэффСохранения</f>
        <v/>
      </c>
      <c r="BB39" s="62">
        <f>BA38*КоэффСохранения</f>
        <v/>
      </c>
      <c r="BC39" s="62">
        <f>BB38*КоэффСохранения</f>
        <v/>
      </c>
      <c r="BD39" s="62">
        <f>BC38*КоэффСохранения</f>
        <v/>
      </c>
      <c r="BE39" s="62">
        <f>BD38*КоэффСохранения</f>
        <v/>
      </c>
      <c r="BF39" s="62">
        <f>BE38*КоэффСохранения</f>
        <v/>
      </c>
      <c r="BG39" s="62">
        <f>BF38*КоэффСохранения</f>
        <v/>
      </c>
      <c r="BH39" s="62">
        <f>BG38*КоэффСохранения</f>
        <v/>
      </c>
      <c r="BI39" s="62">
        <f>BH38*КоэффСохранения</f>
        <v/>
      </c>
      <c r="BJ39" s="62">
        <f>BI38*КоэффСохранения</f>
        <v/>
      </c>
      <c r="BK39" s="62">
        <f>BJ38*КоэффСохранения</f>
        <v/>
      </c>
      <c r="BL39" s="62">
        <f>BK38*КоэффСохранения</f>
        <v/>
      </c>
      <c r="BM39" s="62">
        <f>BL38*КоэффСохранения</f>
        <v/>
      </c>
      <c r="BN39" s="62">
        <f>BM38*КоэффСохранения</f>
        <v/>
      </c>
      <c r="BO39" s="62">
        <f>BN38*КоэффСохранения</f>
        <v/>
      </c>
      <c r="BP39" s="62">
        <f>BO38*КоэффСохранения</f>
        <v/>
      </c>
      <c r="BQ39" s="62">
        <f>BP38*КоэффСохранения</f>
        <v/>
      </c>
      <c r="BR39" s="62">
        <f>BQ38*КоэффСохранения</f>
        <v/>
      </c>
      <c r="BS39" s="62">
        <f>BR38*КоэффСохранения</f>
        <v/>
      </c>
      <c r="BT39" s="62">
        <f>BS38*КоэффСохранения</f>
        <v/>
      </c>
      <c r="BU39" s="62">
        <f>BT38*КоэффСохранения</f>
        <v/>
      </c>
      <c r="BV39" s="62">
        <f>BU38*КоэффСохранения</f>
        <v/>
      </c>
      <c r="BW39" s="62">
        <f>BV38*КоэффСохранения</f>
        <v/>
      </c>
      <c r="BX39" s="62">
        <f>BW38*КоэффСохранения</f>
        <v/>
      </c>
      <c r="BY39" s="62">
        <f>BX38*КоэффСохранения</f>
        <v/>
      </c>
    </row>
    <row r="40" ht="15.75" customHeight="1" s="194">
      <c r="B40" s="56" t="inlineStr">
        <is>
          <t>20 мес.</t>
        </is>
      </c>
      <c r="C40" s="56" t="inlineStr">
        <is>
          <t>шт.</t>
        </is>
      </c>
      <c r="D40" s="57" t="inlineStr">
        <is>
          <t>В колонках лет — значение на конец года, в «Итого» — на конец пятого года. Это остаток, а не сумма.</t>
        </is>
      </c>
      <c r="E40" s="59">
        <f>W40</f>
        <v/>
      </c>
      <c r="F40" s="59">
        <f>AI40</f>
        <v/>
      </c>
      <c r="G40" s="59">
        <f>AU40</f>
        <v/>
      </c>
      <c r="H40" s="59">
        <f>BG40</f>
        <v/>
      </c>
      <c r="I40" s="59">
        <f>BS40</f>
        <v/>
      </c>
      <c r="J40" s="61">
        <f>BS40</f>
        <v/>
      </c>
      <c r="L40" s="62">
        <f>0</f>
        <v/>
      </c>
      <c r="M40" s="62">
        <f>L39*КоэффСохранения</f>
        <v/>
      </c>
      <c r="N40" s="62">
        <f>M39*КоэффСохранения</f>
        <v/>
      </c>
      <c r="O40" s="62">
        <f>N39*КоэффСохранения</f>
        <v/>
      </c>
      <c r="P40" s="62">
        <f>O39*КоэффСохранения</f>
        <v/>
      </c>
      <c r="Q40" s="62">
        <f>P39*КоэффСохранения</f>
        <v/>
      </c>
      <c r="R40" s="62">
        <f>Q39*КоэффСохранения</f>
        <v/>
      </c>
      <c r="S40" s="62">
        <f>R39*КоэффСохранения</f>
        <v/>
      </c>
      <c r="T40" s="62">
        <f>S39*КоэффСохранения</f>
        <v/>
      </c>
      <c r="U40" s="62">
        <f>T39*КоэффСохранения</f>
        <v/>
      </c>
      <c r="V40" s="62">
        <f>U39*КоэффСохранения</f>
        <v/>
      </c>
      <c r="W40" s="62">
        <f>V39*КоэффСохранения</f>
        <v/>
      </c>
      <c r="X40" s="62">
        <f>W39*КоэффСохранения</f>
        <v/>
      </c>
      <c r="Y40" s="62">
        <f>X39*КоэффСохранения</f>
        <v/>
      </c>
      <c r="Z40" s="62">
        <f>Y39*КоэффСохранения</f>
        <v/>
      </c>
      <c r="AA40" s="62">
        <f>Z39*КоэффСохранения</f>
        <v/>
      </c>
      <c r="AB40" s="62">
        <f>AA39*КоэффСохранения</f>
        <v/>
      </c>
      <c r="AC40" s="62">
        <f>AB39*КоэффСохранения</f>
        <v/>
      </c>
      <c r="AD40" s="62">
        <f>AC39*КоэффСохранения</f>
        <v/>
      </c>
      <c r="AE40" s="62">
        <f>AD39*КоэффСохранения</f>
        <v/>
      </c>
      <c r="AF40" s="62">
        <f>AE39*КоэффСохранения</f>
        <v/>
      </c>
      <c r="AG40" s="62">
        <f>AF39*КоэффСохранения</f>
        <v/>
      </c>
      <c r="AH40" s="62">
        <f>AG39*КоэффСохранения</f>
        <v/>
      </c>
      <c r="AI40" s="62">
        <f>AH39*КоэффСохранения</f>
        <v/>
      </c>
      <c r="AJ40" s="62">
        <f>AI39*КоэффСохранения</f>
        <v/>
      </c>
      <c r="AK40" s="62">
        <f>AJ39*КоэффСохранения</f>
        <v/>
      </c>
      <c r="AL40" s="62">
        <f>AK39*КоэффСохранения</f>
        <v/>
      </c>
      <c r="AM40" s="62">
        <f>AL39*КоэффСохранения</f>
        <v/>
      </c>
      <c r="AN40" s="62">
        <f>AM39*КоэффСохранения</f>
        <v/>
      </c>
      <c r="AO40" s="62">
        <f>AN39*КоэффСохранения</f>
        <v/>
      </c>
      <c r="AP40" s="62">
        <f>AO39*КоэффСохранения</f>
        <v/>
      </c>
      <c r="AQ40" s="62">
        <f>AP39*КоэффСохранения</f>
        <v/>
      </c>
      <c r="AR40" s="62">
        <f>AQ39*КоэффСохранения</f>
        <v/>
      </c>
      <c r="AS40" s="62">
        <f>AR39*КоэффСохранения</f>
        <v/>
      </c>
      <c r="AT40" s="62">
        <f>AS39*КоэффСохранения</f>
        <v/>
      </c>
      <c r="AU40" s="62">
        <f>AT39*КоэффСохранения</f>
        <v/>
      </c>
      <c r="AV40" s="62">
        <f>AU39*КоэффСохранения</f>
        <v/>
      </c>
      <c r="AW40" s="62">
        <f>AV39*КоэффСохранения</f>
        <v/>
      </c>
      <c r="AX40" s="62">
        <f>AW39*КоэффСохранения</f>
        <v/>
      </c>
      <c r="AY40" s="62">
        <f>AX39*КоэффСохранения</f>
        <v/>
      </c>
      <c r="AZ40" s="62">
        <f>AY39*КоэффСохранения</f>
        <v/>
      </c>
      <c r="BA40" s="62">
        <f>AZ39*КоэффСохранения</f>
        <v/>
      </c>
      <c r="BB40" s="62">
        <f>BA39*КоэффСохранения</f>
        <v/>
      </c>
      <c r="BC40" s="62">
        <f>BB39*КоэффСохранения</f>
        <v/>
      </c>
      <c r="BD40" s="62">
        <f>BC39*КоэффСохранения</f>
        <v/>
      </c>
      <c r="BE40" s="62">
        <f>BD39*КоэффСохранения</f>
        <v/>
      </c>
      <c r="BF40" s="62">
        <f>BE39*КоэффСохранения</f>
        <v/>
      </c>
      <c r="BG40" s="62">
        <f>BF39*КоэффСохранения</f>
        <v/>
      </c>
      <c r="BH40" s="62">
        <f>BG39*КоэффСохранения</f>
        <v/>
      </c>
      <c r="BI40" s="62">
        <f>BH39*КоэффСохранения</f>
        <v/>
      </c>
      <c r="BJ40" s="62">
        <f>BI39*КоэффСохранения</f>
        <v/>
      </c>
      <c r="BK40" s="62">
        <f>BJ39*КоэффСохранения</f>
        <v/>
      </c>
      <c r="BL40" s="62">
        <f>BK39*КоэффСохранения</f>
        <v/>
      </c>
      <c r="BM40" s="62">
        <f>BL39*КоэффСохранения</f>
        <v/>
      </c>
      <c r="BN40" s="62">
        <f>BM39*КоэффСохранения</f>
        <v/>
      </c>
      <c r="BO40" s="62">
        <f>BN39*КоэффСохранения</f>
        <v/>
      </c>
      <c r="BP40" s="62">
        <f>BO39*КоэффСохранения</f>
        <v/>
      </c>
      <c r="BQ40" s="62">
        <f>BP39*КоэффСохранения</f>
        <v/>
      </c>
      <c r="BR40" s="62">
        <f>BQ39*КоэффСохранения</f>
        <v/>
      </c>
      <c r="BS40" s="62">
        <f>BR39*КоэффСохранения</f>
        <v/>
      </c>
      <c r="BT40" s="62">
        <f>BS39*КоэффСохранения</f>
        <v/>
      </c>
      <c r="BU40" s="62">
        <f>BT39*КоэффСохранения</f>
        <v/>
      </c>
      <c r="BV40" s="62">
        <f>BU39*КоэффСохранения</f>
        <v/>
      </c>
      <c r="BW40" s="62">
        <f>BV39*КоэффСохранения</f>
        <v/>
      </c>
      <c r="BX40" s="62">
        <f>BW39*КоэффСохранения</f>
        <v/>
      </c>
      <c r="BY40" s="62">
        <f>BX39*КоэффСохранения</f>
        <v/>
      </c>
    </row>
    <row r="41" ht="15.75" customHeight="1" s="194">
      <c r="B41" s="56" t="inlineStr">
        <is>
          <t>21 мес.</t>
        </is>
      </c>
      <c r="C41" s="56" t="inlineStr">
        <is>
          <t>шт.</t>
        </is>
      </c>
      <c r="D41" s="57" t="inlineStr">
        <is>
          <t>В колонках лет — значение на конец года, в «Итого» — на конец пятого года. Это остаток, а не сумма.</t>
        </is>
      </c>
      <c r="E41" s="59">
        <f>W41</f>
        <v/>
      </c>
      <c r="F41" s="59">
        <f>AI41</f>
        <v/>
      </c>
      <c r="G41" s="59">
        <f>AU41</f>
        <v/>
      </c>
      <c r="H41" s="59">
        <f>BG41</f>
        <v/>
      </c>
      <c r="I41" s="59">
        <f>BS41</f>
        <v/>
      </c>
      <c r="J41" s="61">
        <f>BS41</f>
        <v/>
      </c>
      <c r="L41" s="62">
        <f>0</f>
        <v/>
      </c>
      <c r="M41" s="62">
        <f>L40*КоэффСохранения</f>
        <v/>
      </c>
      <c r="N41" s="62">
        <f>M40*КоэффСохранения</f>
        <v/>
      </c>
      <c r="O41" s="62">
        <f>N40*КоэффСохранения</f>
        <v/>
      </c>
      <c r="P41" s="62">
        <f>O40*КоэффСохранения</f>
        <v/>
      </c>
      <c r="Q41" s="62">
        <f>P40*КоэффСохранения</f>
        <v/>
      </c>
      <c r="R41" s="62">
        <f>Q40*КоэффСохранения</f>
        <v/>
      </c>
      <c r="S41" s="62">
        <f>R40*КоэффСохранения</f>
        <v/>
      </c>
      <c r="T41" s="62">
        <f>S40*КоэффСохранения</f>
        <v/>
      </c>
      <c r="U41" s="62">
        <f>T40*КоэффСохранения</f>
        <v/>
      </c>
      <c r="V41" s="62">
        <f>U40*КоэффСохранения</f>
        <v/>
      </c>
      <c r="W41" s="62">
        <f>V40*КоэффСохранения</f>
        <v/>
      </c>
      <c r="X41" s="62">
        <f>W40*КоэффСохранения</f>
        <v/>
      </c>
      <c r="Y41" s="62">
        <f>X40*КоэффСохранения</f>
        <v/>
      </c>
      <c r="Z41" s="62">
        <f>Y40*КоэффСохранения</f>
        <v/>
      </c>
      <c r="AA41" s="62">
        <f>Z40*КоэффСохранения</f>
        <v/>
      </c>
      <c r="AB41" s="62">
        <f>AA40*КоэффСохранения</f>
        <v/>
      </c>
      <c r="AC41" s="62">
        <f>AB40*КоэффСохранения</f>
        <v/>
      </c>
      <c r="AD41" s="62">
        <f>AC40*КоэффСохранения</f>
        <v/>
      </c>
      <c r="AE41" s="62">
        <f>AD40*КоэффСохранения</f>
        <v/>
      </c>
      <c r="AF41" s="62">
        <f>AE40*КоэффСохранения</f>
        <v/>
      </c>
      <c r="AG41" s="62">
        <f>AF40*КоэффСохранения</f>
        <v/>
      </c>
      <c r="AH41" s="62">
        <f>AG40*КоэффСохранения</f>
        <v/>
      </c>
      <c r="AI41" s="62">
        <f>AH40*КоэффСохранения</f>
        <v/>
      </c>
      <c r="AJ41" s="62">
        <f>AI40*КоэффСохранения</f>
        <v/>
      </c>
      <c r="AK41" s="62">
        <f>AJ40*КоэффСохранения</f>
        <v/>
      </c>
      <c r="AL41" s="62">
        <f>AK40*КоэффСохранения</f>
        <v/>
      </c>
      <c r="AM41" s="62">
        <f>AL40*КоэффСохранения</f>
        <v/>
      </c>
      <c r="AN41" s="62">
        <f>AM40*КоэффСохранения</f>
        <v/>
      </c>
      <c r="AO41" s="62">
        <f>AN40*КоэффСохранения</f>
        <v/>
      </c>
      <c r="AP41" s="62">
        <f>AO40*КоэффСохранения</f>
        <v/>
      </c>
      <c r="AQ41" s="62">
        <f>AP40*КоэффСохранения</f>
        <v/>
      </c>
      <c r="AR41" s="62">
        <f>AQ40*КоэффСохранения</f>
        <v/>
      </c>
      <c r="AS41" s="62">
        <f>AR40*КоэффСохранения</f>
        <v/>
      </c>
      <c r="AT41" s="62">
        <f>AS40*КоэффСохранения</f>
        <v/>
      </c>
      <c r="AU41" s="62">
        <f>AT40*КоэффСохранения</f>
        <v/>
      </c>
      <c r="AV41" s="62">
        <f>AU40*КоэффСохранения</f>
        <v/>
      </c>
      <c r="AW41" s="62">
        <f>AV40*КоэффСохранения</f>
        <v/>
      </c>
      <c r="AX41" s="62">
        <f>AW40*КоэффСохранения</f>
        <v/>
      </c>
      <c r="AY41" s="62">
        <f>AX40*КоэффСохранения</f>
        <v/>
      </c>
      <c r="AZ41" s="62">
        <f>AY40*КоэффСохранения</f>
        <v/>
      </c>
      <c r="BA41" s="62">
        <f>AZ40*КоэффСохранения</f>
        <v/>
      </c>
      <c r="BB41" s="62">
        <f>BA40*КоэффСохранения</f>
        <v/>
      </c>
      <c r="BC41" s="62">
        <f>BB40*КоэффСохранения</f>
        <v/>
      </c>
      <c r="BD41" s="62">
        <f>BC40*КоэффСохранения</f>
        <v/>
      </c>
      <c r="BE41" s="62">
        <f>BD40*КоэффСохранения</f>
        <v/>
      </c>
      <c r="BF41" s="62">
        <f>BE40*КоэффСохранения</f>
        <v/>
      </c>
      <c r="BG41" s="62">
        <f>BF40*КоэффСохранения</f>
        <v/>
      </c>
      <c r="BH41" s="62">
        <f>BG40*КоэффСохранения</f>
        <v/>
      </c>
      <c r="BI41" s="62">
        <f>BH40*КоэффСохранения</f>
        <v/>
      </c>
      <c r="BJ41" s="62">
        <f>BI40*КоэффСохранения</f>
        <v/>
      </c>
      <c r="BK41" s="62">
        <f>BJ40*КоэффСохранения</f>
        <v/>
      </c>
      <c r="BL41" s="62">
        <f>BK40*КоэффСохранения</f>
        <v/>
      </c>
      <c r="BM41" s="62">
        <f>BL40*КоэффСохранения</f>
        <v/>
      </c>
      <c r="BN41" s="62">
        <f>BM40*КоэффСохранения</f>
        <v/>
      </c>
      <c r="BO41" s="62">
        <f>BN40*КоэффСохранения</f>
        <v/>
      </c>
      <c r="BP41" s="62">
        <f>BO40*КоэффСохранения</f>
        <v/>
      </c>
      <c r="BQ41" s="62">
        <f>BP40*КоэффСохранения</f>
        <v/>
      </c>
      <c r="BR41" s="62">
        <f>BQ40*КоэффСохранения</f>
        <v/>
      </c>
      <c r="BS41" s="62">
        <f>BR40*КоэффСохранения</f>
        <v/>
      </c>
      <c r="BT41" s="62">
        <f>BS40*КоэффСохранения</f>
        <v/>
      </c>
      <c r="BU41" s="62">
        <f>BT40*КоэффСохранения</f>
        <v/>
      </c>
      <c r="BV41" s="62">
        <f>BU40*КоэффСохранения</f>
        <v/>
      </c>
      <c r="BW41" s="62">
        <f>BV40*КоэффСохранения</f>
        <v/>
      </c>
      <c r="BX41" s="62">
        <f>BW40*КоэффСохранения</f>
        <v/>
      </c>
      <c r="BY41" s="62">
        <f>BX40*КоэффСохранения</f>
        <v/>
      </c>
    </row>
    <row r="42" ht="15.75" customHeight="1" s="194">
      <c r="B42" s="56" t="inlineStr">
        <is>
          <t>22 мес.</t>
        </is>
      </c>
      <c r="C42" s="56" t="inlineStr">
        <is>
          <t>шт.</t>
        </is>
      </c>
      <c r="D42" s="57" t="inlineStr">
        <is>
          <t>В колонках лет — значение на конец года, в «Итого» — на конец пятого года. Это остаток, а не сумма.</t>
        </is>
      </c>
      <c r="E42" s="59">
        <f>W42</f>
        <v/>
      </c>
      <c r="F42" s="59">
        <f>AI42</f>
        <v/>
      </c>
      <c r="G42" s="59">
        <f>AU42</f>
        <v/>
      </c>
      <c r="H42" s="59">
        <f>BG42</f>
        <v/>
      </c>
      <c r="I42" s="59">
        <f>BS42</f>
        <v/>
      </c>
      <c r="J42" s="61">
        <f>BS42</f>
        <v/>
      </c>
      <c r="L42" s="62">
        <f>0</f>
        <v/>
      </c>
      <c r="M42" s="62">
        <f>L41*КоэффСохранения</f>
        <v/>
      </c>
      <c r="N42" s="62">
        <f>M41*КоэффСохранения</f>
        <v/>
      </c>
      <c r="O42" s="62">
        <f>N41*КоэффСохранения</f>
        <v/>
      </c>
      <c r="P42" s="62">
        <f>O41*КоэффСохранения</f>
        <v/>
      </c>
      <c r="Q42" s="62">
        <f>P41*КоэффСохранения</f>
        <v/>
      </c>
      <c r="R42" s="62">
        <f>Q41*КоэффСохранения</f>
        <v/>
      </c>
      <c r="S42" s="62">
        <f>R41*КоэффСохранения</f>
        <v/>
      </c>
      <c r="T42" s="62">
        <f>S41*КоэффСохранения</f>
        <v/>
      </c>
      <c r="U42" s="62">
        <f>T41*КоэффСохранения</f>
        <v/>
      </c>
      <c r="V42" s="62">
        <f>U41*КоэффСохранения</f>
        <v/>
      </c>
      <c r="W42" s="62">
        <f>V41*КоэффСохранения</f>
        <v/>
      </c>
      <c r="X42" s="62">
        <f>W41*КоэффСохранения</f>
        <v/>
      </c>
      <c r="Y42" s="62">
        <f>X41*КоэффСохранения</f>
        <v/>
      </c>
      <c r="Z42" s="62">
        <f>Y41*КоэффСохранения</f>
        <v/>
      </c>
      <c r="AA42" s="62">
        <f>Z41*КоэффСохранения</f>
        <v/>
      </c>
      <c r="AB42" s="62">
        <f>AA41*КоэффСохранения</f>
        <v/>
      </c>
      <c r="AC42" s="62">
        <f>AB41*КоэффСохранения</f>
        <v/>
      </c>
      <c r="AD42" s="62">
        <f>AC41*КоэффСохранения</f>
        <v/>
      </c>
      <c r="AE42" s="62">
        <f>AD41*КоэффСохранения</f>
        <v/>
      </c>
      <c r="AF42" s="62">
        <f>AE41*КоэффСохранения</f>
        <v/>
      </c>
      <c r="AG42" s="62">
        <f>AF41*КоэффСохранения</f>
        <v/>
      </c>
      <c r="AH42" s="62">
        <f>AG41*КоэффСохранения</f>
        <v/>
      </c>
      <c r="AI42" s="62">
        <f>AH41*КоэффСохранения</f>
        <v/>
      </c>
      <c r="AJ42" s="62">
        <f>AI41*КоэффСохранения</f>
        <v/>
      </c>
      <c r="AK42" s="62">
        <f>AJ41*КоэффСохранения</f>
        <v/>
      </c>
      <c r="AL42" s="62">
        <f>AK41*КоэффСохранения</f>
        <v/>
      </c>
      <c r="AM42" s="62">
        <f>AL41*КоэффСохранения</f>
        <v/>
      </c>
      <c r="AN42" s="62">
        <f>AM41*КоэффСохранения</f>
        <v/>
      </c>
      <c r="AO42" s="62">
        <f>AN41*КоэффСохранения</f>
        <v/>
      </c>
      <c r="AP42" s="62">
        <f>AO41*КоэффСохранения</f>
        <v/>
      </c>
      <c r="AQ42" s="62">
        <f>AP41*КоэффСохранения</f>
        <v/>
      </c>
      <c r="AR42" s="62">
        <f>AQ41*КоэффСохранения</f>
        <v/>
      </c>
      <c r="AS42" s="62">
        <f>AR41*КоэффСохранения</f>
        <v/>
      </c>
      <c r="AT42" s="62">
        <f>AS41*КоэффСохранения</f>
        <v/>
      </c>
      <c r="AU42" s="62">
        <f>AT41*КоэффСохранения</f>
        <v/>
      </c>
      <c r="AV42" s="62">
        <f>AU41*КоэффСохранения</f>
        <v/>
      </c>
      <c r="AW42" s="62">
        <f>AV41*КоэффСохранения</f>
        <v/>
      </c>
      <c r="AX42" s="62">
        <f>AW41*КоэффСохранения</f>
        <v/>
      </c>
      <c r="AY42" s="62">
        <f>AX41*КоэффСохранения</f>
        <v/>
      </c>
      <c r="AZ42" s="62">
        <f>AY41*КоэффСохранения</f>
        <v/>
      </c>
      <c r="BA42" s="62">
        <f>AZ41*КоэффСохранения</f>
        <v/>
      </c>
      <c r="BB42" s="62">
        <f>BA41*КоэффСохранения</f>
        <v/>
      </c>
      <c r="BC42" s="62">
        <f>BB41*КоэффСохранения</f>
        <v/>
      </c>
      <c r="BD42" s="62">
        <f>BC41*КоэффСохранения</f>
        <v/>
      </c>
      <c r="BE42" s="62">
        <f>BD41*КоэффСохранения</f>
        <v/>
      </c>
      <c r="BF42" s="62">
        <f>BE41*КоэффСохранения</f>
        <v/>
      </c>
      <c r="BG42" s="62">
        <f>BF41*КоэффСохранения</f>
        <v/>
      </c>
      <c r="BH42" s="62">
        <f>BG41*КоэффСохранения</f>
        <v/>
      </c>
      <c r="BI42" s="62">
        <f>BH41*КоэффСохранения</f>
        <v/>
      </c>
      <c r="BJ42" s="62">
        <f>BI41*КоэффСохранения</f>
        <v/>
      </c>
      <c r="BK42" s="62">
        <f>BJ41*КоэффСохранения</f>
        <v/>
      </c>
      <c r="BL42" s="62">
        <f>BK41*КоэффСохранения</f>
        <v/>
      </c>
      <c r="BM42" s="62">
        <f>BL41*КоэффСохранения</f>
        <v/>
      </c>
      <c r="BN42" s="62">
        <f>BM41*КоэффСохранения</f>
        <v/>
      </c>
      <c r="BO42" s="62">
        <f>BN41*КоэффСохранения</f>
        <v/>
      </c>
      <c r="BP42" s="62">
        <f>BO41*КоэффСохранения</f>
        <v/>
      </c>
      <c r="BQ42" s="62">
        <f>BP41*КоэффСохранения</f>
        <v/>
      </c>
      <c r="BR42" s="62">
        <f>BQ41*КоэффСохранения</f>
        <v/>
      </c>
      <c r="BS42" s="62">
        <f>BR41*КоэффСохранения</f>
        <v/>
      </c>
      <c r="BT42" s="62">
        <f>BS41*КоэффСохранения</f>
        <v/>
      </c>
      <c r="BU42" s="62">
        <f>BT41*КоэффСохранения</f>
        <v/>
      </c>
      <c r="BV42" s="62">
        <f>BU41*КоэффСохранения</f>
        <v/>
      </c>
      <c r="BW42" s="62">
        <f>BV41*КоэффСохранения</f>
        <v/>
      </c>
      <c r="BX42" s="62">
        <f>BW41*КоэффСохранения</f>
        <v/>
      </c>
      <c r="BY42" s="62">
        <f>BX41*КоэффСохранения</f>
        <v/>
      </c>
    </row>
    <row r="43" ht="15.75" customHeight="1" s="194">
      <c r="B43" s="56" t="inlineStr">
        <is>
          <t>23 мес.</t>
        </is>
      </c>
      <c r="C43" s="56" t="inlineStr">
        <is>
          <t>шт.</t>
        </is>
      </c>
      <c r="D43" s="57" t="inlineStr">
        <is>
          <t>В колонках лет — значение на конец года, в «Итого» — на конец пятого года. Это остаток, а не сумма.</t>
        </is>
      </c>
      <c r="E43" s="59">
        <f>W43</f>
        <v/>
      </c>
      <c r="F43" s="59">
        <f>AI43</f>
        <v/>
      </c>
      <c r="G43" s="59">
        <f>AU43</f>
        <v/>
      </c>
      <c r="H43" s="59">
        <f>BG43</f>
        <v/>
      </c>
      <c r="I43" s="59">
        <f>BS43</f>
        <v/>
      </c>
      <c r="J43" s="61">
        <f>BS43</f>
        <v/>
      </c>
      <c r="L43" s="62">
        <f>0</f>
        <v/>
      </c>
      <c r="M43" s="62">
        <f>L42*КоэффСохранения</f>
        <v/>
      </c>
      <c r="N43" s="62">
        <f>M42*КоэффСохранения</f>
        <v/>
      </c>
      <c r="O43" s="62">
        <f>N42*КоэффСохранения</f>
        <v/>
      </c>
      <c r="P43" s="62">
        <f>O42*КоэффСохранения</f>
        <v/>
      </c>
      <c r="Q43" s="62">
        <f>P42*КоэффСохранения</f>
        <v/>
      </c>
      <c r="R43" s="62">
        <f>Q42*КоэффСохранения</f>
        <v/>
      </c>
      <c r="S43" s="62">
        <f>R42*КоэффСохранения</f>
        <v/>
      </c>
      <c r="T43" s="62">
        <f>S42*КоэффСохранения</f>
        <v/>
      </c>
      <c r="U43" s="62">
        <f>T42*КоэффСохранения</f>
        <v/>
      </c>
      <c r="V43" s="62">
        <f>U42*КоэффСохранения</f>
        <v/>
      </c>
      <c r="W43" s="62">
        <f>V42*КоэффСохранения</f>
        <v/>
      </c>
      <c r="X43" s="62">
        <f>W42*КоэффСохранения</f>
        <v/>
      </c>
      <c r="Y43" s="62">
        <f>X42*КоэффСохранения</f>
        <v/>
      </c>
      <c r="Z43" s="62">
        <f>Y42*КоэффСохранения</f>
        <v/>
      </c>
      <c r="AA43" s="62">
        <f>Z42*КоэффСохранения</f>
        <v/>
      </c>
      <c r="AB43" s="62">
        <f>AA42*КоэффСохранения</f>
        <v/>
      </c>
      <c r="AC43" s="62">
        <f>AB42*КоэффСохранения</f>
        <v/>
      </c>
      <c r="AD43" s="62">
        <f>AC42*КоэффСохранения</f>
        <v/>
      </c>
      <c r="AE43" s="62">
        <f>AD42*КоэффСохранения</f>
        <v/>
      </c>
      <c r="AF43" s="62">
        <f>AE42*КоэффСохранения</f>
        <v/>
      </c>
      <c r="AG43" s="62">
        <f>AF42*КоэффСохранения</f>
        <v/>
      </c>
      <c r="AH43" s="62">
        <f>AG42*КоэффСохранения</f>
        <v/>
      </c>
      <c r="AI43" s="62">
        <f>AH42*КоэффСохранения</f>
        <v/>
      </c>
      <c r="AJ43" s="62">
        <f>AI42*КоэффСохранения</f>
        <v/>
      </c>
      <c r="AK43" s="62">
        <f>AJ42*КоэффСохранения</f>
        <v/>
      </c>
      <c r="AL43" s="62">
        <f>AK42*КоэффСохранения</f>
        <v/>
      </c>
      <c r="AM43" s="62">
        <f>AL42*КоэффСохранения</f>
        <v/>
      </c>
      <c r="AN43" s="62">
        <f>AM42*КоэффСохранения</f>
        <v/>
      </c>
      <c r="AO43" s="62">
        <f>AN42*КоэффСохранения</f>
        <v/>
      </c>
      <c r="AP43" s="62">
        <f>AO42*КоэффСохранения</f>
        <v/>
      </c>
      <c r="AQ43" s="62">
        <f>AP42*КоэффСохранения</f>
        <v/>
      </c>
      <c r="AR43" s="62">
        <f>AQ42*КоэффСохранения</f>
        <v/>
      </c>
      <c r="AS43" s="62">
        <f>AR42*КоэффСохранения</f>
        <v/>
      </c>
      <c r="AT43" s="62">
        <f>AS42*КоэффСохранения</f>
        <v/>
      </c>
      <c r="AU43" s="62">
        <f>AT42*КоэффСохранения</f>
        <v/>
      </c>
      <c r="AV43" s="62">
        <f>AU42*КоэффСохранения</f>
        <v/>
      </c>
      <c r="AW43" s="62">
        <f>AV42*КоэффСохранения</f>
        <v/>
      </c>
      <c r="AX43" s="62">
        <f>AW42*КоэффСохранения</f>
        <v/>
      </c>
      <c r="AY43" s="62">
        <f>AX42*КоэффСохранения</f>
        <v/>
      </c>
      <c r="AZ43" s="62">
        <f>AY42*КоэффСохранения</f>
        <v/>
      </c>
      <c r="BA43" s="62">
        <f>AZ42*КоэффСохранения</f>
        <v/>
      </c>
      <c r="BB43" s="62">
        <f>BA42*КоэффСохранения</f>
        <v/>
      </c>
      <c r="BC43" s="62">
        <f>BB42*КоэффСохранения</f>
        <v/>
      </c>
      <c r="BD43" s="62">
        <f>BC42*КоэффСохранения</f>
        <v/>
      </c>
      <c r="BE43" s="62">
        <f>BD42*КоэффСохранения</f>
        <v/>
      </c>
      <c r="BF43" s="62">
        <f>BE42*КоэффСохранения</f>
        <v/>
      </c>
      <c r="BG43" s="62">
        <f>BF42*КоэффСохранения</f>
        <v/>
      </c>
      <c r="BH43" s="62">
        <f>BG42*КоэффСохранения</f>
        <v/>
      </c>
      <c r="BI43" s="62">
        <f>BH42*КоэффСохранения</f>
        <v/>
      </c>
      <c r="BJ43" s="62">
        <f>BI42*КоэффСохранения</f>
        <v/>
      </c>
      <c r="BK43" s="62">
        <f>BJ42*КоэффСохранения</f>
        <v/>
      </c>
      <c r="BL43" s="62">
        <f>BK42*КоэффСохранения</f>
        <v/>
      </c>
      <c r="BM43" s="62">
        <f>BL42*КоэффСохранения</f>
        <v/>
      </c>
      <c r="BN43" s="62">
        <f>BM42*КоэффСохранения</f>
        <v/>
      </c>
      <c r="BO43" s="62">
        <f>BN42*КоэффСохранения</f>
        <v/>
      </c>
      <c r="BP43" s="62">
        <f>BO42*КоэффСохранения</f>
        <v/>
      </c>
      <c r="BQ43" s="62">
        <f>BP42*КоэффСохранения</f>
        <v/>
      </c>
      <c r="BR43" s="62">
        <f>BQ42*КоэффСохранения</f>
        <v/>
      </c>
      <c r="BS43" s="62">
        <f>BR42*КоэффСохранения</f>
        <v/>
      </c>
      <c r="BT43" s="62">
        <f>BS42*КоэффСохранения</f>
        <v/>
      </c>
      <c r="BU43" s="62">
        <f>BT42*КоэффСохранения</f>
        <v/>
      </c>
      <c r="BV43" s="62">
        <f>BU42*КоэффСохранения</f>
        <v/>
      </c>
      <c r="BW43" s="62">
        <f>BV42*КоэффСохранения</f>
        <v/>
      </c>
      <c r="BX43" s="62">
        <f>BW42*КоэффСохранения</f>
        <v/>
      </c>
      <c r="BY43" s="62">
        <f>BX42*КоэффСохранения</f>
        <v/>
      </c>
    </row>
    <row r="44" ht="15.75" customHeight="1" s="194">
      <c r="B44" s="56" t="inlineStr">
        <is>
          <t>24 мес.</t>
        </is>
      </c>
      <c r="C44" s="56" t="inlineStr">
        <is>
          <t>шт.</t>
        </is>
      </c>
      <c r="D44" s="57" t="inlineStr">
        <is>
          <t>В колонках лет — значение на конец года, в «Итого» — на конец пятого года. Это остаток, а не сумма.</t>
        </is>
      </c>
      <c r="E44" s="59">
        <f>W44</f>
        <v/>
      </c>
      <c r="F44" s="59">
        <f>AI44</f>
        <v/>
      </c>
      <c r="G44" s="59">
        <f>AU44</f>
        <v/>
      </c>
      <c r="H44" s="59">
        <f>BG44</f>
        <v/>
      </c>
      <c r="I44" s="59">
        <f>BS44</f>
        <v/>
      </c>
      <c r="J44" s="61">
        <f>BS44</f>
        <v/>
      </c>
      <c r="L44" s="62">
        <f>0</f>
        <v/>
      </c>
      <c r="M44" s="62">
        <f>L43*КоэффСохранения</f>
        <v/>
      </c>
      <c r="N44" s="62">
        <f>M43*КоэффСохранения</f>
        <v/>
      </c>
      <c r="O44" s="62">
        <f>N43*КоэффСохранения</f>
        <v/>
      </c>
      <c r="P44" s="62">
        <f>O43*КоэффСохранения</f>
        <v/>
      </c>
      <c r="Q44" s="62">
        <f>P43*КоэффСохранения</f>
        <v/>
      </c>
      <c r="R44" s="62">
        <f>Q43*КоэффСохранения</f>
        <v/>
      </c>
      <c r="S44" s="62">
        <f>R43*КоэффСохранения</f>
        <v/>
      </c>
      <c r="T44" s="62">
        <f>S43*КоэффСохранения</f>
        <v/>
      </c>
      <c r="U44" s="62">
        <f>T43*КоэффСохранения</f>
        <v/>
      </c>
      <c r="V44" s="62">
        <f>U43*КоэффСохранения</f>
        <v/>
      </c>
      <c r="W44" s="62">
        <f>V43*КоэффСохранения</f>
        <v/>
      </c>
      <c r="X44" s="62">
        <f>W43*КоэффСохранения</f>
        <v/>
      </c>
      <c r="Y44" s="62">
        <f>X43*КоэффСохранения</f>
        <v/>
      </c>
      <c r="Z44" s="62">
        <f>Y43*КоэффСохранения</f>
        <v/>
      </c>
      <c r="AA44" s="62">
        <f>Z43*КоэффСохранения</f>
        <v/>
      </c>
      <c r="AB44" s="62">
        <f>AA43*КоэффСохранения</f>
        <v/>
      </c>
      <c r="AC44" s="62">
        <f>AB43*КоэффСохранения</f>
        <v/>
      </c>
      <c r="AD44" s="62">
        <f>AC43*КоэффСохранения</f>
        <v/>
      </c>
      <c r="AE44" s="62">
        <f>AD43*КоэффСохранения</f>
        <v/>
      </c>
      <c r="AF44" s="62">
        <f>AE43*КоэффСохранения</f>
        <v/>
      </c>
      <c r="AG44" s="62">
        <f>AF43*КоэффСохранения</f>
        <v/>
      </c>
      <c r="AH44" s="62">
        <f>AG43*КоэффСохранения</f>
        <v/>
      </c>
      <c r="AI44" s="62">
        <f>AH43*КоэффСохранения</f>
        <v/>
      </c>
      <c r="AJ44" s="62">
        <f>AI43*КоэффСохранения</f>
        <v/>
      </c>
      <c r="AK44" s="62">
        <f>AJ43*КоэффСохранения</f>
        <v/>
      </c>
      <c r="AL44" s="62">
        <f>AK43*КоэффСохранения</f>
        <v/>
      </c>
      <c r="AM44" s="62">
        <f>AL43*КоэффСохранения</f>
        <v/>
      </c>
      <c r="AN44" s="62">
        <f>AM43*КоэффСохранения</f>
        <v/>
      </c>
      <c r="AO44" s="62">
        <f>AN43*КоэффСохранения</f>
        <v/>
      </c>
      <c r="AP44" s="62">
        <f>AO43*КоэффСохранения</f>
        <v/>
      </c>
      <c r="AQ44" s="62">
        <f>AP43*КоэффСохранения</f>
        <v/>
      </c>
      <c r="AR44" s="62">
        <f>AQ43*КоэффСохранения</f>
        <v/>
      </c>
      <c r="AS44" s="62">
        <f>AR43*КоэффСохранения</f>
        <v/>
      </c>
      <c r="AT44" s="62">
        <f>AS43*КоэффСохранения</f>
        <v/>
      </c>
      <c r="AU44" s="62">
        <f>AT43*КоэффСохранения</f>
        <v/>
      </c>
      <c r="AV44" s="62">
        <f>AU43*КоэффСохранения</f>
        <v/>
      </c>
      <c r="AW44" s="62">
        <f>AV43*КоэффСохранения</f>
        <v/>
      </c>
      <c r="AX44" s="62">
        <f>AW43*КоэффСохранения</f>
        <v/>
      </c>
      <c r="AY44" s="62">
        <f>AX43*КоэффСохранения</f>
        <v/>
      </c>
      <c r="AZ44" s="62">
        <f>AY43*КоэффСохранения</f>
        <v/>
      </c>
      <c r="BA44" s="62">
        <f>AZ43*КоэффСохранения</f>
        <v/>
      </c>
      <c r="BB44" s="62">
        <f>BA43*КоэффСохранения</f>
        <v/>
      </c>
      <c r="BC44" s="62">
        <f>BB43*КоэффСохранения</f>
        <v/>
      </c>
      <c r="BD44" s="62">
        <f>BC43*КоэффСохранения</f>
        <v/>
      </c>
      <c r="BE44" s="62">
        <f>BD43*КоэффСохранения</f>
        <v/>
      </c>
      <c r="BF44" s="62">
        <f>BE43*КоэффСохранения</f>
        <v/>
      </c>
      <c r="BG44" s="62">
        <f>BF43*КоэффСохранения</f>
        <v/>
      </c>
      <c r="BH44" s="62">
        <f>BG43*КоэффСохранения</f>
        <v/>
      </c>
      <c r="BI44" s="62">
        <f>BH43*КоэффСохранения</f>
        <v/>
      </c>
      <c r="BJ44" s="62">
        <f>BI43*КоэффСохранения</f>
        <v/>
      </c>
      <c r="BK44" s="62">
        <f>BJ43*КоэффСохранения</f>
        <v/>
      </c>
      <c r="BL44" s="62">
        <f>BK43*КоэффСохранения</f>
        <v/>
      </c>
      <c r="BM44" s="62">
        <f>BL43*КоэффСохранения</f>
        <v/>
      </c>
      <c r="BN44" s="62">
        <f>BM43*КоэффСохранения</f>
        <v/>
      </c>
      <c r="BO44" s="62">
        <f>BN43*КоэффСохранения</f>
        <v/>
      </c>
      <c r="BP44" s="62">
        <f>BO43*КоэффСохранения</f>
        <v/>
      </c>
      <c r="BQ44" s="62">
        <f>BP43*КоэффСохранения</f>
        <v/>
      </c>
      <c r="BR44" s="62">
        <f>BQ43*КоэффСохранения</f>
        <v/>
      </c>
      <c r="BS44" s="62">
        <f>BR43*КоэффСохранения</f>
        <v/>
      </c>
      <c r="BT44" s="62">
        <f>BS43*КоэффСохранения</f>
        <v/>
      </c>
      <c r="BU44" s="62">
        <f>BT43*КоэффСохранения</f>
        <v/>
      </c>
      <c r="BV44" s="62">
        <f>BU43*КоэффСохранения</f>
        <v/>
      </c>
      <c r="BW44" s="62">
        <f>BV43*КоэффСохранения</f>
        <v/>
      </c>
      <c r="BX44" s="62">
        <f>BW43*КоэффСохранения</f>
        <v/>
      </c>
      <c r="BY44" s="62">
        <f>BX43*КоэффСохранения</f>
        <v/>
      </c>
    </row>
    <row r="45" ht="15.75" customHeight="1" s="194">
      <c r="B45" s="56" t="inlineStr">
        <is>
          <t>25+ мес.</t>
        </is>
      </c>
      <c r="C45" s="56" t="inlineStr">
        <is>
          <t>шт.</t>
        </is>
      </c>
      <c r="D45" s="57" t="inlineStr">
        <is>
          <t>В колонках лет — значение на конец года, в «Итого» — на конец пятого года. Это остаток, а не сумма.</t>
        </is>
      </c>
      <c r="E45" s="59">
        <f>W45</f>
        <v/>
      </c>
      <c r="F45" s="59">
        <f>AI45</f>
        <v/>
      </c>
      <c r="G45" s="59">
        <f>AU45</f>
        <v/>
      </c>
      <c r="H45" s="59">
        <f>BG45</f>
        <v/>
      </c>
      <c r="I45" s="59">
        <f>BS45</f>
        <v/>
      </c>
      <c r="J45" s="61">
        <f>BS45</f>
        <v/>
      </c>
      <c r="L45" s="62">
        <f>0</f>
        <v/>
      </c>
      <c r="M45" s="62">
        <f>(L44+L45)*КоэффСохранения</f>
        <v/>
      </c>
      <c r="N45" s="62">
        <f>(M44+M45)*КоэффСохранения</f>
        <v/>
      </c>
      <c r="O45" s="62">
        <f>(N44+N45)*КоэффСохранения</f>
        <v/>
      </c>
      <c r="P45" s="62">
        <f>(O44+O45)*КоэффСохранения</f>
        <v/>
      </c>
      <c r="Q45" s="62">
        <f>(P44+P45)*КоэффСохранения</f>
        <v/>
      </c>
      <c r="R45" s="62">
        <f>(Q44+Q45)*КоэффСохранения</f>
        <v/>
      </c>
      <c r="S45" s="62">
        <f>(R44+R45)*КоэффСохранения</f>
        <v/>
      </c>
      <c r="T45" s="62">
        <f>(S44+S45)*КоэффСохранения</f>
        <v/>
      </c>
      <c r="U45" s="62">
        <f>(T44+T45)*КоэффСохранения</f>
        <v/>
      </c>
      <c r="V45" s="62">
        <f>(U44+U45)*КоэффСохранения</f>
        <v/>
      </c>
      <c r="W45" s="62">
        <f>(V44+V45)*КоэффСохранения</f>
        <v/>
      </c>
      <c r="X45" s="62">
        <f>(W44+W45)*КоэффСохранения</f>
        <v/>
      </c>
      <c r="Y45" s="62">
        <f>(X44+X45)*КоэффСохранения</f>
        <v/>
      </c>
      <c r="Z45" s="62">
        <f>(Y44+Y45)*КоэффСохранения</f>
        <v/>
      </c>
      <c r="AA45" s="62">
        <f>(Z44+Z45)*КоэффСохранения</f>
        <v/>
      </c>
      <c r="AB45" s="62">
        <f>(AA44+AA45)*КоэффСохранения</f>
        <v/>
      </c>
      <c r="AC45" s="62">
        <f>(AB44+AB45)*КоэффСохранения</f>
        <v/>
      </c>
      <c r="AD45" s="62">
        <f>(AC44+AC45)*КоэффСохранения</f>
        <v/>
      </c>
      <c r="AE45" s="62">
        <f>(AD44+AD45)*КоэффСохранения</f>
        <v/>
      </c>
      <c r="AF45" s="62">
        <f>(AE44+AE45)*КоэффСохранения</f>
        <v/>
      </c>
      <c r="AG45" s="62">
        <f>(AF44+AF45)*КоэффСохранения</f>
        <v/>
      </c>
      <c r="AH45" s="62">
        <f>(AG44+AG45)*КоэффСохранения</f>
        <v/>
      </c>
      <c r="AI45" s="62">
        <f>(AH44+AH45)*КоэффСохранения</f>
        <v/>
      </c>
      <c r="AJ45" s="62">
        <f>(AI44+AI45)*КоэффСохранения</f>
        <v/>
      </c>
      <c r="AK45" s="62">
        <f>(AJ44+AJ45)*КоэффСохранения</f>
        <v/>
      </c>
      <c r="AL45" s="62">
        <f>(AK44+AK45)*КоэффСохранения</f>
        <v/>
      </c>
      <c r="AM45" s="62">
        <f>(AL44+AL45)*КоэффСохранения</f>
        <v/>
      </c>
      <c r="AN45" s="62">
        <f>(AM44+AM45)*КоэффСохранения</f>
        <v/>
      </c>
      <c r="AO45" s="62">
        <f>(AN44+AN45)*КоэффСохранения</f>
        <v/>
      </c>
      <c r="AP45" s="62">
        <f>(AO44+AO45)*КоэффСохранения</f>
        <v/>
      </c>
      <c r="AQ45" s="62">
        <f>(AP44+AP45)*КоэффСохранения</f>
        <v/>
      </c>
      <c r="AR45" s="62">
        <f>(AQ44+AQ45)*КоэффСохранения</f>
        <v/>
      </c>
      <c r="AS45" s="62">
        <f>(AR44+AR45)*КоэффСохранения</f>
        <v/>
      </c>
      <c r="AT45" s="62">
        <f>(AS44+AS45)*КоэффСохранения</f>
        <v/>
      </c>
      <c r="AU45" s="62">
        <f>(AT44+AT45)*КоэффСохранения</f>
        <v/>
      </c>
      <c r="AV45" s="62">
        <f>(AU44+AU45)*КоэффСохранения</f>
        <v/>
      </c>
      <c r="AW45" s="62">
        <f>(AV44+AV45)*КоэффСохранения</f>
        <v/>
      </c>
      <c r="AX45" s="62">
        <f>(AW44+AW45)*КоэффСохранения</f>
        <v/>
      </c>
      <c r="AY45" s="62">
        <f>(AX44+AX45)*КоэффСохранения</f>
        <v/>
      </c>
      <c r="AZ45" s="62">
        <f>(AY44+AY45)*КоэффСохранения</f>
        <v/>
      </c>
      <c r="BA45" s="62">
        <f>(AZ44+AZ45)*КоэффСохранения</f>
        <v/>
      </c>
      <c r="BB45" s="62">
        <f>(BA44+BA45)*КоэффСохранения</f>
        <v/>
      </c>
      <c r="BC45" s="62">
        <f>(BB44+BB45)*КоэффСохранения</f>
        <v/>
      </c>
      <c r="BD45" s="62">
        <f>(BC44+BC45)*КоэффСохранения</f>
        <v/>
      </c>
      <c r="BE45" s="62">
        <f>(BD44+BD45)*КоэффСохранения</f>
        <v/>
      </c>
      <c r="BF45" s="62">
        <f>(BE44+BE45)*КоэффСохранения</f>
        <v/>
      </c>
      <c r="BG45" s="62">
        <f>(BF44+BF45)*КоэффСохранения</f>
        <v/>
      </c>
      <c r="BH45" s="62">
        <f>(BG44+BG45)*КоэффСохранения</f>
        <v/>
      </c>
      <c r="BI45" s="62">
        <f>(BH44+BH45)*КоэффСохранения</f>
        <v/>
      </c>
      <c r="BJ45" s="62">
        <f>(BI44+BI45)*КоэффСохранения</f>
        <v/>
      </c>
      <c r="BK45" s="62">
        <f>(BJ44+BJ45)*КоэффСохранения</f>
        <v/>
      </c>
      <c r="BL45" s="62">
        <f>(BK44+BK45)*КоэффСохранения</f>
        <v/>
      </c>
      <c r="BM45" s="62">
        <f>(BL44+BL45)*КоэффСохранения</f>
        <v/>
      </c>
      <c r="BN45" s="62">
        <f>(BM44+BM45)*КоэффСохранения</f>
        <v/>
      </c>
      <c r="BO45" s="62">
        <f>(BN44+BN45)*КоэффСохранения</f>
        <v/>
      </c>
      <c r="BP45" s="62">
        <f>(BO44+BO45)*КоэффСохранения</f>
        <v/>
      </c>
      <c r="BQ45" s="62">
        <f>(BP44+BP45)*КоэффСохранения</f>
        <v/>
      </c>
      <c r="BR45" s="62">
        <f>(BQ44+BQ45)*КоэффСохранения</f>
        <v/>
      </c>
      <c r="BS45" s="62">
        <f>(BR44+BR45)*КоэффСохранения</f>
        <v/>
      </c>
      <c r="BT45" s="62">
        <f>(BS44+BS45)*КоэффСохранения</f>
        <v/>
      </c>
      <c r="BU45" s="62">
        <f>(BT44+BT45)*КоэффСохранения</f>
        <v/>
      </c>
      <c r="BV45" s="62">
        <f>(BU44+BU45)*КоэффСохранения</f>
        <v/>
      </c>
      <c r="BW45" s="62">
        <f>(BV44+BV45)*КоэффСохранения</f>
        <v/>
      </c>
      <c r="BX45" s="62">
        <f>(BW44+BW45)*КоэффСохранения</f>
        <v/>
      </c>
      <c r="BY45" s="62">
        <f>(BX44+BX45)*КоэффСохранения</f>
        <v/>
      </c>
    </row>
    <row r="46" ht="15.75" customHeight="1" s="194"/>
    <row r="47" ht="15.75" customHeight="1" s="194">
      <c r="B47" s="54" t="inlineStr">
        <is>
          <t>Роялти новых школ по возрасту — старая ставка</t>
        </is>
      </c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  <c r="S47" s="55" t="n"/>
      <c r="T47" s="55" t="n"/>
      <c r="U47" s="55" t="n"/>
      <c r="V47" s="55" t="n"/>
      <c r="W47" s="55" t="n"/>
      <c r="X47" s="55" t="n"/>
      <c r="Y47" s="55" t="n"/>
      <c r="Z47" s="55" t="n"/>
      <c r="AA47" s="55" t="n"/>
      <c r="AB47" s="55" t="n"/>
      <c r="AC47" s="55" t="n"/>
      <c r="AD47" s="55" t="n"/>
      <c r="AE47" s="55" t="n"/>
      <c r="AF47" s="55" t="n"/>
      <c r="AG47" s="55" t="n"/>
      <c r="AH47" s="55" t="n"/>
      <c r="AI47" s="55" t="n"/>
      <c r="AJ47" s="55" t="n"/>
      <c r="AK47" s="55" t="n"/>
      <c r="AL47" s="55" t="n"/>
      <c r="AM47" s="55" t="n"/>
      <c r="AN47" s="55" t="n"/>
      <c r="AO47" s="55" t="n"/>
      <c r="AP47" s="55" t="n"/>
      <c r="AQ47" s="55" t="n"/>
      <c r="AR47" s="55" t="n"/>
      <c r="AS47" s="55" t="n"/>
      <c r="AT47" s="55" t="n"/>
      <c r="AU47" s="55" t="n"/>
      <c r="AV47" s="55" t="n"/>
      <c r="AW47" s="55" t="n"/>
      <c r="AX47" s="55" t="n"/>
      <c r="AY47" s="55" t="n"/>
      <c r="AZ47" s="55" t="n"/>
      <c r="BA47" s="55" t="n"/>
      <c r="BB47" s="55" t="n"/>
      <c r="BC47" s="55" t="n"/>
      <c r="BD47" s="55" t="n"/>
      <c r="BE47" s="55" t="n"/>
      <c r="BF47" s="55" t="n"/>
      <c r="BG47" s="55" t="n"/>
      <c r="BH47" s="55" t="n"/>
      <c r="BI47" s="55" t="n"/>
      <c r="BJ47" s="55" t="n"/>
      <c r="BK47" s="55" t="n"/>
      <c r="BL47" s="55" t="n"/>
      <c r="BM47" s="55" t="n"/>
      <c r="BN47" s="55" t="n"/>
      <c r="BO47" s="55" t="n"/>
      <c r="BP47" s="55" t="n"/>
      <c r="BQ47" s="55" t="n"/>
      <c r="BR47" s="55" t="n"/>
      <c r="BS47" s="55" t="n"/>
      <c r="BT47" s="55" t="n"/>
      <c r="BU47" s="55" t="n"/>
      <c r="BV47" s="55" t="n"/>
      <c r="BW47" s="55" t="n"/>
      <c r="BX47" s="55" t="n"/>
      <c r="BY47" s="55" t="n"/>
    </row>
    <row r="48" ht="15.75" customHeight="1" s="194">
      <c r="B48" s="56" t="inlineStr">
        <is>
          <t>1 мес.</t>
        </is>
      </c>
      <c r="C48" s="56" t="inlineStr">
        <is>
          <t>₽</t>
        </is>
      </c>
      <c r="D48" s="57" t="n"/>
      <c r="E48" s="85">
        <f>SUM(L48:W48)</f>
        <v/>
      </c>
      <c r="F48" s="85">
        <f>SUM(X48:AI48)</f>
        <v/>
      </c>
      <c r="G48" s="85">
        <f>SUM(AJ48:AU48)</f>
        <v/>
      </c>
      <c r="H48" s="85">
        <f>SUM(AV48:BG48)</f>
        <v/>
      </c>
      <c r="I48" s="85">
        <f>SUM(BH48:BS48)</f>
        <v/>
      </c>
      <c r="J48" s="86">
        <f>SUM(L48:BS48)</f>
        <v/>
      </c>
      <c r="L48" s="87">
        <f>IF(OR(L21=0,1&lt;=КаникулыРоялти),0,L21*IF(РоялтиПоГруппам="Да",MeanMinAge01+L9*SUMIF(ThresholdAge01,"&lt;"&amp;L9,WeightedRevAge01)-SUMIF(ThresholdAge01,"&lt;"&amp;L9,WeightedMinAge01),MAX(CapacityAge01*АбонементНовых*L9,MeanMinAge01)))</f>
        <v/>
      </c>
      <c r="M48" s="87">
        <f>IF(OR(M21=0,1&lt;=КаникулыРоялти),0,M21*IF(РоялтиПоГруппам="Да",MeanMinAge01+M9*SUMIF(ThresholdAge01,"&lt;"&amp;M9,WeightedRevAge01)-SUMIF(ThresholdAge01,"&lt;"&amp;M9,WeightedMinAge01),MAX(CapacityAge01*АбонементНовых*M9,MeanMinAge01)))</f>
        <v/>
      </c>
      <c r="N48" s="87">
        <f>IF(OR(N21=0,1&lt;=КаникулыРоялти),0,N21*IF(РоялтиПоГруппам="Да",MeanMinAge01+N9*SUMIF(ThresholdAge01,"&lt;"&amp;N9,WeightedRevAge01)-SUMIF(ThresholdAge01,"&lt;"&amp;N9,WeightedMinAge01),MAX(CapacityAge01*АбонементНовых*N9,MeanMinAge01)))</f>
        <v/>
      </c>
      <c r="O48" s="87">
        <f>IF(OR(O21=0,1&lt;=КаникулыРоялти),0,O21*IF(РоялтиПоГруппам="Да",MeanMinAge01+O9*SUMIF(ThresholdAge01,"&lt;"&amp;O9,WeightedRevAge01)-SUMIF(ThresholdAge01,"&lt;"&amp;O9,WeightedMinAge01),MAX(CapacityAge01*АбонементНовых*O9,MeanMinAge01)))</f>
        <v/>
      </c>
      <c r="P48" s="87">
        <f>IF(OR(P21=0,1&lt;=КаникулыРоялти),0,P21*IF(РоялтиПоГруппам="Да",MeanMinAge01+P9*SUMIF(ThresholdAge01,"&lt;"&amp;P9,WeightedRevAge01)-SUMIF(ThresholdAge01,"&lt;"&amp;P9,WeightedMinAge01),MAX(CapacityAge01*АбонементНовых*P9,MeanMinAge01)))</f>
        <v/>
      </c>
      <c r="Q48" s="87">
        <f>IF(OR(Q21=0,1&lt;=КаникулыРоялти),0,Q21*IF(РоялтиПоГруппам="Да",MeanMinAge01+Q9*SUMIF(ThresholdAge01,"&lt;"&amp;Q9,WeightedRevAge01)-SUMIF(ThresholdAge01,"&lt;"&amp;Q9,WeightedMinAge01),MAX(CapacityAge01*АбонементНовых*Q9,MeanMinAge01)))</f>
        <v/>
      </c>
      <c r="R48" s="87">
        <f>IF(OR(R21=0,1&lt;=КаникулыРоялти),0,R21*IF(РоялтиПоГруппам="Да",MeanMinAge01+R9*SUMIF(ThresholdAge01,"&lt;"&amp;R9,WeightedRevAge01)-SUMIF(ThresholdAge01,"&lt;"&amp;R9,WeightedMinAge01),MAX(CapacityAge01*АбонементНовых*R9,MeanMinAge01)))</f>
        <v/>
      </c>
      <c r="S48" s="87">
        <f>IF(OR(S21=0,1&lt;=КаникулыРоялти),0,S21*IF(РоялтиПоГруппам="Да",MeanMinAge01+S9*SUMIF(ThresholdAge01,"&lt;"&amp;S9,WeightedRevAge01)-SUMIF(ThresholdAge01,"&lt;"&amp;S9,WeightedMinAge01),MAX(CapacityAge01*АбонементНовых*S9,MeanMinAge01)))</f>
        <v/>
      </c>
      <c r="T48" s="87">
        <f>IF(OR(T21=0,1&lt;=КаникулыРоялти),0,T21*IF(РоялтиПоГруппам="Да",MeanMinAge01+T9*SUMIF(ThresholdAge01,"&lt;"&amp;T9,WeightedRevAge01)-SUMIF(ThresholdAge01,"&lt;"&amp;T9,WeightedMinAge01),MAX(CapacityAge01*АбонементНовых*T9,MeanMinAge01)))</f>
        <v/>
      </c>
      <c r="U48" s="87">
        <f>IF(OR(U21=0,1&lt;=КаникулыРоялти),0,U21*IF(РоялтиПоГруппам="Да",MeanMinAge01+U9*SUMIF(ThresholdAge01,"&lt;"&amp;U9,WeightedRevAge01)-SUMIF(ThresholdAge01,"&lt;"&amp;U9,WeightedMinAge01),MAX(CapacityAge01*АбонементНовых*U9,MeanMinAge01)))</f>
        <v/>
      </c>
      <c r="V48" s="87">
        <f>IF(OR(V21=0,1&lt;=КаникулыРоялти),0,V21*IF(РоялтиПоГруппам="Да",MeanMinAge01+V9*SUMIF(ThresholdAge01,"&lt;"&amp;V9,WeightedRevAge01)-SUMIF(ThresholdAge01,"&lt;"&amp;V9,WeightedMinAge01),MAX(CapacityAge01*АбонементНовых*V9,MeanMinAge01)))</f>
        <v/>
      </c>
      <c r="W48" s="87">
        <f>IF(OR(W21=0,1&lt;=КаникулыРоялти),0,W21*IF(РоялтиПоГруппам="Да",MeanMinAge01+W9*SUMIF(ThresholdAge01,"&lt;"&amp;W9,WeightedRevAge01)-SUMIF(ThresholdAge01,"&lt;"&amp;W9,WeightedMinAge01),MAX(CapacityAge01*АбонементНовых*W9,MeanMinAge01)))</f>
        <v/>
      </c>
      <c r="X48" s="87">
        <f>IF(OR(X21=0,1&lt;=КаникулыРоялти),0,X21*IF(РоялтиПоГруппам="Да",MeanMinAge01+X9*SUMIF(ThresholdAge01,"&lt;"&amp;X9,WeightedRevAge01)-SUMIF(ThresholdAge01,"&lt;"&amp;X9,WeightedMinAge01),MAX(CapacityAge01*АбонементНовых*X9,MeanMinAge01)))</f>
        <v/>
      </c>
      <c r="Y48" s="87">
        <f>IF(OR(Y21=0,1&lt;=КаникулыРоялти),0,Y21*IF(РоялтиПоГруппам="Да",MeanMinAge01+Y9*SUMIF(ThresholdAge01,"&lt;"&amp;Y9,WeightedRevAge01)-SUMIF(ThresholdAge01,"&lt;"&amp;Y9,WeightedMinAge01),MAX(CapacityAge01*АбонементНовых*Y9,MeanMinAge01)))</f>
        <v/>
      </c>
      <c r="Z48" s="87">
        <f>IF(OR(Z21=0,1&lt;=КаникулыРоялти),0,Z21*IF(РоялтиПоГруппам="Да",MeanMinAge01+Z9*SUMIF(ThresholdAge01,"&lt;"&amp;Z9,WeightedRevAge01)-SUMIF(ThresholdAge01,"&lt;"&amp;Z9,WeightedMinAge01),MAX(CapacityAge01*АбонементНовых*Z9,MeanMinAge01)))</f>
        <v/>
      </c>
      <c r="AA48" s="87">
        <f>IF(OR(AA21=0,1&lt;=КаникулыРоялти),0,AA21*IF(РоялтиПоГруппам="Да",MeanMinAge01+AA9*SUMIF(ThresholdAge01,"&lt;"&amp;AA9,WeightedRevAge01)-SUMIF(ThresholdAge01,"&lt;"&amp;AA9,WeightedMinAge01),MAX(CapacityAge01*АбонементНовых*AA9,MeanMinAge01)))</f>
        <v/>
      </c>
      <c r="AB48" s="87">
        <f>IF(OR(AB21=0,1&lt;=КаникулыРоялти),0,AB21*IF(РоялтиПоГруппам="Да",MeanMinAge01+AB9*SUMIF(ThresholdAge01,"&lt;"&amp;AB9,WeightedRevAge01)-SUMIF(ThresholdAge01,"&lt;"&amp;AB9,WeightedMinAge01),MAX(CapacityAge01*АбонементНовых*AB9,MeanMinAge01)))</f>
        <v/>
      </c>
      <c r="AC48" s="87">
        <f>IF(OR(AC21=0,1&lt;=КаникулыРоялти),0,AC21*IF(РоялтиПоГруппам="Да",MeanMinAge01+AC9*SUMIF(ThresholdAge01,"&lt;"&amp;AC9,WeightedRevAge01)-SUMIF(ThresholdAge01,"&lt;"&amp;AC9,WeightedMinAge01),MAX(CapacityAge01*АбонементНовых*AC9,MeanMinAge01)))</f>
        <v/>
      </c>
      <c r="AD48" s="87">
        <f>IF(OR(AD21=0,1&lt;=КаникулыРоялти),0,AD21*IF(РоялтиПоГруппам="Да",MeanMinAge01+AD9*SUMIF(ThresholdAge01,"&lt;"&amp;AD9,WeightedRevAge01)-SUMIF(ThresholdAge01,"&lt;"&amp;AD9,WeightedMinAge01),MAX(CapacityAge01*АбонементНовых*AD9,MeanMinAge01)))</f>
        <v/>
      </c>
      <c r="AE48" s="87">
        <f>IF(OR(AE21=0,1&lt;=КаникулыРоялти),0,AE21*IF(РоялтиПоГруппам="Да",MeanMinAge01+AE9*SUMIF(ThresholdAge01,"&lt;"&amp;AE9,WeightedRevAge01)-SUMIF(ThresholdAge01,"&lt;"&amp;AE9,WeightedMinAge01),MAX(CapacityAge01*АбонементНовых*AE9,MeanMinAge01)))</f>
        <v/>
      </c>
      <c r="AF48" s="87">
        <f>IF(OR(AF21=0,1&lt;=КаникулыРоялти),0,AF21*IF(РоялтиПоГруппам="Да",MeanMinAge01+AF9*SUMIF(ThresholdAge01,"&lt;"&amp;AF9,WeightedRevAge01)-SUMIF(ThresholdAge01,"&lt;"&amp;AF9,WeightedMinAge01),MAX(CapacityAge01*АбонементНовых*AF9,MeanMinAge01)))</f>
        <v/>
      </c>
      <c r="AG48" s="87">
        <f>IF(OR(AG21=0,1&lt;=КаникулыРоялти),0,AG21*IF(РоялтиПоГруппам="Да",MeanMinAge01+AG9*SUMIF(ThresholdAge01,"&lt;"&amp;AG9,WeightedRevAge01)-SUMIF(ThresholdAge01,"&lt;"&amp;AG9,WeightedMinAge01),MAX(CapacityAge01*АбонементНовых*AG9,MeanMinAge01)))</f>
        <v/>
      </c>
      <c r="AH48" s="87">
        <f>IF(OR(AH21=0,1&lt;=КаникулыРоялти),0,AH21*IF(РоялтиПоГруппам="Да",MeanMinAge01+AH9*SUMIF(ThresholdAge01,"&lt;"&amp;AH9,WeightedRevAge01)-SUMIF(ThresholdAge01,"&lt;"&amp;AH9,WeightedMinAge01),MAX(CapacityAge01*АбонементНовых*AH9,MeanMinAge01)))</f>
        <v/>
      </c>
      <c r="AI48" s="87">
        <f>IF(OR(AI21=0,1&lt;=КаникулыРоялти),0,AI21*IF(РоялтиПоГруппам="Да",MeanMinAge01+AI9*SUMIF(ThresholdAge01,"&lt;"&amp;AI9,WeightedRevAge01)-SUMIF(ThresholdAge01,"&lt;"&amp;AI9,WeightedMinAge01),MAX(CapacityAge01*АбонементНовых*AI9,MeanMinAge01)))</f>
        <v/>
      </c>
      <c r="AJ48" s="87">
        <f>IF(OR(AJ21=0,1&lt;=КаникулыРоялти),0,AJ21*IF(РоялтиПоГруппам="Да",MeanMinAge01+AJ9*SUMIF(ThresholdAge01,"&lt;"&amp;AJ9,WeightedRevAge01)-SUMIF(ThresholdAge01,"&lt;"&amp;AJ9,WeightedMinAge01),MAX(CapacityAge01*АбонементНовых*AJ9,MeanMinAge01)))</f>
        <v/>
      </c>
      <c r="AK48" s="87">
        <f>IF(OR(AK21=0,1&lt;=КаникулыРоялти),0,AK21*IF(РоялтиПоГруппам="Да",MeanMinAge01+AK9*SUMIF(ThresholdAge01,"&lt;"&amp;AK9,WeightedRevAge01)-SUMIF(ThresholdAge01,"&lt;"&amp;AK9,WeightedMinAge01),MAX(CapacityAge01*АбонементНовых*AK9,MeanMinAge01)))</f>
        <v/>
      </c>
      <c r="AL48" s="87">
        <f>IF(OR(AL21=0,1&lt;=КаникулыРоялти),0,AL21*IF(РоялтиПоГруппам="Да",MeanMinAge01+AL9*SUMIF(ThresholdAge01,"&lt;"&amp;AL9,WeightedRevAge01)-SUMIF(ThresholdAge01,"&lt;"&amp;AL9,WeightedMinAge01),MAX(CapacityAge01*АбонементНовых*AL9,MeanMinAge01)))</f>
        <v/>
      </c>
      <c r="AM48" s="87">
        <f>IF(OR(AM21=0,1&lt;=КаникулыРоялти),0,AM21*IF(РоялтиПоГруппам="Да",MeanMinAge01+AM9*SUMIF(ThresholdAge01,"&lt;"&amp;AM9,WeightedRevAge01)-SUMIF(ThresholdAge01,"&lt;"&amp;AM9,WeightedMinAge01),MAX(CapacityAge01*АбонементНовых*AM9,MeanMinAge01)))</f>
        <v/>
      </c>
      <c r="AN48" s="87">
        <f>IF(OR(AN21=0,1&lt;=КаникулыРоялти),0,AN21*IF(РоялтиПоГруппам="Да",MeanMinAge01+AN9*SUMIF(ThresholdAge01,"&lt;"&amp;AN9,WeightedRevAge01)-SUMIF(ThresholdAge01,"&lt;"&amp;AN9,WeightedMinAge01),MAX(CapacityAge01*АбонементНовых*AN9,MeanMinAge01)))</f>
        <v/>
      </c>
      <c r="AO48" s="87">
        <f>IF(OR(AO21=0,1&lt;=КаникулыРоялти),0,AO21*IF(РоялтиПоГруппам="Да",MeanMinAge01+AO9*SUMIF(ThresholdAge01,"&lt;"&amp;AO9,WeightedRevAge01)-SUMIF(ThresholdAge01,"&lt;"&amp;AO9,WeightedMinAge01),MAX(CapacityAge01*АбонементНовых*AO9,MeanMinAge01)))</f>
        <v/>
      </c>
      <c r="AP48" s="87">
        <f>IF(OR(AP21=0,1&lt;=КаникулыРоялти),0,AP21*IF(РоялтиПоГруппам="Да",MeanMinAge01+AP9*SUMIF(ThresholdAge01,"&lt;"&amp;AP9,WeightedRevAge01)-SUMIF(ThresholdAge01,"&lt;"&amp;AP9,WeightedMinAge01),MAX(CapacityAge01*АбонементНовых*AP9,MeanMinAge01)))</f>
        <v/>
      </c>
      <c r="AQ48" s="87">
        <f>IF(OR(AQ21=0,1&lt;=КаникулыРоялти),0,AQ21*IF(РоялтиПоГруппам="Да",MeanMinAge01+AQ9*SUMIF(ThresholdAge01,"&lt;"&amp;AQ9,WeightedRevAge01)-SUMIF(ThresholdAge01,"&lt;"&amp;AQ9,WeightedMinAge01),MAX(CapacityAge01*АбонементНовых*AQ9,MeanMinAge01)))</f>
        <v/>
      </c>
      <c r="AR48" s="87">
        <f>IF(OR(AR21=0,1&lt;=КаникулыРоялти),0,AR21*IF(РоялтиПоГруппам="Да",MeanMinAge01+AR9*SUMIF(ThresholdAge01,"&lt;"&amp;AR9,WeightedRevAge01)-SUMIF(ThresholdAge01,"&lt;"&amp;AR9,WeightedMinAge01),MAX(CapacityAge01*АбонементНовых*AR9,MeanMinAge01)))</f>
        <v/>
      </c>
      <c r="AS48" s="87">
        <f>IF(OR(AS21=0,1&lt;=КаникулыРоялти),0,AS21*IF(РоялтиПоГруппам="Да",MeanMinAge01+AS9*SUMIF(ThresholdAge01,"&lt;"&amp;AS9,WeightedRevAge01)-SUMIF(ThresholdAge01,"&lt;"&amp;AS9,WeightedMinAge01),MAX(CapacityAge01*АбонементНовых*AS9,MeanMinAge01)))</f>
        <v/>
      </c>
      <c r="AT48" s="87">
        <f>IF(OR(AT21=0,1&lt;=КаникулыРоялти),0,AT21*IF(РоялтиПоГруппам="Да",MeanMinAge01+AT9*SUMIF(ThresholdAge01,"&lt;"&amp;AT9,WeightedRevAge01)-SUMIF(ThresholdAge01,"&lt;"&amp;AT9,WeightedMinAge01),MAX(CapacityAge01*АбонементНовых*AT9,MeanMinAge01)))</f>
        <v/>
      </c>
      <c r="AU48" s="87">
        <f>IF(OR(AU21=0,1&lt;=КаникулыРоялти),0,AU21*IF(РоялтиПоГруппам="Да",MeanMinAge01+AU9*SUMIF(ThresholdAge01,"&lt;"&amp;AU9,WeightedRevAge01)-SUMIF(ThresholdAge01,"&lt;"&amp;AU9,WeightedMinAge01),MAX(CapacityAge01*АбонементНовых*AU9,MeanMinAge01)))</f>
        <v/>
      </c>
      <c r="AV48" s="87">
        <f>IF(OR(AV21=0,1&lt;=КаникулыРоялти),0,AV21*IF(РоялтиПоГруппам="Да",MeanMinAge01+AV9*SUMIF(ThresholdAge01,"&lt;"&amp;AV9,WeightedRevAge01)-SUMIF(ThresholdAge01,"&lt;"&amp;AV9,WeightedMinAge01),MAX(CapacityAge01*АбонементНовых*AV9,MeanMinAge01)))</f>
        <v/>
      </c>
      <c r="AW48" s="87">
        <f>IF(OR(AW21=0,1&lt;=КаникулыРоялти),0,AW21*IF(РоялтиПоГруппам="Да",MeanMinAge01+AW9*SUMIF(ThresholdAge01,"&lt;"&amp;AW9,WeightedRevAge01)-SUMIF(ThresholdAge01,"&lt;"&amp;AW9,WeightedMinAge01),MAX(CapacityAge01*АбонементНовых*AW9,MeanMinAge01)))</f>
        <v/>
      </c>
      <c r="AX48" s="87">
        <f>IF(OR(AX21=0,1&lt;=КаникулыРоялти),0,AX21*IF(РоялтиПоГруппам="Да",MeanMinAge01+AX9*SUMIF(ThresholdAge01,"&lt;"&amp;AX9,WeightedRevAge01)-SUMIF(ThresholdAge01,"&lt;"&amp;AX9,WeightedMinAge01),MAX(CapacityAge01*АбонементНовых*AX9,MeanMinAge01)))</f>
        <v/>
      </c>
      <c r="AY48" s="87">
        <f>IF(OR(AY21=0,1&lt;=КаникулыРоялти),0,AY21*IF(РоялтиПоГруппам="Да",MeanMinAge01+AY9*SUMIF(ThresholdAge01,"&lt;"&amp;AY9,WeightedRevAge01)-SUMIF(ThresholdAge01,"&lt;"&amp;AY9,WeightedMinAge01),MAX(CapacityAge01*АбонементНовых*AY9,MeanMinAge01)))</f>
        <v/>
      </c>
      <c r="AZ48" s="87">
        <f>IF(OR(AZ21=0,1&lt;=КаникулыРоялти),0,AZ21*IF(РоялтиПоГруппам="Да",MeanMinAge01+AZ9*SUMIF(ThresholdAge01,"&lt;"&amp;AZ9,WeightedRevAge01)-SUMIF(ThresholdAge01,"&lt;"&amp;AZ9,WeightedMinAge01),MAX(CapacityAge01*АбонементНовых*AZ9,MeanMinAge01)))</f>
        <v/>
      </c>
      <c r="BA48" s="87">
        <f>IF(OR(BA21=0,1&lt;=КаникулыРоялти),0,BA21*IF(РоялтиПоГруппам="Да",MeanMinAge01+BA9*SUMIF(ThresholdAge01,"&lt;"&amp;BA9,WeightedRevAge01)-SUMIF(ThresholdAge01,"&lt;"&amp;BA9,WeightedMinAge01),MAX(CapacityAge01*АбонементНовых*BA9,MeanMinAge01)))</f>
        <v/>
      </c>
      <c r="BB48" s="87">
        <f>IF(OR(BB21=0,1&lt;=КаникулыРоялти),0,BB21*IF(РоялтиПоГруппам="Да",MeanMinAge01+BB9*SUMIF(ThresholdAge01,"&lt;"&amp;BB9,WeightedRevAge01)-SUMIF(ThresholdAge01,"&lt;"&amp;BB9,WeightedMinAge01),MAX(CapacityAge01*АбонементНовых*BB9,MeanMinAge01)))</f>
        <v/>
      </c>
      <c r="BC48" s="87">
        <f>IF(OR(BC21=0,1&lt;=КаникулыРоялти),0,BC21*IF(РоялтиПоГруппам="Да",MeanMinAge01+BC9*SUMIF(ThresholdAge01,"&lt;"&amp;BC9,WeightedRevAge01)-SUMIF(ThresholdAge01,"&lt;"&amp;BC9,WeightedMinAge01),MAX(CapacityAge01*АбонементНовых*BC9,MeanMinAge01)))</f>
        <v/>
      </c>
      <c r="BD48" s="87">
        <f>IF(OR(BD21=0,1&lt;=КаникулыРоялти),0,BD21*IF(РоялтиПоГруппам="Да",MeanMinAge01+BD9*SUMIF(ThresholdAge01,"&lt;"&amp;BD9,WeightedRevAge01)-SUMIF(ThresholdAge01,"&lt;"&amp;BD9,WeightedMinAge01),MAX(CapacityAge01*АбонементНовых*BD9,MeanMinAge01)))</f>
        <v/>
      </c>
      <c r="BE48" s="87">
        <f>IF(OR(BE21=0,1&lt;=КаникулыРоялти),0,BE21*IF(РоялтиПоГруппам="Да",MeanMinAge01+BE9*SUMIF(ThresholdAge01,"&lt;"&amp;BE9,WeightedRevAge01)-SUMIF(ThresholdAge01,"&lt;"&amp;BE9,WeightedMinAge01),MAX(CapacityAge01*АбонементНовых*BE9,MeanMinAge01)))</f>
        <v/>
      </c>
      <c r="BF48" s="87">
        <f>IF(OR(BF21=0,1&lt;=КаникулыРоялти),0,BF21*IF(РоялтиПоГруппам="Да",MeanMinAge01+BF9*SUMIF(ThresholdAge01,"&lt;"&amp;BF9,WeightedRevAge01)-SUMIF(ThresholdAge01,"&lt;"&amp;BF9,WeightedMinAge01),MAX(CapacityAge01*АбонементНовых*BF9,MeanMinAge01)))</f>
        <v/>
      </c>
      <c r="BG48" s="87">
        <f>IF(OR(BG21=0,1&lt;=КаникулыРоялти),0,BG21*IF(РоялтиПоГруппам="Да",MeanMinAge01+BG9*SUMIF(ThresholdAge01,"&lt;"&amp;BG9,WeightedRevAge01)-SUMIF(ThresholdAge01,"&lt;"&amp;BG9,WeightedMinAge01),MAX(CapacityAge01*АбонементНовых*BG9,MeanMinAge01)))</f>
        <v/>
      </c>
      <c r="BH48" s="87">
        <f>IF(OR(BH21=0,1&lt;=КаникулыРоялти),0,BH21*IF(РоялтиПоГруппам="Да",MeanMinAge01+BH9*SUMIF(ThresholdAge01,"&lt;"&amp;BH9,WeightedRevAge01)-SUMIF(ThresholdAge01,"&lt;"&amp;BH9,WeightedMinAge01),MAX(CapacityAge01*АбонементНовых*BH9,MeanMinAge01)))</f>
        <v/>
      </c>
      <c r="BI48" s="87">
        <f>IF(OR(BI21=0,1&lt;=КаникулыРоялти),0,BI21*IF(РоялтиПоГруппам="Да",MeanMinAge01+BI9*SUMIF(ThresholdAge01,"&lt;"&amp;BI9,WeightedRevAge01)-SUMIF(ThresholdAge01,"&lt;"&amp;BI9,WeightedMinAge01),MAX(CapacityAge01*АбонементНовых*BI9,MeanMinAge01)))</f>
        <v/>
      </c>
      <c r="BJ48" s="87">
        <f>IF(OR(BJ21=0,1&lt;=КаникулыРоялти),0,BJ21*IF(РоялтиПоГруппам="Да",MeanMinAge01+BJ9*SUMIF(ThresholdAge01,"&lt;"&amp;BJ9,WeightedRevAge01)-SUMIF(ThresholdAge01,"&lt;"&amp;BJ9,WeightedMinAge01),MAX(CapacityAge01*АбонементНовых*BJ9,MeanMinAge01)))</f>
        <v/>
      </c>
      <c r="BK48" s="87">
        <f>IF(OR(BK21=0,1&lt;=КаникулыРоялти),0,BK21*IF(РоялтиПоГруппам="Да",MeanMinAge01+BK9*SUMIF(ThresholdAge01,"&lt;"&amp;BK9,WeightedRevAge01)-SUMIF(ThresholdAge01,"&lt;"&amp;BK9,WeightedMinAge01),MAX(CapacityAge01*АбонементНовых*BK9,MeanMinAge01)))</f>
        <v/>
      </c>
      <c r="BL48" s="87">
        <f>IF(OR(BL21=0,1&lt;=КаникулыРоялти),0,BL21*IF(РоялтиПоГруппам="Да",MeanMinAge01+BL9*SUMIF(ThresholdAge01,"&lt;"&amp;BL9,WeightedRevAge01)-SUMIF(ThresholdAge01,"&lt;"&amp;BL9,WeightedMinAge01),MAX(CapacityAge01*АбонементНовых*BL9,MeanMinAge01)))</f>
        <v/>
      </c>
      <c r="BM48" s="87">
        <f>IF(OR(BM21=0,1&lt;=КаникулыРоялти),0,BM21*IF(РоялтиПоГруппам="Да",MeanMinAge01+BM9*SUMIF(ThresholdAge01,"&lt;"&amp;BM9,WeightedRevAge01)-SUMIF(ThresholdAge01,"&lt;"&amp;BM9,WeightedMinAge01),MAX(CapacityAge01*АбонементНовых*BM9,MeanMinAge01)))</f>
        <v/>
      </c>
      <c r="BN48" s="87">
        <f>IF(OR(BN21=0,1&lt;=КаникулыРоялти),0,BN21*IF(РоялтиПоГруппам="Да",MeanMinAge01+BN9*SUMIF(ThresholdAge01,"&lt;"&amp;BN9,WeightedRevAge01)-SUMIF(ThresholdAge01,"&lt;"&amp;BN9,WeightedMinAge01),MAX(CapacityAge01*АбонементНовых*BN9,MeanMinAge01)))</f>
        <v/>
      </c>
      <c r="BO48" s="87">
        <f>IF(OR(BO21=0,1&lt;=КаникулыРоялти),0,BO21*IF(РоялтиПоГруппам="Да",MeanMinAge01+BO9*SUMIF(ThresholdAge01,"&lt;"&amp;BO9,WeightedRevAge01)-SUMIF(ThresholdAge01,"&lt;"&amp;BO9,WeightedMinAge01),MAX(CapacityAge01*АбонементНовых*BO9,MeanMinAge01)))</f>
        <v/>
      </c>
      <c r="BP48" s="87">
        <f>IF(OR(BP21=0,1&lt;=КаникулыРоялти),0,BP21*IF(РоялтиПоГруппам="Да",MeanMinAge01+BP9*SUMIF(ThresholdAge01,"&lt;"&amp;BP9,WeightedRevAge01)-SUMIF(ThresholdAge01,"&lt;"&amp;BP9,WeightedMinAge01),MAX(CapacityAge01*АбонементНовых*BP9,MeanMinAge01)))</f>
        <v/>
      </c>
      <c r="BQ48" s="87">
        <f>IF(OR(BQ21=0,1&lt;=КаникулыРоялти),0,BQ21*IF(РоялтиПоГруппам="Да",MeanMinAge01+BQ9*SUMIF(ThresholdAge01,"&lt;"&amp;BQ9,WeightedRevAge01)-SUMIF(ThresholdAge01,"&lt;"&amp;BQ9,WeightedMinAge01),MAX(CapacityAge01*АбонементНовых*BQ9,MeanMinAge01)))</f>
        <v/>
      </c>
      <c r="BR48" s="87">
        <f>IF(OR(BR21=0,1&lt;=КаникулыРоялти),0,BR21*IF(РоялтиПоГруппам="Да",MeanMinAge01+BR9*SUMIF(ThresholdAge01,"&lt;"&amp;BR9,WeightedRevAge01)-SUMIF(ThresholdAge01,"&lt;"&amp;BR9,WeightedMinAge01),MAX(CapacityAge01*АбонементНовых*BR9,MeanMinAge01)))</f>
        <v/>
      </c>
      <c r="BS48" s="87">
        <f>IF(OR(BS21=0,1&lt;=КаникулыРоялти),0,BS21*IF(РоялтиПоГруппам="Да",MeanMinAge01+BS9*SUMIF(ThresholdAge01,"&lt;"&amp;BS9,WeightedRevAge01)-SUMIF(ThresholdAge01,"&lt;"&amp;BS9,WeightedMinAge01),MAX(CapacityAge01*АбонементНовых*BS9,MeanMinAge01)))</f>
        <v/>
      </c>
      <c r="BT48" s="87">
        <f>IF(OR(BT21=0,1&lt;=КаникулыРоялти),0,BT21*IF(РоялтиПоГруппам="Да",MeanMinAge01+BT9*SUMIF(ThresholdAge01,"&lt;"&amp;BT9,WeightedRevAge01)-SUMIF(ThresholdAge01,"&lt;"&amp;BT9,WeightedMinAge01),MAX(CapacityAge01*АбонементНовых*BT9,MeanMinAge01)))</f>
        <v/>
      </c>
      <c r="BU48" s="87">
        <f>IF(OR(BU21=0,1&lt;=КаникулыРоялти),0,BU21*IF(РоялтиПоГруппам="Да",MeanMinAge01+BU9*SUMIF(ThresholdAge01,"&lt;"&amp;BU9,WeightedRevAge01)-SUMIF(ThresholdAge01,"&lt;"&amp;BU9,WeightedMinAge01),MAX(CapacityAge01*АбонементНовых*BU9,MeanMinAge01)))</f>
        <v/>
      </c>
      <c r="BV48" s="87">
        <f>IF(OR(BV21=0,1&lt;=КаникулыРоялти),0,BV21*IF(РоялтиПоГруппам="Да",MeanMinAge01+BV9*SUMIF(ThresholdAge01,"&lt;"&amp;BV9,WeightedRevAge01)-SUMIF(ThresholdAge01,"&lt;"&amp;BV9,WeightedMinAge01),MAX(CapacityAge01*АбонементНовых*BV9,MeanMinAge01)))</f>
        <v/>
      </c>
      <c r="BW48" s="87">
        <f>IF(OR(BW21=0,1&lt;=КаникулыРоялти),0,BW21*IF(РоялтиПоГруппам="Да",MeanMinAge01+BW9*SUMIF(ThresholdAge01,"&lt;"&amp;BW9,WeightedRevAge01)-SUMIF(ThresholdAge01,"&lt;"&amp;BW9,WeightedMinAge01),MAX(CapacityAge01*АбонементНовых*BW9,MeanMinAge01)))</f>
        <v/>
      </c>
      <c r="BX48" s="87">
        <f>IF(OR(BX21=0,1&lt;=КаникулыРоялти),0,BX21*IF(РоялтиПоГруппам="Да",MeanMinAge01+BX9*SUMIF(ThresholdAge01,"&lt;"&amp;BX9,WeightedRevAge01)-SUMIF(ThresholdAge01,"&lt;"&amp;BX9,WeightedMinAge01),MAX(CapacityAge01*АбонементНовых*BX9,MeanMinAge01)))</f>
        <v/>
      </c>
      <c r="BY48" s="87">
        <f>IF(OR(BY21=0,1&lt;=КаникулыРоялти),0,BY21*IF(РоялтиПоГруппам="Да",MeanMinAge01+BY9*SUMIF(ThresholdAge01,"&lt;"&amp;BY9,WeightedRevAge01)-SUMIF(ThresholdAge01,"&lt;"&amp;BY9,WeightedMinAge01),MAX(CapacityAge01*АбонементНовых*BY9,MeanMinAge01)))</f>
        <v/>
      </c>
    </row>
    <row r="49" ht="15.75" customHeight="1" s="194">
      <c r="B49" s="56" t="inlineStr">
        <is>
          <t>2 мес.</t>
        </is>
      </c>
      <c r="C49" s="56" t="inlineStr">
        <is>
          <t>₽</t>
        </is>
      </c>
      <c r="D49" s="57" t="n"/>
      <c r="E49" s="85">
        <f>SUM(L49:W49)</f>
        <v/>
      </c>
      <c r="F49" s="85">
        <f>SUM(X49:AI49)</f>
        <v/>
      </c>
      <c r="G49" s="85">
        <f>SUM(AJ49:AU49)</f>
        <v/>
      </c>
      <c r="H49" s="85">
        <f>SUM(AV49:BG49)</f>
        <v/>
      </c>
      <c r="I49" s="85">
        <f>SUM(BH49:BS49)</f>
        <v/>
      </c>
      <c r="J49" s="86">
        <f>SUM(L49:BS49)</f>
        <v/>
      </c>
      <c r="L49" s="87">
        <f>IF(OR(L22=0,2&lt;=КаникулыРоялти),0,L22*IF(РоялтиПоГруппам="Да",MeanMinAge02+L9*SUMIF(ThresholdAge02,"&lt;"&amp;L9,WeightedRevAge02)-SUMIF(ThresholdAge02,"&lt;"&amp;L9,WeightedMinAge02),MAX(CapacityAge02*АбонементНовых*L9,MeanMinAge02)))</f>
        <v/>
      </c>
      <c r="M49" s="87">
        <f>IF(OR(M22=0,2&lt;=КаникулыРоялти),0,M22*IF(РоялтиПоГруппам="Да",MeanMinAge02+M9*SUMIF(ThresholdAge02,"&lt;"&amp;M9,WeightedRevAge02)-SUMIF(ThresholdAge02,"&lt;"&amp;M9,WeightedMinAge02),MAX(CapacityAge02*АбонементНовых*M9,MeanMinAge02)))</f>
        <v/>
      </c>
      <c r="N49" s="87">
        <f>IF(OR(N22=0,2&lt;=КаникулыРоялти),0,N22*IF(РоялтиПоГруппам="Да",MeanMinAge02+N9*SUMIF(ThresholdAge02,"&lt;"&amp;N9,WeightedRevAge02)-SUMIF(ThresholdAge02,"&lt;"&amp;N9,WeightedMinAge02),MAX(CapacityAge02*АбонементНовых*N9,MeanMinAge02)))</f>
        <v/>
      </c>
      <c r="O49" s="87">
        <f>IF(OR(O22=0,2&lt;=КаникулыРоялти),0,O22*IF(РоялтиПоГруппам="Да",MeanMinAge02+O9*SUMIF(ThresholdAge02,"&lt;"&amp;O9,WeightedRevAge02)-SUMIF(ThresholdAge02,"&lt;"&amp;O9,WeightedMinAge02),MAX(CapacityAge02*АбонементНовых*O9,MeanMinAge02)))</f>
        <v/>
      </c>
      <c r="P49" s="87">
        <f>IF(OR(P22=0,2&lt;=КаникулыРоялти),0,P22*IF(РоялтиПоГруппам="Да",MeanMinAge02+P9*SUMIF(ThresholdAge02,"&lt;"&amp;P9,WeightedRevAge02)-SUMIF(ThresholdAge02,"&lt;"&amp;P9,WeightedMinAge02),MAX(CapacityAge02*АбонементНовых*P9,MeanMinAge02)))</f>
        <v/>
      </c>
      <c r="Q49" s="87">
        <f>IF(OR(Q22=0,2&lt;=КаникулыРоялти),0,Q22*IF(РоялтиПоГруппам="Да",MeanMinAge02+Q9*SUMIF(ThresholdAge02,"&lt;"&amp;Q9,WeightedRevAge02)-SUMIF(ThresholdAge02,"&lt;"&amp;Q9,WeightedMinAge02),MAX(CapacityAge02*АбонементНовых*Q9,MeanMinAge02)))</f>
        <v/>
      </c>
      <c r="R49" s="87">
        <f>IF(OR(R22=0,2&lt;=КаникулыРоялти),0,R22*IF(РоялтиПоГруппам="Да",MeanMinAge02+R9*SUMIF(ThresholdAge02,"&lt;"&amp;R9,WeightedRevAge02)-SUMIF(ThresholdAge02,"&lt;"&amp;R9,WeightedMinAge02),MAX(CapacityAge02*АбонементНовых*R9,MeanMinAge02)))</f>
        <v/>
      </c>
      <c r="S49" s="87">
        <f>IF(OR(S22=0,2&lt;=КаникулыРоялти),0,S22*IF(РоялтиПоГруппам="Да",MeanMinAge02+S9*SUMIF(ThresholdAge02,"&lt;"&amp;S9,WeightedRevAge02)-SUMIF(ThresholdAge02,"&lt;"&amp;S9,WeightedMinAge02),MAX(CapacityAge02*АбонементНовых*S9,MeanMinAge02)))</f>
        <v/>
      </c>
      <c r="T49" s="87">
        <f>IF(OR(T22=0,2&lt;=КаникулыРоялти),0,T22*IF(РоялтиПоГруппам="Да",MeanMinAge02+T9*SUMIF(ThresholdAge02,"&lt;"&amp;T9,WeightedRevAge02)-SUMIF(ThresholdAge02,"&lt;"&amp;T9,WeightedMinAge02),MAX(CapacityAge02*АбонементНовых*T9,MeanMinAge02)))</f>
        <v/>
      </c>
      <c r="U49" s="87">
        <f>IF(OR(U22=0,2&lt;=КаникулыРоялти),0,U22*IF(РоялтиПоГруппам="Да",MeanMinAge02+U9*SUMIF(ThresholdAge02,"&lt;"&amp;U9,WeightedRevAge02)-SUMIF(ThresholdAge02,"&lt;"&amp;U9,WeightedMinAge02),MAX(CapacityAge02*АбонементНовых*U9,MeanMinAge02)))</f>
        <v/>
      </c>
      <c r="V49" s="87">
        <f>IF(OR(V22=0,2&lt;=КаникулыРоялти),0,V22*IF(РоялтиПоГруппам="Да",MeanMinAge02+V9*SUMIF(ThresholdAge02,"&lt;"&amp;V9,WeightedRevAge02)-SUMIF(ThresholdAge02,"&lt;"&amp;V9,WeightedMinAge02),MAX(CapacityAge02*АбонементНовых*V9,MeanMinAge02)))</f>
        <v/>
      </c>
      <c r="W49" s="87">
        <f>IF(OR(W22=0,2&lt;=КаникулыРоялти),0,W22*IF(РоялтиПоГруппам="Да",MeanMinAge02+W9*SUMIF(ThresholdAge02,"&lt;"&amp;W9,WeightedRevAge02)-SUMIF(ThresholdAge02,"&lt;"&amp;W9,WeightedMinAge02),MAX(CapacityAge02*АбонементНовых*W9,MeanMinAge02)))</f>
        <v/>
      </c>
      <c r="X49" s="87">
        <f>IF(OR(X22=0,2&lt;=КаникулыРоялти),0,X22*IF(РоялтиПоГруппам="Да",MeanMinAge02+X9*SUMIF(ThresholdAge02,"&lt;"&amp;X9,WeightedRevAge02)-SUMIF(ThresholdAge02,"&lt;"&amp;X9,WeightedMinAge02),MAX(CapacityAge02*АбонементНовых*X9,MeanMinAge02)))</f>
        <v/>
      </c>
      <c r="Y49" s="87">
        <f>IF(OR(Y22=0,2&lt;=КаникулыРоялти),0,Y22*IF(РоялтиПоГруппам="Да",MeanMinAge02+Y9*SUMIF(ThresholdAge02,"&lt;"&amp;Y9,WeightedRevAge02)-SUMIF(ThresholdAge02,"&lt;"&amp;Y9,WeightedMinAge02),MAX(CapacityAge02*АбонементНовых*Y9,MeanMinAge02)))</f>
        <v/>
      </c>
      <c r="Z49" s="87">
        <f>IF(OR(Z22=0,2&lt;=КаникулыРоялти),0,Z22*IF(РоялтиПоГруппам="Да",MeanMinAge02+Z9*SUMIF(ThresholdAge02,"&lt;"&amp;Z9,WeightedRevAge02)-SUMIF(ThresholdAge02,"&lt;"&amp;Z9,WeightedMinAge02),MAX(CapacityAge02*АбонементНовых*Z9,MeanMinAge02)))</f>
        <v/>
      </c>
      <c r="AA49" s="87">
        <f>IF(OR(AA22=0,2&lt;=КаникулыРоялти),0,AA22*IF(РоялтиПоГруппам="Да",MeanMinAge02+AA9*SUMIF(ThresholdAge02,"&lt;"&amp;AA9,WeightedRevAge02)-SUMIF(ThresholdAge02,"&lt;"&amp;AA9,WeightedMinAge02),MAX(CapacityAge02*АбонементНовых*AA9,MeanMinAge02)))</f>
        <v/>
      </c>
      <c r="AB49" s="87">
        <f>IF(OR(AB22=0,2&lt;=КаникулыРоялти),0,AB22*IF(РоялтиПоГруппам="Да",MeanMinAge02+AB9*SUMIF(ThresholdAge02,"&lt;"&amp;AB9,WeightedRevAge02)-SUMIF(ThresholdAge02,"&lt;"&amp;AB9,WeightedMinAge02),MAX(CapacityAge02*АбонементНовых*AB9,MeanMinAge02)))</f>
        <v/>
      </c>
      <c r="AC49" s="87">
        <f>IF(OR(AC22=0,2&lt;=КаникулыРоялти),0,AC22*IF(РоялтиПоГруппам="Да",MeanMinAge02+AC9*SUMIF(ThresholdAge02,"&lt;"&amp;AC9,WeightedRevAge02)-SUMIF(ThresholdAge02,"&lt;"&amp;AC9,WeightedMinAge02),MAX(CapacityAge02*АбонементНовых*AC9,MeanMinAge02)))</f>
        <v/>
      </c>
      <c r="AD49" s="87">
        <f>IF(OR(AD22=0,2&lt;=КаникулыРоялти),0,AD22*IF(РоялтиПоГруппам="Да",MeanMinAge02+AD9*SUMIF(ThresholdAge02,"&lt;"&amp;AD9,WeightedRevAge02)-SUMIF(ThresholdAge02,"&lt;"&amp;AD9,WeightedMinAge02),MAX(CapacityAge02*АбонементНовых*AD9,MeanMinAge02)))</f>
        <v/>
      </c>
      <c r="AE49" s="87">
        <f>IF(OR(AE22=0,2&lt;=КаникулыРоялти),0,AE22*IF(РоялтиПоГруппам="Да",MeanMinAge02+AE9*SUMIF(ThresholdAge02,"&lt;"&amp;AE9,WeightedRevAge02)-SUMIF(ThresholdAge02,"&lt;"&amp;AE9,WeightedMinAge02),MAX(CapacityAge02*АбонементНовых*AE9,MeanMinAge02)))</f>
        <v/>
      </c>
      <c r="AF49" s="87">
        <f>IF(OR(AF22=0,2&lt;=КаникулыРоялти),0,AF22*IF(РоялтиПоГруппам="Да",MeanMinAge02+AF9*SUMIF(ThresholdAge02,"&lt;"&amp;AF9,WeightedRevAge02)-SUMIF(ThresholdAge02,"&lt;"&amp;AF9,WeightedMinAge02),MAX(CapacityAge02*АбонементНовых*AF9,MeanMinAge02)))</f>
        <v/>
      </c>
      <c r="AG49" s="87">
        <f>IF(OR(AG22=0,2&lt;=КаникулыРоялти),0,AG22*IF(РоялтиПоГруппам="Да",MeanMinAge02+AG9*SUMIF(ThresholdAge02,"&lt;"&amp;AG9,WeightedRevAge02)-SUMIF(ThresholdAge02,"&lt;"&amp;AG9,WeightedMinAge02),MAX(CapacityAge02*АбонементНовых*AG9,MeanMinAge02)))</f>
        <v/>
      </c>
      <c r="AH49" s="87">
        <f>IF(OR(AH22=0,2&lt;=КаникулыРоялти),0,AH22*IF(РоялтиПоГруппам="Да",MeanMinAge02+AH9*SUMIF(ThresholdAge02,"&lt;"&amp;AH9,WeightedRevAge02)-SUMIF(ThresholdAge02,"&lt;"&amp;AH9,WeightedMinAge02),MAX(CapacityAge02*АбонементНовых*AH9,MeanMinAge02)))</f>
        <v/>
      </c>
      <c r="AI49" s="87">
        <f>IF(OR(AI22=0,2&lt;=КаникулыРоялти),0,AI22*IF(РоялтиПоГруппам="Да",MeanMinAge02+AI9*SUMIF(ThresholdAge02,"&lt;"&amp;AI9,WeightedRevAge02)-SUMIF(ThresholdAge02,"&lt;"&amp;AI9,WeightedMinAge02),MAX(CapacityAge02*АбонементНовых*AI9,MeanMinAge02)))</f>
        <v/>
      </c>
      <c r="AJ49" s="87">
        <f>IF(OR(AJ22=0,2&lt;=КаникулыРоялти),0,AJ22*IF(РоялтиПоГруппам="Да",MeanMinAge02+AJ9*SUMIF(ThresholdAge02,"&lt;"&amp;AJ9,WeightedRevAge02)-SUMIF(ThresholdAge02,"&lt;"&amp;AJ9,WeightedMinAge02),MAX(CapacityAge02*АбонементНовых*AJ9,MeanMinAge02)))</f>
        <v/>
      </c>
      <c r="AK49" s="87">
        <f>IF(OR(AK22=0,2&lt;=КаникулыРоялти),0,AK22*IF(РоялтиПоГруппам="Да",MeanMinAge02+AK9*SUMIF(ThresholdAge02,"&lt;"&amp;AK9,WeightedRevAge02)-SUMIF(ThresholdAge02,"&lt;"&amp;AK9,WeightedMinAge02),MAX(CapacityAge02*АбонементНовых*AK9,MeanMinAge02)))</f>
        <v/>
      </c>
      <c r="AL49" s="87">
        <f>IF(OR(AL22=0,2&lt;=КаникулыРоялти),0,AL22*IF(РоялтиПоГруппам="Да",MeanMinAge02+AL9*SUMIF(ThresholdAge02,"&lt;"&amp;AL9,WeightedRevAge02)-SUMIF(ThresholdAge02,"&lt;"&amp;AL9,WeightedMinAge02),MAX(CapacityAge02*АбонементНовых*AL9,MeanMinAge02)))</f>
        <v/>
      </c>
      <c r="AM49" s="87">
        <f>IF(OR(AM22=0,2&lt;=КаникулыРоялти),0,AM22*IF(РоялтиПоГруппам="Да",MeanMinAge02+AM9*SUMIF(ThresholdAge02,"&lt;"&amp;AM9,WeightedRevAge02)-SUMIF(ThresholdAge02,"&lt;"&amp;AM9,WeightedMinAge02),MAX(CapacityAge02*АбонементНовых*AM9,MeanMinAge02)))</f>
        <v/>
      </c>
      <c r="AN49" s="87">
        <f>IF(OR(AN22=0,2&lt;=КаникулыРоялти),0,AN22*IF(РоялтиПоГруппам="Да",MeanMinAge02+AN9*SUMIF(ThresholdAge02,"&lt;"&amp;AN9,WeightedRevAge02)-SUMIF(ThresholdAge02,"&lt;"&amp;AN9,WeightedMinAge02),MAX(CapacityAge02*АбонементНовых*AN9,MeanMinAge02)))</f>
        <v/>
      </c>
      <c r="AO49" s="87">
        <f>IF(OR(AO22=0,2&lt;=КаникулыРоялти),0,AO22*IF(РоялтиПоГруппам="Да",MeanMinAge02+AO9*SUMIF(ThresholdAge02,"&lt;"&amp;AO9,WeightedRevAge02)-SUMIF(ThresholdAge02,"&lt;"&amp;AO9,WeightedMinAge02),MAX(CapacityAge02*АбонементНовых*AO9,MeanMinAge02)))</f>
        <v/>
      </c>
      <c r="AP49" s="87">
        <f>IF(OR(AP22=0,2&lt;=КаникулыРоялти),0,AP22*IF(РоялтиПоГруппам="Да",MeanMinAge02+AP9*SUMIF(ThresholdAge02,"&lt;"&amp;AP9,WeightedRevAge02)-SUMIF(ThresholdAge02,"&lt;"&amp;AP9,WeightedMinAge02),MAX(CapacityAge02*АбонементНовых*AP9,MeanMinAge02)))</f>
        <v/>
      </c>
      <c r="AQ49" s="87">
        <f>IF(OR(AQ22=0,2&lt;=КаникулыРоялти),0,AQ22*IF(РоялтиПоГруппам="Да",MeanMinAge02+AQ9*SUMIF(ThresholdAge02,"&lt;"&amp;AQ9,WeightedRevAge02)-SUMIF(ThresholdAge02,"&lt;"&amp;AQ9,WeightedMinAge02),MAX(CapacityAge02*АбонементНовых*AQ9,MeanMinAge02)))</f>
        <v/>
      </c>
      <c r="AR49" s="87">
        <f>IF(OR(AR22=0,2&lt;=КаникулыРоялти),0,AR22*IF(РоялтиПоГруппам="Да",MeanMinAge02+AR9*SUMIF(ThresholdAge02,"&lt;"&amp;AR9,WeightedRevAge02)-SUMIF(ThresholdAge02,"&lt;"&amp;AR9,WeightedMinAge02),MAX(CapacityAge02*АбонементНовых*AR9,MeanMinAge02)))</f>
        <v/>
      </c>
      <c r="AS49" s="87">
        <f>IF(OR(AS22=0,2&lt;=КаникулыРоялти),0,AS22*IF(РоялтиПоГруппам="Да",MeanMinAge02+AS9*SUMIF(ThresholdAge02,"&lt;"&amp;AS9,WeightedRevAge02)-SUMIF(ThresholdAge02,"&lt;"&amp;AS9,WeightedMinAge02),MAX(CapacityAge02*АбонементНовых*AS9,MeanMinAge02)))</f>
        <v/>
      </c>
      <c r="AT49" s="87">
        <f>IF(OR(AT22=0,2&lt;=КаникулыРоялти),0,AT22*IF(РоялтиПоГруппам="Да",MeanMinAge02+AT9*SUMIF(ThresholdAge02,"&lt;"&amp;AT9,WeightedRevAge02)-SUMIF(ThresholdAge02,"&lt;"&amp;AT9,WeightedMinAge02),MAX(CapacityAge02*АбонементНовых*AT9,MeanMinAge02)))</f>
        <v/>
      </c>
      <c r="AU49" s="87">
        <f>IF(OR(AU22=0,2&lt;=КаникулыРоялти),0,AU22*IF(РоялтиПоГруппам="Да",MeanMinAge02+AU9*SUMIF(ThresholdAge02,"&lt;"&amp;AU9,WeightedRevAge02)-SUMIF(ThresholdAge02,"&lt;"&amp;AU9,WeightedMinAge02),MAX(CapacityAge02*АбонементНовых*AU9,MeanMinAge02)))</f>
        <v/>
      </c>
      <c r="AV49" s="87">
        <f>IF(OR(AV22=0,2&lt;=КаникулыРоялти),0,AV22*IF(РоялтиПоГруппам="Да",MeanMinAge02+AV9*SUMIF(ThresholdAge02,"&lt;"&amp;AV9,WeightedRevAge02)-SUMIF(ThresholdAge02,"&lt;"&amp;AV9,WeightedMinAge02),MAX(CapacityAge02*АбонементНовых*AV9,MeanMinAge02)))</f>
        <v/>
      </c>
      <c r="AW49" s="87">
        <f>IF(OR(AW22=0,2&lt;=КаникулыРоялти),0,AW22*IF(РоялтиПоГруппам="Да",MeanMinAge02+AW9*SUMIF(ThresholdAge02,"&lt;"&amp;AW9,WeightedRevAge02)-SUMIF(ThresholdAge02,"&lt;"&amp;AW9,WeightedMinAge02),MAX(CapacityAge02*АбонементНовых*AW9,MeanMinAge02)))</f>
        <v/>
      </c>
      <c r="AX49" s="87">
        <f>IF(OR(AX22=0,2&lt;=КаникулыРоялти),0,AX22*IF(РоялтиПоГруппам="Да",MeanMinAge02+AX9*SUMIF(ThresholdAge02,"&lt;"&amp;AX9,WeightedRevAge02)-SUMIF(ThresholdAge02,"&lt;"&amp;AX9,WeightedMinAge02),MAX(CapacityAge02*АбонементНовых*AX9,MeanMinAge02)))</f>
        <v/>
      </c>
      <c r="AY49" s="87">
        <f>IF(OR(AY22=0,2&lt;=КаникулыРоялти),0,AY22*IF(РоялтиПоГруппам="Да",MeanMinAge02+AY9*SUMIF(ThresholdAge02,"&lt;"&amp;AY9,WeightedRevAge02)-SUMIF(ThresholdAge02,"&lt;"&amp;AY9,WeightedMinAge02),MAX(CapacityAge02*АбонементНовых*AY9,MeanMinAge02)))</f>
        <v/>
      </c>
      <c r="AZ49" s="87">
        <f>IF(OR(AZ22=0,2&lt;=КаникулыРоялти),0,AZ22*IF(РоялтиПоГруппам="Да",MeanMinAge02+AZ9*SUMIF(ThresholdAge02,"&lt;"&amp;AZ9,WeightedRevAge02)-SUMIF(ThresholdAge02,"&lt;"&amp;AZ9,WeightedMinAge02),MAX(CapacityAge02*АбонементНовых*AZ9,MeanMinAge02)))</f>
        <v/>
      </c>
      <c r="BA49" s="87">
        <f>IF(OR(BA22=0,2&lt;=КаникулыРоялти),0,BA22*IF(РоялтиПоГруппам="Да",MeanMinAge02+BA9*SUMIF(ThresholdAge02,"&lt;"&amp;BA9,WeightedRevAge02)-SUMIF(ThresholdAge02,"&lt;"&amp;BA9,WeightedMinAge02),MAX(CapacityAge02*АбонементНовых*BA9,MeanMinAge02)))</f>
        <v/>
      </c>
      <c r="BB49" s="87">
        <f>IF(OR(BB22=0,2&lt;=КаникулыРоялти),0,BB22*IF(РоялтиПоГруппам="Да",MeanMinAge02+BB9*SUMIF(ThresholdAge02,"&lt;"&amp;BB9,WeightedRevAge02)-SUMIF(ThresholdAge02,"&lt;"&amp;BB9,WeightedMinAge02),MAX(CapacityAge02*АбонементНовых*BB9,MeanMinAge02)))</f>
        <v/>
      </c>
      <c r="BC49" s="87">
        <f>IF(OR(BC22=0,2&lt;=КаникулыРоялти),0,BC22*IF(РоялтиПоГруппам="Да",MeanMinAge02+BC9*SUMIF(ThresholdAge02,"&lt;"&amp;BC9,WeightedRevAge02)-SUMIF(ThresholdAge02,"&lt;"&amp;BC9,WeightedMinAge02),MAX(CapacityAge02*АбонементНовых*BC9,MeanMinAge02)))</f>
        <v/>
      </c>
      <c r="BD49" s="87">
        <f>IF(OR(BD22=0,2&lt;=КаникулыРоялти),0,BD22*IF(РоялтиПоГруппам="Да",MeanMinAge02+BD9*SUMIF(ThresholdAge02,"&lt;"&amp;BD9,WeightedRevAge02)-SUMIF(ThresholdAge02,"&lt;"&amp;BD9,WeightedMinAge02),MAX(CapacityAge02*АбонементНовых*BD9,MeanMinAge02)))</f>
        <v/>
      </c>
      <c r="BE49" s="87">
        <f>IF(OR(BE22=0,2&lt;=КаникулыРоялти),0,BE22*IF(РоялтиПоГруппам="Да",MeanMinAge02+BE9*SUMIF(ThresholdAge02,"&lt;"&amp;BE9,WeightedRevAge02)-SUMIF(ThresholdAge02,"&lt;"&amp;BE9,WeightedMinAge02),MAX(CapacityAge02*АбонементНовых*BE9,MeanMinAge02)))</f>
        <v/>
      </c>
      <c r="BF49" s="87">
        <f>IF(OR(BF22=0,2&lt;=КаникулыРоялти),0,BF22*IF(РоялтиПоГруппам="Да",MeanMinAge02+BF9*SUMIF(ThresholdAge02,"&lt;"&amp;BF9,WeightedRevAge02)-SUMIF(ThresholdAge02,"&lt;"&amp;BF9,WeightedMinAge02),MAX(CapacityAge02*АбонементНовых*BF9,MeanMinAge02)))</f>
        <v/>
      </c>
      <c r="BG49" s="87">
        <f>IF(OR(BG22=0,2&lt;=КаникулыРоялти),0,BG22*IF(РоялтиПоГруппам="Да",MeanMinAge02+BG9*SUMIF(ThresholdAge02,"&lt;"&amp;BG9,WeightedRevAge02)-SUMIF(ThresholdAge02,"&lt;"&amp;BG9,WeightedMinAge02),MAX(CapacityAge02*АбонементНовых*BG9,MeanMinAge02)))</f>
        <v/>
      </c>
      <c r="BH49" s="87">
        <f>IF(OR(BH22=0,2&lt;=КаникулыРоялти),0,BH22*IF(РоялтиПоГруппам="Да",MeanMinAge02+BH9*SUMIF(ThresholdAge02,"&lt;"&amp;BH9,WeightedRevAge02)-SUMIF(ThresholdAge02,"&lt;"&amp;BH9,WeightedMinAge02),MAX(CapacityAge02*АбонементНовых*BH9,MeanMinAge02)))</f>
        <v/>
      </c>
      <c r="BI49" s="87">
        <f>IF(OR(BI22=0,2&lt;=КаникулыРоялти),0,BI22*IF(РоялтиПоГруппам="Да",MeanMinAge02+BI9*SUMIF(ThresholdAge02,"&lt;"&amp;BI9,WeightedRevAge02)-SUMIF(ThresholdAge02,"&lt;"&amp;BI9,WeightedMinAge02),MAX(CapacityAge02*АбонементНовых*BI9,MeanMinAge02)))</f>
        <v/>
      </c>
      <c r="BJ49" s="87">
        <f>IF(OR(BJ22=0,2&lt;=КаникулыРоялти),0,BJ22*IF(РоялтиПоГруппам="Да",MeanMinAge02+BJ9*SUMIF(ThresholdAge02,"&lt;"&amp;BJ9,WeightedRevAge02)-SUMIF(ThresholdAge02,"&lt;"&amp;BJ9,WeightedMinAge02),MAX(CapacityAge02*АбонементНовых*BJ9,MeanMinAge02)))</f>
        <v/>
      </c>
      <c r="BK49" s="87">
        <f>IF(OR(BK22=0,2&lt;=КаникулыРоялти),0,BK22*IF(РоялтиПоГруппам="Да",MeanMinAge02+BK9*SUMIF(ThresholdAge02,"&lt;"&amp;BK9,WeightedRevAge02)-SUMIF(ThresholdAge02,"&lt;"&amp;BK9,WeightedMinAge02),MAX(CapacityAge02*АбонементНовых*BK9,MeanMinAge02)))</f>
        <v/>
      </c>
      <c r="BL49" s="87">
        <f>IF(OR(BL22=0,2&lt;=КаникулыРоялти),0,BL22*IF(РоялтиПоГруппам="Да",MeanMinAge02+BL9*SUMIF(ThresholdAge02,"&lt;"&amp;BL9,WeightedRevAge02)-SUMIF(ThresholdAge02,"&lt;"&amp;BL9,WeightedMinAge02),MAX(CapacityAge02*АбонементНовых*BL9,MeanMinAge02)))</f>
        <v/>
      </c>
      <c r="BM49" s="87">
        <f>IF(OR(BM22=0,2&lt;=КаникулыРоялти),0,BM22*IF(РоялтиПоГруппам="Да",MeanMinAge02+BM9*SUMIF(ThresholdAge02,"&lt;"&amp;BM9,WeightedRevAge02)-SUMIF(ThresholdAge02,"&lt;"&amp;BM9,WeightedMinAge02),MAX(CapacityAge02*АбонементНовых*BM9,MeanMinAge02)))</f>
        <v/>
      </c>
      <c r="BN49" s="87">
        <f>IF(OR(BN22=0,2&lt;=КаникулыРоялти),0,BN22*IF(РоялтиПоГруппам="Да",MeanMinAge02+BN9*SUMIF(ThresholdAge02,"&lt;"&amp;BN9,WeightedRevAge02)-SUMIF(ThresholdAge02,"&lt;"&amp;BN9,WeightedMinAge02),MAX(CapacityAge02*АбонементНовых*BN9,MeanMinAge02)))</f>
        <v/>
      </c>
      <c r="BO49" s="87">
        <f>IF(OR(BO22=0,2&lt;=КаникулыРоялти),0,BO22*IF(РоялтиПоГруппам="Да",MeanMinAge02+BO9*SUMIF(ThresholdAge02,"&lt;"&amp;BO9,WeightedRevAge02)-SUMIF(ThresholdAge02,"&lt;"&amp;BO9,WeightedMinAge02),MAX(CapacityAge02*АбонементНовых*BO9,MeanMinAge02)))</f>
        <v/>
      </c>
      <c r="BP49" s="87">
        <f>IF(OR(BP22=0,2&lt;=КаникулыРоялти),0,BP22*IF(РоялтиПоГруппам="Да",MeanMinAge02+BP9*SUMIF(ThresholdAge02,"&lt;"&amp;BP9,WeightedRevAge02)-SUMIF(ThresholdAge02,"&lt;"&amp;BP9,WeightedMinAge02),MAX(CapacityAge02*АбонементНовых*BP9,MeanMinAge02)))</f>
        <v/>
      </c>
      <c r="BQ49" s="87">
        <f>IF(OR(BQ22=0,2&lt;=КаникулыРоялти),0,BQ22*IF(РоялтиПоГруппам="Да",MeanMinAge02+BQ9*SUMIF(ThresholdAge02,"&lt;"&amp;BQ9,WeightedRevAge02)-SUMIF(ThresholdAge02,"&lt;"&amp;BQ9,WeightedMinAge02),MAX(CapacityAge02*АбонементНовых*BQ9,MeanMinAge02)))</f>
        <v/>
      </c>
      <c r="BR49" s="87">
        <f>IF(OR(BR22=0,2&lt;=КаникулыРоялти),0,BR22*IF(РоялтиПоГруппам="Да",MeanMinAge02+BR9*SUMIF(ThresholdAge02,"&lt;"&amp;BR9,WeightedRevAge02)-SUMIF(ThresholdAge02,"&lt;"&amp;BR9,WeightedMinAge02),MAX(CapacityAge02*АбонементНовых*BR9,MeanMinAge02)))</f>
        <v/>
      </c>
      <c r="BS49" s="87">
        <f>IF(OR(BS22=0,2&lt;=КаникулыРоялти),0,BS22*IF(РоялтиПоГруппам="Да",MeanMinAge02+BS9*SUMIF(ThresholdAge02,"&lt;"&amp;BS9,WeightedRevAge02)-SUMIF(ThresholdAge02,"&lt;"&amp;BS9,WeightedMinAge02),MAX(CapacityAge02*АбонементНовых*BS9,MeanMinAge02)))</f>
        <v/>
      </c>
      <c r="BT49" s="87">
        <f>IF(OR(BT22=0,2&lt;=КаникулыРоялти),0,BT22*IF(РоялтиПоГруппам="Да",MeanMinAge02+BT9*SUMIF(ThresholdAge02,"&lt;"&amp;BT9,WeightedRevAge02)-SUMIF(ThresholdAge02,"&lt;"&amp;BT9,WeightedMinAge02),MAX(CapacityAge02*АбонементНовых*BT9,MeanMinAge02)))</f>
        <v/>
      </c>
      <c r="BU49" s="87">
        <f>IF(OR(BU22=0,2&lt;=КаникулыРоялти),0,BU22*IF(РоялтиПоГруппам="Да",MeanMinAge02+BU9*SUMIF(ThresholdAge02,"&lt;"&amp;BU9,WeightedRevAge02)-SUMIF(ThresholdAge02,"&lt;"&amp;BU9,WeightedMinAge02),MAX(CapacityAge02*АбонементНовых*BU9,MeanMinAge02)))</f>
        <v/>
      </c>
      <c r="BV49" s="87">
        <f>IF(OR(BV22=0,2&lt;=КаникулыРоялти),0,BV22*IF(РоялтиПоГруппам="Да",MeanMinAge02+BV9*SUMIF(ThresholdAge02,"&lt;"&amp;BV9,WeightedRevAge02)-SUMIF(ThresholdAge02,"&lt;"&amp;BV9,WeightedMinAge02),MAX(CapacityAge02*АбонементНовых*BV9,MeanMinAge02)))</f>
        <v/>
      </c>
      <c r="BW49" s="87">
        <f>IF(OR(BW22=0,2&lt;=КаникулыРоялти),0,BW22*IF(РоялтиПоГруппам="Да",MeanMinAge02+BW9*SUMIF(ThresholdAge02,"&lt;"&amp;BW9,WeightedRevAge02)-SUMIF(ThresholdAge02,"&lt;"&amp;BW9,WeightedMinAge02),MAX(CapacityAge02*АбонементНовых*BW9,MeanMinAge02)))</f>
        <v/>
      </c>
      <c r="BX49" s="87">
        <f>IF(OR(BX22=0,2&lt;=КаникулыРоялти),0,BX22*IF(РоялтиПоГруппам="Да",MeanMinAge02+BX9*SUMIF(ThresholdAge02,"&lt;"&amp;BX9,WeightedRevAge02)-SUMIF(ThresholdAge02,"&lt;"&amp;BX9,WeightedMinAge02),MAX(CapacityAge02*АбонементНовых*BX9,MeanMinAge02)))</f>
        <v/>
      </c>
      <c r="BY49" s="87">
        <f>IF(OR(BY22=0,2&lt;=КаникулыРоялти),0,BY22*IF(РоялтиПоГруппам="Да",MeanMinAge02+BY9*SUMIF(ThresholdAge02,"&lt;"&amp;BY9,WeightedRevAge02)-SUMIF(ThresholdAge02,"&lt;"&amp;BY9,WeightedMinAge02),MAX(CapacityAge02*АбонементНовых*BY9,MeanMinAge02)))</f>
        <v/>
      </c>
    </row>
    <row r="50" ht="15.75" customHeight="1" s="194">
      <c r="B50" s="56" t="inlineStr">
        <is>
          <t>3 мес.</t>
        </is>
      </c>
      <c r="C50" s="56" t="inlineStr">
        <is>
          <t>₽</t>
        </is>
      </c>
      <c r="D50" s="57" t="n"/>
      <c r="E50" s="85">
        <f>SUM(L50:W50)</f>
        <v/>
      </c>
      <c r="F50" s="85">
        <f>SUM(X50:AI50)</f>
        <v/>
      </c>
      <c r="G50" s="85">
        <f>SUM(AJ50:AU50)</f>
        <v/>
      </c>
      <c r="H50" s="85">
        <f>SUM(AV50:BG50)</f>
        <v/>
      </c>
      <c r="I50" s="85">
        <f>SUM(BH50:BS50)</f>
        <v/>
      </c>
      <c r="J50" s="86">
        <f>SUM(L50:BS50)</f>
        <v/>
      </c>
      <c r="L50" s="87">
        <f>IF(OR(L23=0,3&lt;=КаникулыРоялти),0,L23*IF(РоялтиПоГруппам="Да",MeanMinAge03+L9*SUMIF(ThresholdAge03,"&lt;"&amp;L9,WeightedRevAge03)-SUMIF(ThresholdAge03,"&lt;"&amp;L9,WeightedMinAge03),MAX(CapacityAge03*АбонементНовых*L9,MeanMinAge03)))</f>
        <v/>
      </c>
      <c r="M50" s="87">
        <f>IF(OR(M23=0,3&lt;=КаникулыРоялти),0,M23*IF(РоялтиПоГруппам="Да",MeanMinAge03+M9*SUMIF(ThresholdAge03,"&lt;"&amp;M9,WeightedRevAge03)-SUMIF(ThresholdAge03,"&lt;"&amp;M9,WeightedMinAge03),MAX(CapacityAge03*АбонементНовых*M9,MeanMinAge03)))</f>
        <v/>
      </c>
      <c r="N50" s="87">
        <f>IF(OR(N23=0,3&lt;=КаникулыРоялти),0,N23*IF(РоялтиПоГруппам="Да",MeanMinAge03+N9*SUMIF(ThresholdAge03,"&lt;"&amp;N9,WeightedRevAge03)-SUMIF(ThresholdAge03,"&lt;"&amp;N9,WeightedMinAge03),MAX(CapacityAge03*АбонементНовых*N9,MeanMinAge03)))</f>
        <v/>
      </c>
      <c r="O50" s="87">
        <f>IF(OR(O23=0,3&lt;=КаникулыРоялти),0,O23*IF(РоялтиПоГруппам="Да",MeanMinAge03+O9*SUMIF(ThresholdAge03,"&lt;"&amp;O9,WeightedRevAge03)-SUMIF(ThresholdAge03,"&lt;"&amp;O9,WeightedMinAge03),MAX(CapacityAge03*АбонементНовых*O9,MeanMinAge03)))</f>
        <v/>
      </c>
      <c r="P50" s="87">
        <f>IF(OR(P23=0,3&lt;=КаникулыРоялти),0,P23*IF(РоялтиПоГруппам="Да",MeanMinAge03+P9*SUMIF(ThresholdAge03,"&lt;"&amp;P9,WeightedRevAge03)-SUMIF(ThresholdAge03,"&lt;"&amp;P9,WeightedMinAge03),MAX(CapacityAge03*АбонементНовых*P9,MeanMinAge03)))</f>
        <v/>
      </c>
      <c r="Q50" s="87">
        <f>IF(OR(Q23=0,3&lt;=КаникулыРоялти),0,Q23*IF(РоялтиПоГруппам="Да",MeanMinAge03+Q9*SUMIF(ThresholdAge03,"&lt;"&amp;Q9,WeightedRevAge03)-SUMIF(ThresholdAge03,"&lt;"&amp;Q9,WeightedMinAge03),MAX(CapacityAge03*АбонементНовых*Q9,MeanMinAge03)))</f>
        <v/>
      </c>
      <c r="R50" s="87">
        <f>IF(OR(R23=0,3&lt;=КаникулыРоялти),0,R23*IF(РоялтиПоГруппам="Да",MeanMinAge03+R9*SUMIF(ThresholdAge03,"&lt;"&amp;R9,WeightedRevAge03)-SUMIF(ThresholdAge03,"&lt;"&amp;R9,WeightedMinAge03),MAX(CapacityAge03*АбонементНовых*R9,MeanMinAge03)))</f>
        <v/>
      </c>
      <c r="S50" s="87">
        <f>IF(OR(S23=0,3&lt;=КаникулыРоялти),0,S23*IF(РоялтиПоГруппам="Да",MeanMinAge03+S9*SUMIF(ThresholdAge03,"&lt;"&amp;S9,WeightedRevAge03)-SUMIF(ThresholdAge03,"&lt;"&amp;S9,WeightedMinAge03),MAX(CapacityAge03*АбонементНовых*S9,MeanMinAge03)))</f>
        <v/>
      </c>
      <c r="T50" s="87">
        <f>IF(OR(T23=0,3&lt;=КаникулыРоялти),0,T23*IF(РоялтиПоГруппам="Да",MeanMinAge03+T9*SUMIF(ThresholdAge03,"&lt;"&amp;T9,WeightedRevAge03)-SUMIF(ThresholdAge03,"&lt;"&amp;T9,WeightedMinAge03),MAX(CapacityAge03*АбонементНовых*T9,MeanMinAge03)))</f>
        <v/>
      </c>
      <c r="U50" s="87">
        <f>IF(OR(U23=0,3&lt;=КаникулыРоялти),0,U23*IF(РоялтиПоГруппам="Да",MeanMinAge03+U9*SUMIF(ThresholdAge03,"&lt;"&amp;U9,WeightedRevAge03)-SUMIF(ThresholdAge03,"&lt;"&amp;U9,WeightedMinAge03),MAX(CapacityAge03*АбонементНовых*U9,MeanMinAge03)))</f>
        <v/>
      </c>
      <c r="V50" s="87">
        <f>IF(OR(V23=0,3&lt;=КаникулыРоялти),0,V23*IF(РоялтиПоГруппам="Да",MeanMinAge03+V9*SUMIF(ThresholdAge03,"&lt;"&amp;V9,WeightedRevAge03)-SUMIF(ThresholdAge03,"&lt;"&amp;V9,WeightedMinAge03),MAX(CapacityAge03*АбонементНовых*V9,MeanMinAge03)))</f>
        <v/>
      </c>
      <c r="W50" s="87">
        <f>IF(OR(W23=0,3&lt;=КаникулыРоялти),0,W23*IF(РоялтиПоГруппам="Да",MeanMinAge03+W9*SUMIF(ThresholdAge03,"&lt;"&amp;W9,WeightedRevAge03)-SUMIF(ThresholdAge03,"&lt;"&amp;W9,WeightedMinAge03),MAX(CapacityAge03*АбонементНовых*W9,MeanMinAge03)))</f>
        <v/>
      </c>
      <c r="X50" s="87">
        <f>IF(OR(X23=0,3&lt;=КаникулыРоялти),0,X23*IF(РоялтиПоГруппам="Да",MeanMinAge03+X9*SUMIF(ThresholdAge03,"&lt;"&amp;X9,WeightedRevAge03)-SUMIF(ThresholdAge03,"&lt;"&amp;X9,WeightedMinAge03),MAX(CapacityAge03*АбонементНовых*X9,MeanMinAge03)))</f>
        <v/>
      </c>
      <c r="Y50" s="87">
        <f>IF(OR(Y23=0,3&lt;=КаникулыРоялти),0,Y23*IF(РоялтиПоГруппам="Да",MeanMinAge03+Y9*SUMIF(ThresholdAge03,"&lt;"&amp;Y9,WeightedRevAge03)-SUMIF(ThresholdAge03,"&lt;"&amp;Y9,WeightedMinAge03),MAX(CapacityAge03*АбонементНовых*Y9,MeanMinAge03)))</f>
        <v/>
      </c>
      <c r="Z50" s="87">
        <f>IF(OR(Z23=0,3&lt;=КаникулыРоялти),0,Z23*IF(РоялтиПоГруппам="Да",MeanMinAge03+Z9*SUMIF(ThresholdAge03,"&lt;"&amp;Z9,WeightedRevAge03)-SUMIF(ThresholdAge03,"&lt;"&amp;Z9,WeightedMinAge03),MAX(CapacityAge03*АбонементНовых*Z9,MeanMinAge03)))</f>
        <v/>
      </c>
      <c r="AA50" s="87">
        <f>IF(OR(AA23=0,3&lt;=КаникулыРоялти),0,AA23*IF(РоялтиПоГруппам="Да",MeanMinAge03+AA9*SUMIF(ThresholdAge03,"&lt;"&amp;AA9,WeightedRevAge03)-SUMIF(ThresholdAge03,"&lt;"&amp;AA9,WeightedMinAge03),MAX(CapacityAge03*АбонементНовых*AA9,MeanMinAge03)))</f>
        <v/>
      </c>
      <c r="AB50" s="87">
        <f>IF(OR(AB23=0,3&lt;=КаникулыРоялти),0,AB23*IF(РоялтиПоГруппам="Да",MeanMinAge03+AB9*SUMIF(ThresholdAge03,"&lt;"&amp;AB9,WeightedRevAge03)-SUMIF(ThresholdAge03,"&lt;"&amp;AB9,WeightedMinAge03),MAX(CapacityAge03*АбонементНовых*AB9,MeanMinAge03)))</f>
        <v/>
      </c>
      <c r="AC50" s="87">
        <f>IF(OR(AC23=0,3&lt;=КаникулыРоялти),0,AC23*IF(РоялтиПоГруппам="Да",MeanMinAge03+AC9*SUMIF(ThresholdAge03,"&lt;"&amp;AC9,WeightedRevAge03)-SUMIF(ThresholdAge03,"&lt;"&amp;AC9,WeightedMinAge03),MAX(CapacityAge03*АбонементНовых*AC9,MeanMinAge03)))</f>
        <v/>
      </c>
      <c r="AD50" s="87">
        <f>IF(OR(AD23=0,3&lt;=КаникулыРоялти),0,AD23*IF(РоялтиПоГруппам="Да",MeanMinAge03+AD9*SUMIF(ThresholdAge03,"&lt;"&amp;AD9,WeightedRevAge03)-SUMIF(ThresholdAge03,"&lt;"&amp;AD9,WeightedMinAge03),MAX(CapacityAge03*АбонементНовых*AD9,MeanMinAge03)))</f>
        <v/>
      </c>
      <c r="AE50" s="87">
        <f>IF(OR(AE23=0,3&lt;=КаникулыРоялти),0,AE23*IF(РоялтиПоГруппам="Да",MeanMinAge03+AE9*SUMIF(ThresholdAge03,"&lt;"&amp;AE9,WeightedRevAge03)-SUMIF(ThresholdAge03,"&lt;"&amp;AE9,WeightedMinAge03),MAX(CapacityAge03*АбонементНовых*AE9,MeanMinAge03)))</f>
        <v/>
      </c>
      <c r="AF50" s="87">
        <f>IF(OR(AF23=0,3&lt;=КаникулыРоялти),0,AF23*IF(РоялтиПоГруппам="Да",MeanMinAge03+AF9*SUMIF(ThresholdAge03,"&lt;"&amp;AF9,WeightedRevAge03)-SUMIF(ThresholdAge03,"&lt;"&amp;AF9,WeightedMinAge03),MAX(CapacityAge03*АбонементНовых*AF9,MeanMinAge03)))</f>
        <v/>
      </c>
      <c r="AG50" s="87">
        <f>IF(OR(AG23=0,3&lt;=КаникулыРоялти),0,AG23*IF(РоялтиПоГруппам="Да",MeanMinAge03+AG9*SUMIF(ThresholdAge03,"&lt;"&amp;AG9,WeightedRevAge03)-SUMIF(ThresholdAge03,"&lt;"&amp;AG9,WeightedMinAge03),MAX(CapacityAge03*АбонементНовых*AG9,MeanMinAge03)))</f>
        <v/>
      </c>
      <c r="AH50" s="87">
        <f>IF(OR(AH23=0,3&lt;=КаникулыРоялти),0,AH23*IF(РоялтиПоГруппам="Да",MeanMinAge03+AH9*SUMIF(ThresholdAge03,"&lt;"&amp;AH9,WeightedRevAge03)-SUMIF(ThresholdAge03,"&lt;"&amp;AH9,WeightedMinAge03),MAX(CapacityAge03*АбонементНовых*AH9,MeanMinAge03)))</f>
        <v/>
      </c>
      <c r="AI50" s="87">
        <f>IF(OR(AI23=0,3&lt;=КаникулыРоялти),0,AI23*IF(РоялтиПоГруппам="Да",MeanMinAge03+AI9*SUMIF(ThresholdAge03,"&lt;"&amp;AI9,WeightedRevAge03)-SUMIF(ThresholdAge03,"&lt;"&amp;AI9,WeightedMinAge03),MAX(CapacityAge03*АбонементНовых*AI9,MeanMinAge03)))</f>
        <v/>
      </c>
      <c r="AJ50" s="87">
        <f>IF(OR(AJ23=0,3&lt;=КаникулыРоялти),0,AJ23*IF(РоялтиПоГруппам="Да",MeanMinAge03+AJ9*SUMIF(ThresholdAge03,"&lt;"&amp;AJ9,WeightedRevAge03)-SUMIF(ThresholdAge03,"&lt;"&amp;AJ9,WeightedMinAge03),MAX(CapacityAge03*АбонементНовых*AJ9,MeanMinAge03)))</f>
        <v/>
      </c>
      <c r="AK50" s="87">
        <f>IF(OR(AK23=0,3&lt;=КаникулыРоялти),0,AK23*IF(РоялтиПоГруппам="Да",MeanMinAge03+AK9*SUMIF(ThresholdAge03,"&lt;"&amp;AK9,WeightedRevAge03)-SUMIF(ThresholdAge03,"&lt;"&amp;AK9,WeightedMinAge03),MAX(CapacityAge03*АбонементНовых*AK9,MeanMinAge03)))</f>
        <v/>
      </c>
      <c r="AL50" s="87">
        <f>IF(OR(AL23=0,3&lt;=КаникулыРоялти),0,AL23*IF(РоялтиПоГруппам="Да",MeanMinAge03+AL9*SUMIF(ThresholdAge03,"&lt;"&amp;AL9,WeightedRevAge03)-SUMIF(ThresholdAge03,"&lt;"&amp;AL9,WeightedMinAge03),MAX(CapacityAge03*АбонементНовых*AL9,MeanMinAge03)))</f>
        <v/>
      </c>
      <c r="AM50" s="87">
        <f>IF(OR(AM23=0,3&lt;=КаникулыРоялти),0,AM23*IF(РоялтиПоГруппам="Да",MeanMinAge03+AM9*SUMIF(ThresholdAge03,"&lt;"&amp;AM9,WeightedRevAge03)-SUMIF(ThresholdAge03,"&lt;"&amp;AM9,WeightedMinAge03),MAX(CapacityAge03*АбонементНовых*AM9,MeanMinAge03)))</f>
        <v/>
      </c>
      <c r="AN50" s="87">
        <f>IF(OR(AN23=0,3&lt;=КаникулыРоялти),0,AN23*IF(РоялтиПоГруппам="Да",MeanMinAge03+AN9*SUMIF(ThresholdAge03,"&lt;"&amp;AN9,WeightedRevAge03)-SUMIF(ThresholdAge03,"&lt;"&amp;AN9,WeightedMinAge03),MAX(CapacityAge03*АбонементНовых*AN9,MeanMinAge03)))</f>
        <v/>
      </c>
      <c r="AO50" s="87">
        <f>IF(OR(AO23=0,3&lt;=КаникулыРоялти),0,AO23*IF(РоялтиПоГруппам="Да",MeanMinAge03+AO9*SUMIF(ThresholdAge03,"&lt;"&amp;AO9,WeightedRevAge03)-SUMIF(ThresholdAge03,"&lt;"&amp;AO9,WeightedMinAge03),MAX(CapacityAge03*АбонементНовых*AO9,MeanMinAge03)))</f>
        <v/>
      </c>
      <c r="AP50" s="87">
        <f>IF(OR(AP23=0,3&lt;=КаникулыРоялти),0,AP23*IF(РоялтиПоГруппам="Да",MeanMinAge03+AP9*SUMIF(ThresholdAge03,"&lt;"&amp;AP9,WeightedRevAge03)-SUMIF(ThresholdAge03,"&lt;"&amp;AP9,WeightedMinAge03),MAX(CapacityAge03*АбонементНовых*AP9,MeanMinAge03)))</f>
        <v/>
      </c>
      <c r="AQ50" s="87">
        <f>IF(OR(AQ23=0,3&lt;=КаникулыРоялти),0,AQ23*IF(РоялтиПоГруппам="Да",MeanMinAge03+AQ9*SUMIF(ThresholdAge03,"&lt;"&amp;AQ9,WeightedRevAge03)-SUMIF(ThresholdAge03,"&lt;"&amp;AQ9,WeightedMinAge03),MAX(CapacityAge03*АбонементНовых*AQ9,MeanMinAge03)))</f>
        <v/>
      </c>
      <c r="AR50" s="87">
        <f>IF(OR(AR23=0,3&lt;=КаникулыРоялти),0,AR23*IF(РоялтиПоГруппам="Да",MeanMinAge03+AR9*SUMIF(ThresholdAge03,"&lt;"&amp;AR9,WeightedRevAge03)-SUMIF(ThresholdAge03,"&lt;"&amp;AR9,WeightedMinAge03),MAX(CapacityAge03*АбонементНовых*AR9,MeanMinAge03)))</f>
        <v/>
      </c>
      <c r="AS50" s="87">
        <f>IF(OR(AS23=0,3&lt;=КаникулыРоялти),0,AS23*IF(РоялтиПоГруппам="Да",MeanMinAge03+AS9*SUMIF(ThresholdAge03,"&lt;"&amp;AS9,WeightedRevAge03)-SUMIF(ThresholdAge03,"&lt;"&amp;AS9,WeightedMinAge03),MAX(CapacityAge03*АбонементНовых*AS9,MeanMinAge03)))</f>
        <v/>
      </c>
      <c r="AT50" s="87">
        <f>IF(OR(AT23=0,3&lt;=КаникулыРоялти),0,AT23*IF(РоялтиПоГруппам="Да",MeanMinAge03+AT9*SUMIF(ThresholdAge03,"&lt;"&amp;AT9,WeightedRevAge03)-SUMIF(ThresholdAge03,"&lt;"&amp;AT9,WeightedMinAge03),MAX(CapacityAge03*АбонементНовых*AT9,MeanMinAge03)))</f>
        <v/>
      </c>
      <c r="AU50" s="87">
        <f>IF(OR(AU23=0,3&lt;=КаникулыРоялти),0,AU23*IF(РоялтиПоГруппам="Да",MeanMinAge03+AU9*SUMIF(ThresholdAge03,"&lt;"&amp;AU9,WeightedRevAge03)-SUMIF(ThresholdAge03,"&lt;"&amp;AU9,WeightedMinAge03),MAX(CapacityAge03*АбонементНовых*AU9,MeanMinAge03)))</f>
        <v/>
      </c>
      <c r="AV50" s="87">
        <f>IF(OR(AV23=0,3&lt;=КаникулыРоялти),0,AV23*IF(РоялтиПоГруппам="Да",MeanMinAge03+AV9*SUMIF(ThresholdAge03,"&lt;"&amp;AV9,WeightedRevAge03)-SUMIF(ThresholdAge03,"&lt;"&amp;AV9,WeightedMinAge03),MAX(CapacityAge03*АбонементНовых*AV9,MeanMinAge03)))</f>
        <v/>
      </c>
      <c r="AW50" s="87">
        <f>IF(OR(AW23=0,3&lt;=КаникулыРоялти),0,AW23*IF(РоялтиПоГруппам="Да",MeanMinAge03+AW9*SUMIF(ThresholdAge03,"&lt;"&amp;AW9,WeightedRevAge03)-SUMIF(ThresholdAge03,"&lt;"&amp;AW9,WeightedMinAge03),MAX(CapacityAge03*АбонементНовых*AW9,MeanMinAge03)))</f>
        <v/>
      </c>
      <c r="AX50" s="87">
        <f>IF(OR(AX23=0,3&lt;=КаникулыРоялти),0,AX23*IF(РоялтиПоГруппам="Да",MeanMinAge03+AX9*SUMIF(ThresholdAge03,"&lt;"&amp;AX9,WeightedRevAge03)-SUMIF(ThresholdAge03,"&lt;"&amp;AX9,WeightedMinAge03),MAX(CapacityAge03*АбонементНовых*AX9,MeanMinAge03)))</f>
        <v/>
      </c>
      <c r="AY50" s="87">
        <f>IF(OR(AY23=0,3&lt;=КаникулыРоялти),0,AY23*IF(РоялтиПоГруппам="Да",MeanMinAge03+AY9*SUMIF(ThresholdAge03,"&lt;"&amp;AY9,WeightedRevAge03)-SUMIF(ThresholdAge03,"&lt;"&amp;AY9,WeightedMinAge03),MAX(CapacityAge03*АбонементНовых*AY9,MeanMinAge03)))</f>
        <v/>
      </c>
      <c r="AZ50" s="87">
        <f>IF(OR(AZ23=0,3&lt;=КаникулыРоялти),0,AZ23*IF(РоялтиПоГруппам="Да",MeanMinAge03+AZ9*SUMIF(ThresholdAge03,"&lt;"&amp;AZ9,WeightedRevAge03)-SUMIF(ThresholdAge03,"&lt;"&amp;AZ9,WeightedMinAge03),MAX(CapacityAge03*АбонементНовых*AZ9,MeanMinAge03)))</f>
        <v/>
      </c>
      <c r="BA50" s="87">
        <f>IF(OR(BA23=0,3&lt;=КаникулыРоялти),0,BA23*IF(РоялтиПоГруппам="Да",MeanMinAge03+BA9*SUMIF(ThresholdAge03,"&lt;"&amp;BA9,WeightedRevAge03)-SUMIF(ThresholdAge03,"&lt;"&amp;BA9,WeightedMinAge03),MAX(CapacityAge03*АбонементНовых*BA9,MeanMinAge03)))</f>
        <v/>
      </c>
      <c r="BB50" s="87">
        <f>IF(OR(BB23=0,3&lt;=КаникулыРоялти),0,BB23*IF(РоялтиПоГруппам="Да",MeanMinAge03+BB9*SUMIF(ThresholdAge03,"&lt;"&amp;BB9,WeightedRevAge03)-SUMIF(ThresholdAge03,"&lt;"&amp;BB9,WeightedMinAge03),MAX(CapacityAge03*АбонементНовых*BB9,MeanMinAge03)))</f>
        <v/>
      </c>
      <c r="BC50" s="87">
        <f>IF(OR(BC23=0,3&lt;=КаникулыРоялти),0,BC23*IF(РоялтиПоГруппам="Да",MeanMinAge03+BC9*SUMIF(ThresholdAge03,"&lt;"&amp;BC9,WeightedRevAge03)-SUMIF(ThresholdAge03,"&lt;"&amp;BC9,WeightedMinAge03),MAX(CapacityAge03*АбонементНовых*BC9,MeanMinAge03)))</f>
        <v/>
      </c>
      <c r="BD50" s="87">
        <f>IF(OR(BD23=0,3&lt;=КаникулыРоялти),0,BD23*IF(РоялтиПоГруппам="Да",MeanMinAge03+BD9*SUMIF(ThresholdAge03,"&lt;"&amp;BD9,WeightedRevAge03)-SUMIF(ThresholdAge03,"&lt;"&amp;BD9,WeightedMinAge03),MAX(CapacityAge03*АбонементНовых*BD9,MeanMinAge03)))</f>
        <v/>
      </c>
      <c r="BE50" s="87">
        <f>IF(OR(BE23=0,3&lt;=КаникулыРоялти),0,BE23*IF(РоялтиПоГруппам="Да",MeanMinAge03+BE9*SUMIF(ThresholdAge03,"&lt;"&amp;BE9,WeightedRevAge03)-SUMIF(ThresholdAge03,"&lt;"&amp;BE9,WeightedMinAge03),MAX(CapacityAge03*АбонементНовых*BE9,MeanMinAge03)))</f>
        <v/>
      </c>
      <c r="BF50" s="87">
        <f>IF(OR(BF23=0,3&lt;=КаникулыРоялти),0,BF23*IF(РоялтиПоГруппам="Да",MeanMinAge03+BF9*SUMIF(ThresholdAge03,"&lt;"&amp;BF9,WeightedRevAge03)-SUMIF(ThresholdAge03,"&lt;"&amp;BF9,WeightedMinAge03),MAX(CapacityAge03*АбонементНовых*BF9,MeanMinAge03)))</f>
        <v/>
      </c>
      <c r="BG50" s="87">
        <f>IF(OR(BG23=0,3&lt;=КаникулыРоялти),0,BG23*IF(РоялтиПоГруппам="Да",MeanMinAge03+BG9*SUMIF(ThresholdAge03,"&lt;"&amp;BG9,WeightedRevAge03)-SUMIF(ThresholdAge03,"&lt;"&amp;BG9,WeightedMinAge03),MAX(CapacityAge03*АбонементНовых*BG9,MeanMinAge03)))</f>
        <v/>
      </c>
      <c r="BH50" s="87">
        <f>IF(OR(BH23=0,3&lt;=КаникулыРоялти),0,BH23*IF(РоялтиПоГруппам="Да",MeanMinAge03+BH9*SUMIF(ThresholdAge03,"&lt;"&amp;BH9,WeightedRevAge03)-SUMIF(ThresholdAge03,"&lt;"&amp;BH9,WeightedMinAge03),MAX(CapacityAge03*АбонементНовых*BH9,MeanMinAge03)))</f>
        <v/>
      </c>
      <c r="BI50" s="87">
        <f>IF(OR(BI23=0,3&lt;=КаникулыРоялти),0,BI23*IF(РоялтиПоГруппам="Да",MeanMinAge03+BI9*SUMIF(ThresholdAge03,"&lt;"&amp;BI9,WeightedRevAge03)-SUMIF(ThresholdAge03,"&lt;"&amp;BI9,WeightedMinAge03),MAX(CapacityAge03*АбонементНовых*BI9,MeanMinAge03)))</f>
        <v/>
      </c>
      <c r="BJ50" s="87">
        <f>IF(OR(BJ23=0,3&lt;=КаникулыРоялти),0,BJ23*IF(РоялтиПоГруппам="Да",MeanMinAge03+BJ9*SUMIF(ThresholdAge03,"&lt;"&amp;BJ9,WeightedRevAge03)-SUMIF(ThresholdAge03,"&lt;"&amp;BJ9,WeightedMinAge03),MAX(CapacityAge03*АбонементНовых*BJ9,MeanMinAge03)))</f>
        <v/>
      </c>
      <c r="BK50" s="87">
        <f>IF(OR(BK23=0,3&lt;=КаникулыРоялти),0,BK23*IF(РоялтиПоГруппам="Да",MeanMinAge03+BK9*SUMIF(ThresholdAge03,"&lt;"&amp;BK9,WeightedRevAge03)-SUMIF(ThresholdAge03,"&lt;"&amp;BK9,WeightedMinAge03),MAX(CapacityAge03*АбонементНовых*BK9,MeanMinAge03)))</f>
        <v/>
      </c>
      <c r="BL50" s="87">
        <f>IF(OR(BL23=0,3&lt;=КаникулыРоялти),0,BL23*IF(РоялтиПоГруппам="Да",MeanMinAge03+BL9*SUMIF(ThresholdAge03,"&lt;"&amp;BL9,WeightedRevAge03)-SUMIF(ThresholdAge03,"&lt;"&amp;BL9,WeightedMinAge03),MAX(CapacityAge03*АбонементНовых*BL9,MeanMinAge03)))</f>
        <v/>
      </c>
      <c r="BM50" s="87">
        <f>IF(OR(BM23=0,3&lt;=КаникулыРоялти),0,BM23*IF(РоялтиПоГруппам="Да",MeanMinAge03+BM9*SUMIF(ThresholdAge03,"&lt;"&amp;BM9,WeightedRevAge03)-SUMIF(ThresholdAge03,"&lt;"&amp;BM9,WeightedMinAge03),MAX(CapacityAge03*АбонементНовых*BM9,MeanMinAge03)))</f>
        <v/>
      </c>
      <c r="BN50" s="87">
        <f>IF(OR(BN23=0,3&lt;=КаникулыРоялти),0,BN23*IF(РоялтиПоГруппам="Да",MeanMinAge03+BN9*SUMIF(ThresholdAge03,"&lt;"&amp;BN9,WeightedRevAge03)-SUMIF(ThresholdAge03,"&lt;"&amp;BN9,WeightedMinAge03),MAX(CapacityAge03*АбонементНовых*BN9,MeanMinAge03)))</f>
        <v/>
      </c>
      <c r="BO50" s="87">
        <f>IF(OR(BO23=0,3&lt;=КаникулыРоялти),0,BO23*IF(РоялтиПоГруппам="Да",MeanMinAge03+BO9*SUMIF(ThresholdAge03,"&lt;"&amp;BO9,WeightedRevAge03)-SUMIF(ThresholdAge03,"&lt;"&amp;BO9,WeightedMinAge03),MAX(CapacityAge03*АбонементНовых*BO9,MeanMinAge03)))</f>
        <v/>
      </c>
      <c r="BP50" s="87">
        <f>IF(OR(BP23=0,3&lt;=КаникулыРоялти),0,BP23*IF(РоялтиПоГруппам="Да",MeanMinAge03+BP9*SUMIF(ThresholdAge03,"&lt;"&amp;BP9,WeightedRevAge03)-SUMIF(ThresholdAge03,"&lt;"&amp;BP9,WeightedMinAge03),MAX(CapacityAge03*АбонементНовых*BP9,MeanMinAge03)))</f>
        <v/>
      </c>
      <c r="BQ50" s="87">
        <f>IF(OR(BQ23=0,3&lt;=КаникулыРоялти),0,BQ23*IF(РоялтиПоГруппам="Да",MeanMinAge03+BQ9*SUMIF(ThresholdAge03,"&lt;"&amp;BQ9,WeightedRevAge03)-SUMIF(ThresholdAge03,"&lt;"&amp;BQ9,WeightedMinAge03),MAX(CapacityAge03*АбонементНовых*BQ9,MeanMinAge03)))</f>
        <v/>
      </c>
      <c r="BR50" s="87">
        <f>IF(OR(BR23=0,3&lt;=КаникулыРоялти),0,BR23*IF(РоялтиПоГруппам="Да",MeanMinAge03+BR9*SUMIF(ThresholdAge03,"&lt;"&amp;BR9,WeightedRevAge03)-SUMIF(ThresholdAge03,"&lt;"&amp;BR9,WeightedMinAge03),MAX(CapacityAge03*АбонементНовых*BR9,MeanMinAge03)))</f>
        <v/>
      </c>
      <c r="BS50" s="87">
        <f>IF(OR(BS23=0,3&lt;=КаникулыРоялти),0,BS23*IF(РоялтиПоГруппам="Да",MeanMinAge03+BS9*SUMIF(ThresholdAge03,"&lt;"&amp;BS9,WeightedRevAge03)-SUMIF(ThresholdAge03,"&lt;"&amp;BS9,WeightedMinAge03),MAX(CapacityAge03*АбонементНовых*BS9,MeanMinAge03)))</f>
        <v/>
      </c>
      <c r="BT50" s="87">
        <f>IF(OR(BT23=0,3&lt;=КаникулыРоялти),0,BT23*IF(РоялтиПоГруппам="Да",MeanMinAge03+BT9*SUMIF(ThresholdAge03,"&lt;"&amp;BT9,WeightedRevAge03)-SUMIF(ThresholdAge03,"&lt;"&amp;BT9,WeightedMinAge03),MAX(CapacityAge03*АбонементНовых*BT9,MeanMinAge03)))</f>
        <v/>
      </c>
      <c r="BU50" s="87">
        <f>IF(OR(BU23=0,3&lt;=КаникулыРоялти),0,BU23*IF(РоялтиПоГруппам="Да",MeanMinAge03+BU9*SUMIF(ThresholdAge03,"&lt;"&amp;BU9,WeightedRevAge03)-SUMIF(ThresholdAge03,"&lt;"&amp;BU9,WeightedMinAge03),MAX(CapacityAge03*АбонементНовых*BU9,MeanMinAge03)))</f>
        <v/>
      </c>
      <c r="BV50" s="87">
        <f>IF(OR(BV23=0,3&lt;=КаникулыРоялти),0,BV23*IF(РоялтиПоГруппам="Да",MeanMinAge03+BV9*SUMIF(ThresholdAge03,"&lt;"&amp;BV9,WeightedRevAge03)-SUMIF(ThresholdAge03,"&lt;"&amp;BV9,WeightedMinAge03),MAX(CapacityAge03*АбонементНовых*BV9,MeanMinAge03)))</f>
        <v/>
      </c>
      <c r="BW50" s="87">
        <f>IF(OR(BW23=0,3&lt;=КаникулыРоялти),0,BW23*IF(РоялтиПоГруппам="Да",MeanMinAge03+BW9*SUMIF(ThresholdAge03,"&lt;"&amp;BW9,WeightedRevAge03)-SUMIF(ThresholdAge03,"&lt;"&amp;BW9,WeightedMinAge03),MAX(CapacityAge03*АбонементНовых*BW9,MeanMinAge03)))</f>
        <v/>
      </c>
      <c r="BX50" s="87">
        <f>IF(OR(BX23=0,3&lt;=КаникулыРоялти),0,BX23*IF(РоялтиПоГруппам="Да",MeanMinAge03+BX9*SUMIF(ThresholdAge03,"&lt;"&amp;BX9,WeightedRevAge03)-SUMIF(ThresholdAge03,"&lt;"&amp;BX9,WeightedMinAge03),MAX(CapacityAge03*АбонементНовых*BX9,MeanMinAge03)))</f>
        <v/>
      </c>
      <c r="BY50" s="87">
        <f>IF(OR(BY23=0,3&lt;=КаникулыРоялти),0,BY23*IF(РоялтиПоГруппам="Да",MeanMinAge03+BY9*SUMIF(ThresholdAge03,"&lt;"&amp;BY9,WeightedRevAge03)-SUMIF(ThresholdAge03,"&lt;"&amp;BY9,WeightedMinAge03),MAX(CapacityAge03*АбонементНовых*BY9,MeanMinAge03)))</f>
        <v/>
      </c>
    </row>
    <row r="51" ht="15.75" customHeight="1" s="194">
      <c r="B51" s="56" t="inlineStr">
        <is>
          <t>4 мес.</t>
        </is>
      </c>
      <c r="C51" s="56" t="inlineStr">
        <is>
          <t>₽</t>
        </is>
      </c>
      <c r="D51" s="57" t="n"/>
      <c r="E51" s="85">
        <f>SUM(L51:W51)</f>
        <v/>
      </c>
      <c r="F51" s="85">
        <f>SUM(X51:AI51)</f>
        <v/>
      </c>
      <c r="G51" s="85">
        <f>SUM(AJ51:AU51)</f>
        <v/>
      </c>
      <c r="H51" s="85">
        <f>SUM(AV51:BG51)</f>
        <v/>
      </c>
      <c r="I51" s="85">
        <f>SUM(BH51:BS51)</f>
        <v/>
      </c>
      <c r="J51" s="86">
        <f>SUM(L51:BS51)</f>
        <v/>
      </c>
      <c r="L51" s="87">
        <f>IF(OR(L24=0,4&lt;=КаникулыРоялти),0,L24*IF(РоялтиПоГруппам="Да",MeanMinAge04+L9*SUMIF(ThresholdAge04,"&lt;"&amp;L9,WeightedRevAge04)-SUMIF(ThresholdAge04,"&lt;"&amp;L9,WeightedMinAge04),MAX(CapacityAge04*АбонементНовых*L9,MeanMinAge04)))</f>
        <v/>
      </c>
      <c r="M51" s="87">
        <f>IF(OR(M24=0,4&lt;=КаникулыРоялти),0,M24*IF(РоялтиПоГруппам="Да",MeanMinAge04+M9*SUMIF(ThresholdAge04,"&lt;"&amp;M9,WeightedRevAge04)-SUMIF(ThresholdAge04,"&lt;"&amp;M9,WeightedMinAge04),MAX(CapacityAge04*АбонементНовых*M9,MeanMinAge04)))</f>
        <v/>
      </c>
      <c r="N51" s="87">
        <f>IF(OR(N24=0,4&lt;=КаникулыРоялти),0,N24*IF(РоялтиПоГруппам="Да",MeanMinAge04+N9*SUMIF(ThresholdAge04,"&lt;"&amp;N9,WeightedRevAge04)-SUMIF(ThresholdAge04,"&lt;"&amp;N9,WeightedMinAge04),MAX(CapacityAge04*АбонементНовых*N9,MeanMinAge04)))</f>
        <v/>
      </c>
      <c r="O51" s="87">
        <f>IF(OR(O24=0,4&lt;=КаникулыРоялти),0,O24*IF(РоялтиПоГруппам="Да",MeanMinAge04+O9*SUMIF(ThresholdAge04,"&lt;"&amp;O9,WeightedRevAge04)-SUMIF(ThresholdAge04,"&lt;"&amp;O9,WeightedMinAge04),MAX(CapacityAge04*АбонементНовых*O9,MeanMinAge04)))</f>
        <v/>
      </c>
      <c r="P51" s="87">
        <f>IF(OR(P24=0,4&lt;=КаникулыРоялти),0,P24*IF(РоялтиПоГруппам="Да",MeanMinAge04+P9*SUMIF(ThresholdAge04,"&lt;"&amp;P9,WeightedRevAge04)-SUMIF(ThresholdAge04,"&lt;"&amp;P9,WeightedMinAge04),MAX(CapacityAge04*АбонементНовых*P9,MeanMinAge04)))</f>
        <v/>
      </c>
      <c r="Q51" s="87">
        <f>IF(OR(Q24=0,4&lt;=КаникулыРоялти),0,Q24*IF(РоялтиПоГруппам="Да",MeanMinAge04+Q9*SUMIF(ThresholdAge04,"&lt;"&amp;Q9,WeightedRevAge04)-SUMIF(ThresholdAge04,"&lt;"&amp;Q9,WeightedMinAge04),MAX(CapacityAge04*АбонементНовых*Q9,MeanMinAge04)))</f>
        <v/>
      </c>
      <c r="R51" s="87">
        <f>IF(OR(R24=0,4&lt;=КаникулыРоялти),0,R24*IF(РоялтиПоГруппам="Да",MeanMinAge04+R9*SUMIF(ThresholdAge04,"&lt;"&amp;R9,WeightedRevAge04)-SUMIF(ThresholdAge04,"&lt;"&amp;R9,WeightedMinAge04),MAX(CapacityAge04*АбонементНовых*R9,MeanMinAge04)))</f>
        <v/>
      </c>
      <c r="S51" s="87">
        <f>IF(OR(S24=0,4&lt;=КаникулыРоялти),0,S24*IF(РоялтиПоГруппам="Да",MeanMinAge04+S9*SUMIF(ThresholdAge04,"&lt;"&amp;S9,WeightedRevAge04)-SUMIF(ThresholdAge04,"&lt;"&amp;S9,WeightedMinAge04),MAX(CapacityAge04*АбонементНовых*S9,MeanMinAge04)))</f>
        <v/>
      </c>
      <c r="T51" s="87">
        <f>IF(OR(T24=0,4&lt;=КаникулыРоялти),0,T24*IF(РоялтиПоГруппам="Да",MeanMinAge04+T9*SUMIF(ThresholdAge04,"&lt;"&amp;T9,WeightedRevAge04)-SUMIF(ThresholdAge04,"&lt;"&amp;T9,WeightedMinAge04),MAX(CapacityAge04*АбонементНовых*T9,MeanMinAge04)))</f>
        <v/>
      </c>
      <c r="U51" s="87">
        <f>IF(OR(U24=0,4&lt;=КаникулыРоялти),0,U24*IF(РоялтиПоГруппам="Да",MeanMinAge04+U9*SUMIF(ThresholdAge04,"&lt;"&amp;U9,WeightedRevAge04)-SUMIF(ThresholdAge04,"&lt;"&amp;U9,WeightedMinAge04),MAX(CapacityAge04*АбонементНовых*U9,MeanMinAge04)))</f>
        <v/>
      </c>
      <c r="V51" s="87">
        <f>IF(OR(V24=0,4&lt;=КаникулыРоялти),0,V24*IF(РоялтиПоГруппам="Да",MeanMinAge04+V9*SUMIF(ThresholdAge04,"&lt;"&amp;V9,WeightedRevAge04)-SUMIF(ThresholdAge04,"&lt;"&amp;V9,WeightedMinAge04),MAX(CapacityAge04*АбонементНовых*V9,MeanMinAge04)))</f>
        <v/>
      </c>
      <c r="W51" s="87">
        <f>IF(OR(W24=0,4&lt;=КаникулыРоялти),0,W24*IF(РоялтиПоГруппам="Да",MeanMinAge04+W9*SUMIF(ThresholdAge04,"&lt;"&amp;W9,WeightedRevAge04)-SUMIF(ThresholdAge04,"&lt;"&amp;W9,WeightedMinAge04),MAX(CapacityAge04*АбонементНовых*W9,MeanMinAge04)))</f>
        <v/>
      </c>
      <c r="X51" s="87">
        <f>IF(OR(X24=0,4&lt;=КаникулыРоялти),0,X24*IF(РоялтиПоГруппам="Да",MeanMinAge04+X9*SUMIF(ThresholdAge04,"&lt;"&amp;X9,WeightedRevAge04)-SUMIF(ThresholdAge04,"&lt;"&amp;X9,WeightedMinAge04),MAX(CapacityAge04*АбонементНовых*X9,MeanMinAge04)))</f>
        <v/>
      </c>
      <c r="Y51" s="87">
        <f>IF(OR(Y24=0,4&lt;=КаникулыРоялти),0,Y24*IF(РоялтиПоГруппам="Да",MeanMinAge04+Y9*SUMIF(ThresholdAge04,"&lt;"&amp;Y9,WeightedRevAge04)-SUMIF(ThresholdAge04,"&lt;"&amp;Y9,WeightedMinAge04),MAX(CapacityAge04*АбонементНовых*Y9,MeanMinAge04)))</f>
        <v/>
      </c>
      <c r="Z51" s="87">
        <f>IF(OR(Z24=0,4&lt;=КаникулыРоялти),0,Z24*IF(РоялтиПоГруппам="Да",MeanMinAge04+Z9*SUMIF(ThresholdAge04,"&lt;"&amp;Z9,WeightedRevAge04)-SUMIF(ThresholdAge04,"&lt;"&amp;Z9,WeightedMinAge04),MAX(CapacityAge04*АбонементНовых*Z9,MeanMinAge04)))</f>
        <v/>
      </c>
      <c r="AA51" s="87">
        <f>IF(OR(AA24=0,4&lt;=КаникулыРоялти),0,AA24*IF(РоялтиПоГруппам="Да",MeanMinAge04+AA9*SUMIF(ThresholdAge04,"&lt;"&amp;AA9,WeightedRevAge04)-SUMIF(ThresholdAge04,"&lt;"&amp;AA9,WeightedMinAge04),MAX(CapacityAge04*АбонементНовых*AA9,MeanMinAge04)))</f>
        <v/>
      </c>
      <c r="AB51" s="87">
        <f>IF(OR(AB24=0,4&lt;=КаникулыРоялти),0,AB24*IF(РоялтиПоГруппам="Да",MeanMinAge04+AB9*SUMIF(ThresholdAge04,"&lt;"&amp;AB9,WeightedRevAge04)-SUMIF(ThresholdAge04,"&lt;"&amp;AB9,WeightedMinAge04),MAX(CapacityAge04*АбонементНовых*AB9,MeanMinAge04)))</f>
        <v/>
      </c>
      <c r="AC51" s="87">
        <f>IF(OR(AC24=0,4&lt;=КаникулыРоялти),0,AC24*IF(РоялтиПоГруппам="Да",MeanMinAge04+AC9*SUMIF(ThresholdAge04,"&lt;"&amp;AC9,WeightedRevAge04)-SUMIF(ThresholdAge04,"&lt;"&amp;AC9,WeightedMinAge04),MAX(CapacityAge04*АбонементНовых*AC9,MeanMinAge04)))</f>
        <v/>
      </c>
      <c r="AD51" s="87">
        <f>IF(OR(AD24=0,4&lt;=КаникулыРоялти),0,AD24*IF(РоялтиПоГруппам="Да",MeanMinAge04+AD9*SUMIF(ThresholdAge04,"&lt;"&amp;AD9,WeightedRevAge04)-SUMIF(ThresholdAge04,"&lt;"&amp;AD9,WeightedMinAge04),MAX(CapacityAge04*АбонементНовых*AD9,MeanMinAge04)))</f>
        <v/>
      </c>
      <c r="AE51" s="87">
        <f>IF(OR(AE24=0,4&lt;=КаникулыРоялти),0,AE24*IF(РоялтиПоГруппам="Да",MeanMinAge04+AE9*SUMIF(ThresholdAge04,"&lt;"&amp;AE9,WeightedRevAge04)-SUMIF(ThresholdAge04,"&lt;"&amp;AE9,WeightedMinAge04),MAX(CapacityAge04*АбонементНовых*AE9,MeanMinAge04)))</f>
        <v/>
      </c>
      <c r="AF51" s="87">
        <f>IF(OR(AF24=0,4&lt;=КаникулыРоялти),0,AF24*IF(РоялтиПоГруппам="Да",MeanMinAge04+AF9*SUMIF(ThresholdAge04,"&lt;"&amp;AF9,WeightedRevAge04)-SUMIF(ThresholdAge04,"&lt;"&amp;AF9,WeightedMinAge04),MAX(CapacityAge04*АбонементНовых*AF9,MeanMinAge04)))</f>
        <v/>
      </c>
      <c r="AG51" s="87">
        <f>IF(OR(AG24=0,4&lt;=КаникулыРоялти),0,AG24*IF(РоялтиПоГруппам="Да",MeanMinAge04+AG9*SUMIF(ThresholdAge04,"&lt;"&amp;AG9,WeightedRevAge04)-SUMIF(ThresholdAge04,"&lt;"&amp;AG9,WeightedMinAge04),MAX(CapacityAge04*АбонементНовых*AG9,MeanMinAge04)))</f>
        <v/>
      </c>
      <c r="AH51" s="87">
        <f>IF(OR(AH24=0,4&lt;=КаникулыРоялти),0,AH24*IF(РоялтиПоГруппам="Да",MeanMinAge04+AH9*SUMIF(ThresholdAge04,"&lt;"&amp;AH9,WeightedRevAge04)-SUMIF(ThresholdAge04,"&lt;"&amp;AH9,WeightedMinAge04),MAX(CapacityAge04*АбонементНовых*AH9,MeanMinAge04)))</f>
        <v/>
      </c>
      <c r="AI51" s="87">
        <f>IF(OR(AI24=0,4&lt;=КаникулыРоялти),0,AI24*IF(РоялтиПоГруппам="Да",MeanMinAge04+AI9*SUMIF(ThresholdAge04,"&lt;"&amp;AI9,WeightedRevAge04)-SUMIF(ThresholdAge04,"&lt;"&amp;AI9,WeightedMinAge04),MAX(CapacityAge04*АбонементНовых*AI9,MeanMinAge04)))</f>
        <v/>
      </c>
      <c r="AJ51" s="87">
        <f>IF(OR(AJ24=0,4&lt;=КаникулыРоялти),0,AJ24*IF(РоялтиПоГруппам="Да",MeanMinAge04+AJ9*SUMIF(ThresholdAge04,"&lt;"&amp;AJ9,WeightedRevAge04)-SUMIF(ThresholdAge04,"&lt;"&amp;AJ9,WeightedMinAge04),MAX(CapacityAge04*АбонементНовых*AJ9,MeanMinAge04)))</f>
        <v/>
      </c>
      <c r="AK51" s="87">
        <f>IF(OR(AK24=0,4&lt;=КаникулыРоялти),0,AK24*IF(РоялтиПоГруппам="Да",MeanMinAge04+AK9*SUMIF(ThresholdAge04,"&lt;"&amp;AK9,WeightedRevAge04)-SUMIF(ThresholdAge04,"&lt;"&amp;AK9,WeightedMinAge04),MAX(CapacityAge04*АбонементНовых*AK9,MeanMinAge04)))</f>
        <v/>
      </c>
      <c r="AL51" s="87">
        <f>IF(OR(AL24=0,4&lt;=КаникулыРоялти),0,AL24*IF(РоялтиПоГруппам="Да",MeanMinAge04+AL9*SUMIF(ThresholdAge04,"&lt;"&amp;AL9,WeightedRevAge04)-SUMIF(ThresholdAge04,"&lt;"&amp;AL9,WeightedMinAge04),MAX(CapacityAge04*АбонементНовых*AL9,MeanMinAge04)))</f>
        <v/>
      </c>
      <c r="AM51" s="87">
        <f>IF(OR(AM24=0,4&lt;=КаникулыРоялти),0,AM24*IF(РоялтиПоГруппам="Да",MeanMinAge04+AM9*SUMIF(ThresholdAge04,"&lt;"&amp;AM9,WeightedRevAge04)-SUMIF(ThresholdAge04,"&lt;"&amp;AM9,WeightedMinAge04),MAX(CapacityAge04*АбонементНовых*AM9,MeanMinAge04)))</f>
        <v/>
      </c>
      <c r="AN51" s="87">
        <f>IF(OR(AN24=0,4&lt;=КаникулыРоялти),0,AN24*IF(РоялтиПоГруппам="Да",MeanMinAge04+AN9*SUMIF(ThresholdAge04,"&lt;"&amp;AN9,WeightedRevAge04)-SUMIF(ThresholdAge04,"&lt;"&amp;AN9,WeightedMinAge04),MAX(CapacityAge04*АбонементНовых*AN9,MeanMinAge04)))</f>
        <v/>
      </c>
      <c r="AO51" s="87">
        <f>IF(OR(AO24=0,4&lt;=КаникулыРоялти),0,AO24*IF(РоялтиПоГруппам="Да",MeanMinAge04+AO9*SUMIF(ThresholdAge04,"&lt;"&amp;AO9,WeightedRevAge04)-SUMIF(ThresholdAge04,"&lt;"&amp;AO9,WeightedMinAge04),MAX(CapacityAge04*АбонементНовых*AO9,MeanMinAge04)))</f>
        <v/>
      </c>
      <c r="AP51" s="87">
        <f>IF(OR(AP24=0,4&lt;=КаникулыРоялти),0,AP24*IF(РоялтиПоГруппам="Да",MeanMinAge04+AP9*SUMIF(ThresholdAge04,"&lt;"&amp;AP9,WeightedRevAge04)-SUMIF(ThresholdAge04,"&lt;"&amp;AP9,WeightedMinAge04),MAX(CapacityAge04*АбонементНовых*AP9,MeanMinAge04)))</f>
        <v/>
      </c>
      <c r="AQ51" s="87">
        <f>IF(OR(AQ24=0,4&lt;=КаникулыРоялти),0,AQ24*IF(РоялтиПоГруппам="Да",MeanMinAge04+AQ9*SUMIF(ThresholdAge04,"&lt;"&amp;AQ9,WeightedRevAge04)-SUMIF(ThresholdAge04,"&lt;"&amp;AQ9,WeightedMinAge04),MAX(CapacityAge04*АбонементНовых*AQ9,MeanMinAge04)))</f>
        <v/>
      </c>
      <c r="AR51" s="87">
        <f>IF(OR(AR24=0,4&lt;=КаникулыРоялти),0,AR24*IF(РоялтиПоГруппам="Да",MeanMinAge04+AR9*SUMIF(ThresholdAge04,"&lt;"&amp;AR9,WeightedRevAge04)-SUMIF(ThresholdAge04,"&lt;"&amp;AR9,WeightedMinAge04),MAX(CapacityAge04*АбонементНовых*AR9,MeanMinAge04)))</f>
        <v/>
      </c>
      <c r="AS51" s="87">
        <f>IF(OR(AS24=0,4&lt;=КаникулыРоялти),0,AS24*IF(РоялтиПоГруппам="Да",MeanMinAge04+AS9*SUMIF(ThresholdAge04,"&lt;"&amp;AS9,WeightedRevAge04)-SUMIF(ThresholdAge04,"&lt;"&amp;AS9,WeightedMinAge04),MAX(CapacityAge04*АбонементНовых*AS9,MeanMinAge04)))</f>
        <v/>
      </c>
      <c r="AT51" s="87">
        <f>IF(OR(AT24=0,4&lt;=КаникулыРоялти),0,AT24*IF(РоялтиПоГруппам="Да",MeanMinAge04+AT9*SUMIF(ThresholdAge04,"&lt;"&amp;AT9,WeightedRevAge04)-SUMIF(ThresholdAge04,"&lt;"&amp;AT9,WeightedMinAge04),MAX(CapacityAge04*АбонементНовых*AT9,MeanMinAge04)))</f>
        <v/>
      </c>
      <c r="AU51" s="87">
        <f>IF(OR(AU24=0,4&lt;=КаникулыРоялти),0,AU24*IF(РоялтиПоГруппам="Да",MeanMinAge04+AU9*SUMIF(ThresholdAge04,"&lt;"&amp;AU9,WeightedRevAge04)-SUMIF(ThresholdAge04,"&lt;"&amp;AU9,WeightedMinAge04),MAX(CapacityAge04*АбонементНовых*AU9,MeanMinAge04)))</f>
        <v/>
      </c>
      <c r="AV51" s="87">
        <f>IF(OR(AV24=0,4&lt;=КаникулыРоялти),0,AV24*IF(РоялтиПоГруппам="Да",MeanMinAge04+AV9*SUMIF(ThresholdAge04,"&lt;"&amp;AV9,WeightedRevAge04)-SUMIF(ThresholdAge04,"&lt;"&amp;AV9,WeightedMinAge04),MAX(CapacityAge04*АбонементНовых*AV9,MeanMinAge04)))</f>
        <v/>
      </c>
      <c r="AW51" s="87">
        <f>IF(OR(AW24=0,4&lt;=КаникулыРоялти),0,AW24*IF(РоялтиПоГруппам="Да",MeanMinAge04+AW9*SUMIF(ThresholdAge04,"&lt;"&amp;AW9,WeightedRevAge04)-SUMIF(ThresholdAge04,"&lt;"&amp;AW9,WeightedMinAge04),MAX(CapacityAge04*АбонементНовых*AW9,MeanMinAge04)))</f>
        <v/>
      </c>
      <c r="AX51" s="87">
        <f>IF(OR(AX24=0,4&lt;=КаникулыРоялти),0,AX24*IF(РоялтиПоГруппам="Да",MeanMinAge04+AX9*SUMIF(ThresholdAge04,"&lt;"&amp;AX9,WeightedRevAge04)-SUMIF(ThresholdAge04,"&lt;"&amp;AX9,WeightedMinAge04),MAX(CapacityAge04*АбонементНовых*AX9,MeanMinAge04)))</f>
        <v/>
      </c>
      <c r="AY51" s="87">
        <f>IF(OR(AY24=0,4&lt;=КаникулыРоялти),0,AY24*IF(РоялтиПоГруппам="Да",MeanMinAge04+AY9*SUMIF(ThresholdAge04,"&lt;"&amp;AY9,WeightedRevAge04)-SUMIF(ThresholdAge04,"&lt;"&amp;AY9,WeightedMinAge04),MAX(CapacityAge04*АбонементНовых*AY9,MeanMinAge04)))</f>
        <v/>
      </c>
      <c r="AZ51" s="87">
        <f>IF(OR(AZ24=0,4&lt;=КаникулыРоялти),0,AZ24*IF(РоялтиПоГруппам="Да",MeanMinAge04+AZ9*SUMIF(ThresholdAge04,"&lt;"&amp;AZ9,WeightedRevAge04)-SUMIF(ThresholdAge04,"&lt;"&amp;AZ9,WeightedMinAge04),MAX(CapacityAge04*АбонементНовых*AZ9,MeanMinAge04)))</f>
        <v/>
      </c>
      <c r="BA51" s="87">
        <f>IF(OR(BA24=0,4&lt;=КаникулыРоялти),0,BA24*IF(РоялтиПоГруппам="Да",MeanMinAge04+BA9*SUMIF(ThresholdAge04,"&lt;"&amp;BA9,WeightedRevAge04)-SUMIF(ThresholdAge04,"&lt;"&amp;BA9,WeightedMinAge04),MAX(CapacityAge04*АбонементНовых*BA9,MeanMinAge04)))</f>
        <v/>
      </c>
      <c r="BB51" s="87">
        <f>IF(OR(BB24=0,4&lt;=КаникулыРоялти),0,BB24*IF(РоялтиПоГруппам="Да",MeanMinAge04+BB9*SUMIF(ThresholdAge04,"&lt;"&amp;BB9,WeightedRevAge04)-SUMIF(ThresholdAge04,"&lt;"&amp;BB9,WeightedMinAge04),MAX(CapacityAge04*АбонементНовых*BB9,MeanMinAge04)))</f>
        <v/>
      </c>
      <c r="BC51" s="87">
        <f>IF(OR(BC24=0,4&lt;=КаникулыРоялти),0,BC24*IF(РоялтиПоГруппам="Да",MeanMinAge04+BC9*SUMIF(ThresholdAge04,"&lt;"&amp;BC9,WeightedRevAge04)-SUMIF(ThresholdAge04,"&lt;"&amp;BC9,WeightedMinAge04),MAX(CapacityAge04*АбонементНовых*BC9,MeanMinAge04)))</f>
        <v/>
      </c>
      <c r="BD51" s="87">
        <f>IF(OR(BD24=0,4&lt;=КаникулыРоялти),0,BD24*IF(РоялтиПоГруппам="Да",MeanMinAge04+BD9*SUMIF(ThresholdAge04,"&lt;"&amp;BD9,WeightedRevAge04)-SUMIF(ThresholdAge04,"&lt;"&amp;BD9,WeightedMinAge04),MAX(CapacityAge04*АбонементНовых*BD9,MeanMinAge04)))</f>
        <v/>
      </c>
      <c r="BE51" s="87">
        <f>IF(OR(BE24=0,4&lt;=КаникулыРоялти),0,BE24*IF(РоялтиПоГруппам="Да",MeanMinAge04+BE9*SUMIF(ThresholdAge04,"&lt;"&amp;BE9,WeightedRevAge04)-SUMIF(ThresholdAge04,"&lt;"&amp;BE9,WeightedMinAge04),MAX(CapacityAge04*АбонементНовых*BE9,MeanMinAge04)))</f>
        <v/>
      </c>
      <c r="BF51" s="87">
        <f>IF(OR(BF24=0,4&lt;=КаникулыРоялти),0,BF24*IF(РоялтиПоГруппам="Да",MeanMinAge04+BF9*SUMIF(ThresholdAge04,"&lt;"&amp;BF9,WeightedRevAge04)-SUMIF(ThresholdAge04,"&lt;"&amp;BF9,WeightedMinAge04),MAX(CapacityAge04*АбонементНовых*BF9,MeanMinAge04)))</f>
        <v/>
      </c>
      <c r="BG51" s="87">
        <f>IF(OR(BG24=0,4&lt;=КаникулыРоялти),0,BG24*IF(РоялтиПоГруппам="Да",MeanMinAge04+BG9*SUMIF(ThresholdAge04,"&lt;"&amp;BG9,WeightedRevAge04)-SUMIF(ThresholdAge04,"&lt;"&amp;BG9,WeightedMinAge04),MAX(CapacityAge04*АбонементНовых*BG9,MeanMinAge04)))</f>
        <v/>
      </c>
      <c r="BH51" s="87">
        <f>IF(OR(BH24=0,4&lt;=КаникулыРоялти),0,BH24*IF(РоялтиПоГруппам="Да",MeanMinAge04+BH9*SUMIF(ThresholdAge04,"&lt;"&amp;BH9,WeightedRevAge04)-SUMIF(ThresholdAge04,"&lt;"&amp;BH9,WeightedMinAge04),MAX(CapacityAge04*АбонементНовых*BH9,MeanMinAge04)))</f>
        <v/>
      </c>
      <c r="BI51" s="87">
        <f>IF(OR(BI24=0,4&lt;=КаникулыРоялти),0,BI24*IF(РоялтиПоГруппам="Да",MeanMinAge04+BI9*SUMIF(ThresholdAge04,"&lt;"&amp;BI9,WeightedRevAge04)-SUMIF(ThresholdAge04,"&lt;"&amp;BI9,WeightedMinAge04),MAX(CapacityAge04*АбонементНовых*BI9,MeanMinAge04)))</f>
        <v/>
      </c>
      <c r="BJ51" s="87">
        <f>IF(OR(BJ24=0,4&lt;=КаникулыРоялти),0,BJ24*IF(РоялтиПоГруппам="Да",MeanMinAge04+BJ9*SUMIF(ThresholdAge04,"&lt;"&amp;BJ9,WeightedRevAge04)-SUMIF(ThresholdAge04,"&lt;"&amp;BJ9,WeightedMinAge04),MAX(CapacityAge04*АбонементНовых*BJ9,MeanMinAge04)))</f>
        <v/>
      </c>
      <c r="BK51" s="87">
        <f>IF(OR(BK24=0,4&lt;=КаникулыРоялти),0,BK24*IF(РоялтиПоГруппам="Да",MeanMinAge04+BK9*SUMIF(ThresholdAge04,"&lt;"&amp;BK9,WeightedRevAge04)-SUMIF(ThresholdAge04,"&lt;"&amp;BK9,WeightedMinAge04),MAX(CapacityAge04*АбонементНовых*BK9,MeanMinAge04)))</f>
        <v/>
      </c>
      <c r="BL51" s="87">
        <f>IF(OR(BL24=0,4&lt;=КаникулыРоялти),0,BL24*IF(РоялтиПоГруппам="Да",MeanMinAge04+BL9*SUMIF(ThresholdAge04,"&lt;"&amp;BL9,WeightedRevAge04)-SUMIF(ThresholdAge04,"&lt;"&amp;BL9,WeightedMinAge04),MAX(CapacityAge04*АбонементНовых*BL9,MeanMinAge04)))</f>
        <v/>
      </c>
      <c r="BM51" s="87">
        <f>IF(OR(BM24=0,4&lt;=КаникулыРоялти),0,BM24*IF(РоялтиПоГруппам="Да",MeanMinAge04+BM9*SUMIF(ThresholdAge04,"&lt;"&amp;BM9,WeightedRevAge04)-SUMIF(ThresholdAge04,"&lt;"&amp;BM9,WeightedMinAge04),MAX(CapacityAge04*АбонементНовых*BM9,MeanMinAge04)))</f>
        <v/>
      </c>
      <c r="BN51" s="87">
        <f>IF(OR(BN24=0,4&lt;=КаникулыРоялти),0,BN24*IF(РоялтиПоГруппам="Да",MeanMinAge04+BN9*SUMIF(ThresholdAge04,"&lt;"&amp;BN9,WeightedRevAge04)-SUMIF(ThresholdAge04,"&lt;"&amp;BN9,WeightedMinAge04),MAX(CapacityAge04*АбонементНовых*BN9,MeanMinAge04)))</f>
        <v/>
      </c>
      <c r="BO51" s="87">
        <f>IF(OR(BO24=0,4&lt;=КаникулыРоялти),0,BO24*IF(РоялтиПоГруппам="Да",MeanMinAge04+BO9*SUMIF(ThresholdAge04,"&lt;"&amp;BO9,WeightedRevAge04)-SUMIF(ThresholdAge04,"&lt;"&amp;BO9,WeightedMinAge04),MAX(CapacityAge04*АбонементНовых*BO9,MeanMinAge04)))</f>
        <v/>
      </c>
      <c r="BP51" s="87">
        <f>IF(OR(BP24=0,4&lt;=КаникулыРоялти),0,BP24*IF(РоялтиПоГруппам="Да",MeanMinAge04+BP9*SUMIF(ThresholdAge04,"&lt;"&amp;BP9,WeightedRevAge04)-SUMIF(ThresholdAge04,"&lt;"&amp;BP9,WeightedMinAge04),MAX(CapacityAge04*АбонементНовых*BP9,MeanMinAge04)))</f>
        <v/>
      </c>
      <c r="BQ51" s="87">
        <f>IF(OR(BQ24=0,4&lt;=КаникулыРоялти),0,BQ24*IF(РоялтиПоГруппам="Да",MeanMinAge04+BQ9*SUMIF(ThresholdAge04,"&lt;"&amp;BQ9,WeightedRevAge04)-SUMIF(ThresholdAge04,"&lt;"&amp;BQ9,WeightedMinAge04),MAX(CapacityAge04*АбонементНовых*BQ9,MeanMinAge04)))</f>
        <v/>
      </c>
      <c r="BR51" s="87">
        <f>IF(OR(BR24=0,4&lt;=КаникулыРоялти),0,BR24*IF(РоялтиПоГруппам="Да",MeanMinAge04+BR9*SUMIF(ThresholdAge04,"&lt;"&amp;BR9,WeightedRevAge04)-SUMIF(ThresholdAge04,"&lt;"&amp;BR9,WeightedMinAge04),MAX(CapacityAge04*АбонементНовых*BR9,MeanMinAge04)))</f>
        <v/>
      </c>
      <c r="BS51" s="87">
        <f>IF(OR(BS24=0,4&lt;=КаникулыРоялти),0,BS24*IF(РоялтиПоГруппам="Да",MeanMinAge04+BS9*SUMIF(ThresholdAge04,"&lt;"&amp;BS9,WeightedRevAge04)-SUMIF(ThresholdAge04,"&lt;"&amp;BS9,WeightedMinAge04),MAX(CapacityAge04*АбонементНовых*BS9,MeanMinAge04)))</f>
        <v/>
      </c>
      <c r="BT51" s="87">
        <f>IF(OR(BT24=0,4&lt;=КаникулыРоялти),0,BT24*IF(РоялтиПоГруппам="Да",MeanMinAge04+BT9*SUMIF(ThresholdAge04,"&lt;"&amp;BT9,WeightedRevAge04)-SUMIF(ThresholdAge04,"&lt;"&amp;BT9,WeightedMinAge04),MAX(CapacityAge04*АбонементНовых*BT9,MeanMinAge04)))</f>
        <v/>
      </c>
      <c r="BU51" s="87">
        <f>IF(OR(BU24=0,4&lt;=КаникулыРоялти),0,BU24*IF(РоялтиПоГруппам="Да",MeanMinAge04+BU9*SUMIF(ThresholdAge04,"&lt;"&amp;BU9,WeightedRevAge04)-SUMIF(ThresholdAge04,"&lt;"&amp;BU9,WeightedMinAge04),MAX(CapacityAge04*АбонементНовых*BU9,MeanMinAge04)))</f>
        <v/>
      </c>
      <c r="BV51" s="87">
        <f>IF(OR(BV24=0,4&lt;=КаникулыРоялти),0,BV24*IF(РоялтиПоГруппам="Да",MeanMinAge04+BV9*SUMIF(ThresholdAge04,"&lt;"&amp;BV9,WeightedRevAge04)-SUMIF(ThresholdAge04,"&lt;"&amp;BV9,WeightedMinAge04),MAX(CapacityAge04*АбонементНовых*BV9,MeanMinAge04)))</f>
        <v/>
      </c>
      <c r="BW51" s="87">
        <f>IF(OR(BW24=0,4&lt;=КаникулыРоялти),0,BW24*IF(РоялтиПоГруппам="Да",MeanMinAge04+BW9*SUMIF(ThresholdAge04,"&lt;"&amp;BW9,WeightedRevAge04)-SUMIF(ThresholdAge04,"&lt;"&amp;BW9,WeightedMinAge04),MAX(CapacityAge04*АбонементНовых*BW9,MeanMinAge04)))</f>
        <v/>
      </c>
      <c r="BX51" s="87">
        <f>IF(OR(BX24=0,4&lt;=КаникулыРоялти),0,BX24*IF(РоялтиПоГруппам="Да",MeanMinAge04+BX9*SUMIF(ThresholdAge04,"&lt;"&amp;BX9,WeightedRevAge04)-SUMIF(ThresholdAge04,"&lt;"&amp;BX9,WeightedMinAge04),MAX(CapacityAge04*АбонементНовых*BX9,MeanMinAge04)))</f>
        <v/>
      </c>
      <c r="BY51" s="87">
        <f>IF(OR(BY24=0,4&lt;=КаникулыРоялти),0,BY24*IF(РоялтиПоГруппам="Да",MeanMinAge04+BY9*SUMIF(ThresholdAge04,"&lt;"&amp;BY9,WeightedRevAge04)-SUMIF(ThresholdAge04,"&lt;"&amp;BY9,WeightedMinAge04),MAX(CapacityAge04*АбонементНовых*BY9,MeanMinAge04)))</f>
        <v/>
      </c>
    </row>
    <row r="52" ht="15.75" customHeight="1" s="194">
      <c r="B52" s="56" t="inlineStr">
        <is>
          <t>5 мес.</t>
        </is>
      </c>
      <c r="C52" s="56" t="inlineStr">
        <is>
          <t>₽</t>
        </is>
      </c>
      <c r="D52" s="57" t="n"/>
      <c r="E52" s="85">
        <f>SUM(L52:W52)</f>
        <v/>
      </c>
      <c r="F52" s="85">
        <f>SUM(X52:AI52)</f>
        <v/>
      </c>
      <c r="G52" s="85">
        <f>SUM(AJ52:AU52)</f>
        <v/>
      </c>
      <c r="H52" s="85">
        <f>SUM(AV52:BG52)</f>
        <v/>
      </c>
      <c r="I52" s="85">
        <f>SUM(BH52:BS52)</f>
        <v/>
      </c>
      <c r="J52" s="86">
        <f>SUM(L52:BS52)</f>
        <v/>
      </c>
      <c r="L52" s="87">
        <f>IF(OR(L25=0,5&lt;=КаникулыРоялти),0,L25*IF(РоялтиПоГруппам="Да",MeanMinAge05+L9*SUMIF(ThresholdAge05,"&lt;"&amp;L9,WeightedRevAge05)-SUMIF(ThresholdAge05,"&lt;"&amp;L9,WeightedMinAge05),MAX(CapacityAge05*АбонементНовых*L9,MeanMinAge05)))</f>
        <v/>
      </c>
      <c r="M52" s="87">
        <f>IF(OR(M25=0,5&lt;=КаникулыРоялти),0,M25*IF(РоялтиПоГруппам="Да",MeanMinAge05+M9*SUMIF(ThresholdAge05,"&lt;"&amp;M9,WeightedRevAge05)-SUMIF(ThresholdAge05,"&lt;"&amp;M9,WeightedMinAge05),MAX(CapacityAge05*АбонементНовых*M9,MeanMinAge05)))</f>
        <v/>
      </c>
      <c r="N52" s="87">
        <f>IF(OR(N25=0,5&lt;=КаникулыРоялти),0,N25*IF(РоялтиПоГруппам="Да",MeanMinAge05+N9*SUMIF(ThresholdAge05,"&lt;"&amp;N9,WeightedRevAge05)-SUMIF(ThresholdAge05,"&lt;"&amp;N9,WeightedMinAge05),MAX(CapacityAge05*АбонементНовых*N9,MeanMinAge05)))</f>
        <v/>
      </c>
      <c r="O52" s="87">
        <f>IF(OR(O25=0,5&lt;=КаникулыРоялти),0,O25*IF(РоялтиПоГруппам="Да",MeanMinAge05+O9*SUMIF(ThresholdAge05,"&lt;"&amp;O9,WeightedRevAge05)-SUMIF(ThresholdAge05,"&lt;"&amp;O9,WeightedMinAge05),MAX(CapacityAge05*АбонементНовых*O9,MeanMinAge05)))</f>
        <v/>
      </c>
      <c r="P52" s="87">
        <f>IF(OR(P25=0,5&lt;=КаникулыРоялти),0,P25*IF(РоялтиПоГруппам="Да",MeanMinAge05+P9*SUMIF(ThresholdAge05,"&lt;"&amp;P9,WeightedRevAge05)-SUMIF(ThresholdAge05,"&lt;"&amp;P9,WeightedMinAge05),MAX(CapacityAge05*АбонементНовых*P9,MeanMinAge05)))</f>
        <v/>
      </c>
      <c r="Q52" s="87">
        <f>IF(OR(Q25=0,5&lt;=КаникулыРоялти),0,Q25*IF(РоялтиПоГруппам="Да",MeanMinAge05+Q9*SUMIF(ThresholdAge05,"&lt;"&amp;Q9,WeightedRevAge05)-SUMIF(ThresholdAge05,"&lt;"&amp;Q9,WeightedMinAge05),MAX(CapacityAge05*АбонементНовых*Q9,MeanMinAge05)))</f>
        <v/>
      </c>
      <c r="R52" s="87">
        <f>IF(OR(R25=0,5&lt;=КаникулыРоялти),0,R25*IF(РоялтиПоГруппам="Да",MeanMinAge05+R9*SUMIF(ThresholdAge05,"&lt;"&amp;R9,WeightedRevAge05)-SUMIF(ThresholdAge05,"&lt;"&amp;R9,WeightedMinAge05),MAX(CapacityAge05*АбонементНовых*R9,MeanMinAge05)))</f>
        <v/>
      </c>
      <c r="S52" s="87">
        <f>IF(OR(S25=0,5&lt;=КаникулыРоялти),0,S25*IF(РоялтиПоГруппам="Да",MeanMinAge05+S9*SUMIF(ThresholdAge05,"&lt;"&amp;S9,WeightedRevAge05)-SUMIF(ThresholdAge05,"&lt;"&amp;S9,WeightedMinAge05),MAX(CapacityAge05*АбонементНовых*S9,MeanMinAge05)))</f>
        <v/>
      </c>
      <c r="T52" s="87">
        <f>IF(OR(T25=0,5&lt;=КаникулыРоялти),0,T25*IF(РоялтиПоГруппам="Да",MeanMinAge05+T9*SUMIF(ThresholdAge05,"&lt;"&amp;T9,WeightedRevAge05)-SUMIF(ThresholdAge05,"&lt;"&amp;T9,WeightedMinAge05),MAX(CapacityAge05*АбонементНовых*T9,MeanMinAge05)))</f>
        <v/>
      </c>
      <c r="U52" s="87">
        <f>IF(OR(U25=0,5&lt;=КаникулыРоялти),0,U25*IF(РоялтиПоГруппам="Да",MeanMinAge05+U9*SUMIF(ThresholdAge05,"&lt;"&amp;U9,WeightedRevAge05)-SUMIF(ThresholdAge05,"&lt;"&amp;U9,WeightedMinAge05),MAX(CapacityAge05*АбонементНовых*U9,MeanMinAge05)))</f>
        <v/>
      </c>
      <c r="V52" s="87">
        <f>IF(OR(V25=0,5&lt;=КаникулыРоялти),0,V25*IF(РоялтиПоГруппам="Да",MeanMinAge05+V9*SUMIF(ThresholdAge05,"&lt;"&amp;V9,WeightedRevAge05)-SUMIF(ThresholdAge05,"&lt;"&amp;V9,WeightedMinAge05),MAX(CapacityAge05*АбонементНовых*V9,MeanMinAge05)))</f>
        <v/>
      </c>
      <c r="W52" s="87">
        <f>IF(OR(W25=0,5&lt;=КаникулыРоялти),0,W25*IF(РоялтиПоГруппам="Да",MeanMinAge05+W9*SUMIF(ThresholdAge05,"&lt;"&amp;W9,WeightedRevAge05)-SUMIF(ThresholdAge05,"&lt;"&amp;W9,WeightedMinAge05),MAX(CapacityAge05*АбонементНовых*W9,MeanMinAge05)))</f>
        <v/>
      </c>
      <c r="X52" s="87">
        <f>IF(OR(X25=0,5&lt;=КаникулыРоялти),0,X25*IF(РоялтиПоГруппам="Да",MeanMinAge05+X9*SUMIF(ThresholdAge05,"&lt;"&amp;X9,WeightedRevAge05)-SUMIF(ThresholdAge05,"&lt;"&amp;X9,WeightedMinAge05),MAX(CapacityAge05*АбонементНовых*X9,MeanMinAge05)))</f>
        <v/>
      </c>
      <c r="Y52" s="87">
        <f>IF(OR(Y25=0,5&lt;=КаникулыРоялти),0,Y25*IF(РоялтиПоГруппам="Да",MeanMinAge05+Y9*SUMIF(ThresholdAge05,"&lt;"&amp;Y9,WeightedRevAge05)-SUMIF(ThresholdAge05,"&lt;"&amp;Y9,WeightedMinAge05),MAX(CapacityAge05*АбонементНовых*Y9,MeanMinAge05)))</f>
        <v/>
      </c>
      <c r="Z52" s="87">
        <f>IF(OR(Z25=0,5&lt;=КаникулыРоялти),0,Z25*IF(РоялтиПоГруппам="Да",MeanMinAge05+Z9*SUMIF(ThresholdAge05,"&lt;"&amp;Z9,WeightedRevAge05)-SUMIF(ThresholdAge05,"&lt;"&amp;Z9,WeightedMinAge05),MAX(CapacityAge05*АбонементНовых*Z9,MeanMinAge05)))</f>
        <v/>
      </c>
      <c r="AA52" s="87">
        <f>IF(OR(AA25=0,5&lt;=КаникулыРоялти),0,AA25*IF(РоялтиПоГруппам="Да",MeanMinAge05+AA9*SUMIF(ThresholdAge05,"&lt;"&amp;AA9,WeightedRevAge05)-SUMIF(ThresholdAge05,"&lt;"&amp;AA9,WeightedMinAge05),MAX(CapacityAge05*АбонементНовых*AA9,MeanMinAge05)))</f>
        <v/>
      </c>
      <c r="AB52" s="87">
        <f>IF(OR(AB25=0,5&lt;=КаникулыРоялти),0,AB25*IF(РоялтиПоГруппам="Да",MeanMinAge05+AB9*SUMIF(ThresholdAge05,"&lt;"&amp;AB9,WeightedRevAge05)-SUMIF(ThresholdAge05,"&lt;"&amp;AB9,WeightedMinAge05),MAX(CapacityAge05*АбонементНовых*AB9,MeanMinAge05)))</f>
        <v/>
      </c>
      <c r="AC52" s="87">
        <f>IF(OR(AC25=0,5&lt;=КаникулыРоялти),0,AC25*IF(РоялтиПоГруппам="Да",MeanMinAge05+AC9*SUMIF(ThresholdAge05,"&lt;"&amp;AC9,WeightedRevAge05)-SUMIF(ThresholdAge05,"&lt;"&amp;AC9,WeightedMinAge05),MAX(CapacityAge05*АбонементНовых*AC9,MeanMinAge05)))</f>
        <v/>
      </c>
      <c r="AD52" s="87">
        <f>IF(OR(AD25=0,5&lt;=КаникулыРоялти),0,AD25*IF(РоялтиПоГруппам="Да",MeanMinAge05+AD9*SUMIF(ThresholdAge05,"&lt;"&amp;AD9,WeightedRevAge05)-SUMIF(ThresholdAge05,"&lt;"&amp;AD9,WeightedMinAge05),MAX(CapacityAge05*АбонементНовых*AD9,MeanMinAge05)))</f>
        <v/>
      </c>
      <c r="AE52" s="87">
        <f>IF(OR(AE25=0,5&lt;=КаникулыРоялти),0,AE25*IF(РоялтиПоГруппам="Да",MeanMinAge05+AE9*SUMIF(ThresholdAge05,"&lt;"&amp;AE9,WeightedRevAge05)-SUMIF(ThresholdAge05,"&lt;"&amp;AE9,WeightedMinAge05),MAX(CapacityAge05*АбонементНовых*AE9,MeanMinAge05)))</f>
        <v/>
      </c>
      <c r="AF52" s="87">
        <f>IF(OR(AF25=0,5&lt;=КаникулыРоялти),0,AF25*IF(РоялтиПоГруппам="Да",MeanMinAge05+AF9*SUMIF(ThresholdAge05,"&lt;"&amp;AF9,WeightedRevAge05)-SUMIF(ThresholdAge05,"&lt;"&amp;AF9,WeightedMinAge05),MAX(CapacityAge05*АбонементНовых*AF9,MeanMinAge05)))</f>
        <v/>
      </c>
      <c r="AG52" s="87">
        <f>IF(OR(AG25=0,5&lt;=КаникулыРоялти),0,AG25*IF(РоялтиПоГруппам="Да",MeanMinAge05+AG9*SUMIF(ThresholdAge05,"&lt;"&amp;AG9,WeightedRevAge05)-SUMIF(ThresholdAge05,"&lt;"&amp;AG9,WeightedMinAge05),MAX(CapacityAge05*АбонементНовых*AG9,MeanMinAge05)))</f>
        <v/>
      </c>
      <c r="AH52" s="87">
        <f>IF(OR(AH25=0,5&lt;=КаникулыРоялти),0,AH25*IF(РоялтиПоГруппам="Да",MeanMinAge05+AH9*SUMIF(ThresholdAge05,"&lt;"&amp;AH9,WeightedRevAge05)-SUMIF(ThresholdAge05,"&lt;"&amp;AH9,WeightedMinAge05),MAX(CapacityAge05*АбонементНовых*AH9,MeanMinAge05)))</f>
        <v/>
      </c>
      <c r="AI52" s="87">
        <f>IF(OR(AI25=0,5&lt;=КаникулыРоялти),0,AI25*IF(РоялтиПоГруппам="Да",MeanMinAge05+AI9*SUMIF(ThresholdAge05,"&lt;"&amp;AI9,WeightedRevAge05)-SUMIF(ThresholdAge05,"&lt;"&amp;AI9,WeightedMinAge05),MAX(CapacityAge05*АбонементНовых*AI9,MeanMinAge05)))</f>
        <v/>
      </c>
      <c r="AJ52" s="87">
        <f>IF(OR(AJ25=0,5&lt;=КаникулыРоялти),0,AJ25*IF(РоялтиПоГруппам="Да",MeanMinAge05+AJ9*SUMIF(ThresholdAge05,"&lt;"&amp;AJ9,WeightedRevAge05)-SUMIF(ThresholdAge05,"&lt;"&amp;AJ9,WeightedMinAge05),MAX(CapacityAge05*АбонементНовых*AJ9,MeanMinAge05)))</f>
        <v/>
      </c>
      <c r="AK52" s="87">
        <f>IF(OR(AK25=0,5&lt;=КаникулыРоялти),0,AK25*IF(РоялтиПоГруппам="Да",MeanMinAge05+AK9*SUMIF(ThresholdAge05,"&lt;"&amp;AK9,WeightedRevAge05)-SUMIF(ThresholdAge05,"&lt;"&amp;AK9,WeightedMinAge05),MAX(CapacityAge05*АбонементНовых*AK9,MeanMinAge05)))</f>
        <v/>
      </c>
      <c r="AL52" s="87">
        <f>IF(OR(AL25=0,5&lt;=КаникулыРоялти),0,AL25*IF(РоялтиПоГруппам="Да",MeanMinAge05+AL9*SUMIF(ThresholdAge05,"&lt;"&amp;AL9,WeightedRevAge05)-SUMIF(ThresholdAge05,"&lt;"&amp;AL9,WeightedMinAge05),MAX(CapacityAge05*АбонементНовых*AL9,MeanMinAge05)))</f>
        <v/>
      </c>
      <c r="AM52" s="87">
        <f>IF(OR(AM25=0,5&lt;=КаникулыРоялти),0,AM25*IF(РоялтиПоГруппам="Да",MeanMinAge05+AM9*SUMIF(ThresholdAge05,"&lt;"&amp;AM9,WeightedRevAge05)-SUMIF(ThresholdAge05,"&lt;"&amp;AM9,WeightedMinAge05),MAX(CapacityAge05*АбонементНовых*AM9,MeanMinAge05)))</f>
        <v/>
      </c>
      <c r="AN52" s="87">
        <f>IF(OR(AN25=0,5&lt;=КаникулыРоялти),0,AN25*IF(РоялтиПоГруппам="Да",MeanMinAge05+AN9*SUMIF(ThresholdAge05,"&lt;"&amp;AN9,WeightedRevAge05)-SUMIF(ThresholdAge05,"&lt;"&amp;AN9,WeightedMinAge05),MAX(CapacityAge05*АбонементНовых*AN9,MeanMinAge05)))</f>
        <v/>
      </c>
      <c r="AO52" s="87">
        <f>IF(OR(AO25=0,5&lt;=КаникулыРоялти),0,AO25*IF(РоялтиПоГруппам="Да",MeanMinAge05+AO9*SUMIF(ThresholdAge05,"&lt;"&amp;AO9,WeightedRevAge05)-SUMIF(ThresholdAge05,"&lt;"&amp;AO9,WeightedMinAge05),MAX(CapacityAge05*АбонементНовых*AO9,MeanMinAge05)))</f>
        <v/>
      </c>
      <c r="AP52" s="87">
        <f>IF(OR(AP25=0,5&lt;=КаникулыРоялти),0,AP25*IF(РоялтиПоГруппам="Да",MeanMinAge05+AP9*SUMIF(ThresholdAge05,"&lt;"&amp;AP9,WeightedRevAge05)-SUMIF(ThresholdAge05,"&lt;"&amp;AP9,WeightedMinAge05),MAX(CapacityAge05*АбонементНовых*AP9,MeanMinAge05)))</f>
        <v/>
      </c>
      <c r="AQ52" s="87">
        <f>IF(OR(AQ25=0,5&lt;=КаникулыРоялти),0,AQ25*IF(РоялтиПоГруппам="Да",MeanMinAge05+AQ9*SUMIF(ThresholdAge05,"&lt;"&amp;AQ9,WeightedRevAge05)-SUMIF(ThresholdAge05,"&lt;"&amp;AQ9,WeightedMinAge05),MAX(CapacityAge05*АбонементНовых*AQ9,MeanMinAge05)))</f>
        <v/>
      </c>
      <c r="AR52" s="87">
        <f>IF(OR(AR25=0,5&lt;=КаникулыРоялти),0,AR25*IF(РоялтиПоГруппам="Да",MeanMinAge05+AR9*SUMIF(ThresholdAge05,"&lt;"&amp;AR9,WeightedRevAge05)-SUMIF(ThresholdAge05,"&lt;"&amp;AR9,WeightedMinAge05),MAX(CapacityAge05*АбонементНовых*AR9,MeanMinAge05)))</f>
        <v/>
      </c>
      <c r="AS52" s="87">
        <f>IF(OR(AS25=0,5&lt;=КаникулыРоялти),0,AS25*IF(РоялтиПоГруппам="Да",MeanMinAge05+AS9*SUMIF(ThresholdAge05,"&lt;"&amp;AS9,WeightedRevAge05)-SUMIF(ThresholdAge05,"&lt;"&amp;AS9,WeightedMinAge05),MAX(CapacityAge05*АбонементНовых*AS9,MeanMinAge05)))</f>
        <v/>
      </c>
      <c r="AT52" s="87">
        <f>IF(OR(AT25=0,5&lt;=КаникулыРоялти),0,AT25*IF(РоялтиПоГруппам="Да",MeanMinAge05+AT9*SUMIF(ThresholdAge05,"&lt;"&amp;AT9,WeightedRevAge05)-SUMIF(ThresholdAge05,"&lt;"&amp;AT9,WeightedMinAge05),MAX(CapacityAge05*АбонементНовых*AT9,MeanMinAge05)))</f>
        <v/>
      </c>
      <c r="AU52" s="87">
        <f>IF(OR(AU25=0,5&lt;=КаникулыРоялти),0,AU25*IF(РоялтиПоГруппам="Да",MeanMinAge05+AU9*SUMIF(ThresholdAge05,"&lt;"&amp;AU9,WeightedRevAge05)-SUMIF(ThresholdAge05,"&lt;"&amp;AU9,WeightedMinAge05),MAX(CapacityAge05*АбонементНовых*AU9,MeanMinAge05)))</f>
        <v/>
      </c>
      <c r="AV52" s="87">
        <f>IF(OR(AV25=0,5&lt;=КаникулыРоялти),0,AV25*IF(РоялтиПоГруппам="Да",MeanMinAge05+AV9*SUMIF(ThresholdAge05,"&lt;"&amp;AV9,WeightedRevAge05)-SUMIF(ThresholdAge05,"&lt;"&amp;AV9,WeightedMinAge05),MAX(CapacityAge05*АбонементНовых*AV9,MeanMinAge05)))</f>
        <v/>
      </c>
      <c r="AW52" s="87">
        <f>IF(OR(AW25=0,5&lt;=КаникулыРоялти),0,AW25*IF(РоялтиПоГруппам="Да",MeanMinAge05+AW9*SUMIF(ThresholdAge05,"&lt;"&amp;AW9,WeightedRevAge05)-SUMIF(ThresholdAge05,"&lt;"&amp;AW9,WeightedMinAge05),MAX(CapacityAge05*АбонементНовых*AW9,MeanMinAge05)))</f>
        <v/>
      </c>
      <c r="AX52" s="87">
        <f>IF(OR(AX25=0,5&lt;=КаникулыРоялти),0,AX25*IF(РоялтиПоГруппам="Да",MeanMinAge05+AX9*SUMIF(ThresholdAge05,"&lt;"&amp;AX9,WeightedRevAge05)-SUMIF(ThresholdAge05,"&lt;"&amp;AX9,WeightedMinAge05),MAX(CapacityAge05*АбонементНовых*AX9,MeanMinAge05)))</f>
        <v/>
      </c>
      <c r="AY52" s="87">
        <f>IF(OR(AY25=0,5&lt;=КаникулыРоялти),0,AY25*IF(РоялтиПоГруппам="Да",MeanMinAge05+AY9*SUMIF(ThresholdAge05,"&lt;"&amp;AY9,WeightedRevAge05)-SUMIF(ThresholdAge05,"&lt;"&amp;AY9,WeightedMinAge05),MAX(CapacityAge05*АбонементНовых*AY9,MeanMinAge05)))</f>
        <v/>
      </c>
      <c r="AZ52" s="87">
        <f>IF(OR(AZ25=0,5&lt;=КаникулыРоялти),0,AZ25*IF(РоялтиПоГруппам="Да",MeanMinAge05+AZ9*SUMIF(ThresholdAge05,"&lt;"&amp;AZ9,WeightedRevAge05)-SUMIF(ThresholdAge05,"&lt;"&amp;AZ9,WeightedMinAge05),MAX(CapacityAge05*АбонементНовых*AZ9,MeanMinAge05)))</f>
        <v/>
      </c>
      <c r="BA52" s="87">
        <f>IF(OR(BA25=0,5&lt;=КаникулыРоялти),0,BA25*IF(РоялтиПоГруппам="Да",MeanMinAge05+BA9*SUMIF(ThresholdAge05,"&lt;"&amp;BA9,WeightedRevAge05)-SUMIF(ThresholdAge05,"&lt;"&amp;BA9,WeightedMinAge05),MAX(CapacityAge05*АбонементНовых*BA9,MeanMinAge05)))</f>
        <v/>
      </c>
      <c r="BB52" s="87">
        <f>IF(OR(BB25=0,5&lt;=КаникулыРоялти),0,BB25*IF(РоялтиПоГруппам="Да",MeanMinAge05+BB9*SUMIF(ThresholdAge05,"&lt;"&amp;BB9,WeightedRevAge05)-SUMIF(ThresholdAge05,"&lt;"&amp;BB9,WeightedMinAge05),MAX(CapacityAge05*АбонементНовых*BB9,MeanMinAge05)))</f>
        <v/>
      </c>
      <c r="BC52" s="87">
        <f>IF(OR(BC25=0,5&lt;=КаникулыРоялти),0,BC25*IF(РоялтиПоГруппам="Да",MeanMinAge05+BC9*SUMIF(ThresholdAge05,"&lt;"&amp;BC9,WeightedRevAge05)-SUMIF(ThresholdAge05,"&lt;"&amp;BC9,WeightedMinAge05),MAX(CapacityAge05*АбонементНовых*BC9,MeanMinAge05)))</f>
        <v/>
      </c>
      <c r="BD52" s="87">
        <f>IF(OR(BD25=0,5&lt;=КаникулыРоялти),0,BD25*IF(РоялтиПоГруппам="Да",MeanMinAge05+BD9*SUMIF(ThresholdAge05,"&lt;"&amp;BD9,WeightedRevAge05)-SUMIF(ThresholdAge05,"&lt;"&amp;BD9,WeightedMinAge05),MAX(CapacityAge05*АбонементНовых*BD9,MeanMinAge05)))</f>
        <v/>
      </c>
      <c r="BE52" s="87">
        <f>IF(OR(BE25=0,5&lt;=КаникулыРоялти),0,BE25*IF(РоялтиПоГруппам="Да",MeanMinAge05+BE9*SUMIF(ThresholdAge05,"&lt;"&amp;BE9,WeightedRevAge05)-SUMIF(ThresholdAge05,"&lt;"&amp;BE9,WeightedMinAge05),MAX(CapacityAge05*АбонементНовых*BE9,MeanMinAge05)))</f>
        <v/>
      </c>
      <c r="BF52" s="87">
        <f>IF(OR(BF25=0,5&lt;=КаникулыРоялти),0,BF25*IF(РоялтиПоГруппам="Да",MeanMinAge05+BF9*SUMIF(ThresholdAge05,"&lt;"&amp;BF9,WeightedRevAge05)-SUMIF(ThresholdAge05,"&lt;"&amp;BF9,WeightedMinAge05),MAX(CapacityAge05*АбонементНовых*BF9,MeanMinAge05)))</f>
        <v/>
      </c>
      <c r="BG52" s="87">
        <f>IF(OR(BG25=0,5&lt;=КаникулыРоялти),0,BG25*IF(РоялтиПоГруппам="Да",MeanMinAge05+BG9*SUMIF(ThresholdAge05,"&lt;"&amp;BG9,WeightedRevAge05)-SUMIF(ThresholdAge05,"&lt;"&amp;BG9,WeightedMinAge05),MAX(CapacityAge05*АбонементНовых*BG9,MeanMinAge05)))</f>
        <v/>
      </c>
      <c r="BH52" s="87">
        <f>IF(OR(BH25=0,5&lt;=КаникулыРоялти),0,BH25*IF(РоялтиПоГруппам="Да",MeanMinAge05+BH9*SUMIF(ThresholdAge05,"&lt;"&amp;BH9,WeightedRevAge05)-SUMIF(ThresholdAge05,"&lt;"&amp;BH9,WeightedMinAge05),MAX(CapacityAge05*АбонементНовых*BH9,MeanMinAge05)))</f>
        <v/>
      </c>
      <c r="BI52" s="87">
        <f>IF(OR(BI25=0,5&lt;=КаникулыРоялти),0,BI25*IF(РоялтиПоГруппам="Да",MeanMinAge05+BI9*SUMIF(ThresholdAge05,"&lt;"&amp;BI9,WeightedRevAge05)-SUMIF(ThresholdAge05,"&lt;"&amp;BI9,WeightedMinAge05),MAX(CapacityAge05*АбонементНовых*BI9,MeanMinAge05)))</f>
        <v/>
      </c>
      <c r="BJ52" s="87">
        <f>IF(OR(BJ25=0,5&lt;=КаникулыРоялти),0,BJ25*IF(РоялтиПоГруппам="Да",MeanMinAge05+BJ9*SUMIF(ThresholdAge05,"&lt;"&amp;BJ9,WeightedRevAge05)-SUMIF(ThresholdAge05,"&lt;"&amp;BJ9,WeightedMinAge05),MAX(CapacityAge05*АбонементНовых*BJ9,MeanMinAge05)))</f>
        <v/>
      </c>
      <c r="BK52" s="87">
        <f>IF(OR(BK25=0,5&lt;=КаникулыРоялти),0,BK25*IF(РоялтиПоГруппам="Да",MeanMinAge05+BK9*SUMIF(ThresholdAge05,"&lt;"&amp;BK9,WeightedRevAge05)-SUMIF(ThresholdAge05,"&lt;"&amp;BK9,WeightedMinAge05),MAX(CapacityAge05*АбонементНовых*BK9,MeanMinAge05)))</f>
        <v/>
      </c>
      <c r="BL52" s="87">
        <f>IF(OR(BL25=0,5&lt;=КаникулыРоялти),0,BL25*IF(РоялтиПоГруппам="Да",MeanMinAge05+BL9*SUMIF(ThresholdAge05,"&lt;"&amp;BL9,WeightedRevAge05)-SUMIF(ThresholdAge05,"&lt;"&amp;BL9,WeightedMinAge05),MAX(CapacityAge05*АбонементНовых*BL9,MeanMinAge05)))</f>
        <v/>
      </c>
      <c r="BM52" s="87">
        <f>IF(OR(BM25=0,5&lt;=КаникулыРоялти),0,BM25*IF(РоялтиПоГруппам="Да",MeanMinAge05+BM9*SUMIF(ThresholdAge05,"&lt;"&amp;BM9,WeightedRevAge05)-SUMIF(ThresholdAge05,"&lt;"&amp;BM9,WeightedMinAge05),MAX(CapacityAge05*АбонементНовых*BM9,MeanMinAge05)))</f>
        <v/>
      </c>
      <c r="BN52" s="87">
        <f>IF(OR(BN25=0,5&lt;=КаникулыРоялти),0,BN25*IF(РоялтиПоГруппам="Да",MeanMinAge05+BN9*SUMIF(ThresholdAge05,"&lt;"&amp;BN9,WeightedRevAge05)-SUMIF(ThresholdAge05,"&lt;"&amp;BN9,WeightedMinAge05),MAX(CapacityAge05*АбонементНовых*BN9,MeanMinAge05)))</f>
        <v/>
      </c>
      <c r="BO52" s="87">
        <f>IF(OR(BO25=0,5&lt;=КаникулыРоялти),0,BO25*IF(РоялтиПоГруппам="Да",MeanMinAge05+BO9*SUMIF(ThresholdAge05,"&lt;"&amp;BO9,WeightedRevAge05)-SUMIF(ThresholdAge05,"&lt;"&amp;BO9,WeightedMinAge05),MAX(CapacityAge05*АбонементНовых*BO9,MeanMinAge05)))</f>
        <v/>
      </c>
      <c r="BP52" s="87">
        <f>IF(OR(BP25=0,5&lt;=КаникулыРоялти),0,BP25*IF(РоялтиПоГруппам="Да",MeanMinAge05+BP9*SUMIF(ThresholdAge05,"&lt;"&amp;BP9,WeightedRevAge05)-SUMIF(ThresholdAge05,"&lt;"&amp;BP9,WeightedMinAge05),MAX(CapacityAge05*АбонементНовых*BP9,MeanMinAge05)))</f>
        <v/>
      </c>
      <c r="BQ52" s="87">
        <f>IF(OR(BQ25=0,5&lt;=КаникулыРоялти),0,BQ25*IF(РоялтиПоГруппам="Да",MeanMinAge05+BQ9*SUMIF(ThresholdAge05,"&lt;"&amp;BQ9,WeightedRevAge05)-SUMIF(ThresholdAge05,"&lt;"&amp;BQ9,WeightedMinAge05),MAX(CapacityAge05*АбонементНовых*BQ9,MeanMinAge05)))</f>
        <v/>
      </c>
      <c r="BR52" s="87">
        <f>IF(OR(BR25=0,5&lt;=КаникулыРоялти),0,BR25*IF(РоялтиПоГруппам="Да",MeanMinAge05+BR9*SUMIF(ThresholdAge05,"&lt;"&amp;BR9,WeightedRevAge05)-SUMIF(ThresholdAge05,"&lt;"&amp;BR9,WeightedMinAge05),MAX(CapacityAge05*АбонементНовых*BR9,MeanMinAge05)))</f>
        <v/>
      </c>
      <c r="BS52" s="87">
        <f>IF(OR(BS25=0,5&lt;=КаникулыРоялти),0,BS25*IF(РоялтиПоГруппам="Да",MeanMinAge05+BS9*SUMIF(ThresholdAge05,"&lt;"&amp;BS9,WeightedRevAge05)-SUMIF(ThresholdAge05,"&lt;"&amp;BS9,WeightedMinAge05),MAX(CapacityAge05*АбонементНовых*BS9,MeanMinAge05)))</f>
        <v/>
      </c>
      <c r="BT52" s="87">
        <f>IF(OR(BT25=0,5&lt;=КаникулыРоялти),0,BT25*IF(РоялтиПоГруппам="Да",MeanMinAge05+BT9*SUMIF(ThresholdAge05,"&lt;"&amp;BT9,WeightedRevAge05)-SUMIF(ThresholdAge05,"&lt;"&amp;BT9,WeightedMinAge05),MAX(CapacityAge05*АбонементНовых*BT9,MeanMinAge05)))</f>
        <v/>
      </c>
      <c r="BU52" s="87">
        <f>IF(OR(BU25=0,5&lt;=КаникулыРоялти),0,BU25*IF(РоялтиПоГруппам="Да",MeanMinAge05+BU9*SUMIF(ThresholdAge05,"&lt;"&amp;BU9,WeightedRevAge05)-SUMIF(ThresholdAge05,"&lt;"&amp;BU9,WeightedMinAge05),MAX(CapacityAge05*АбонементНовых*BU9,MeanMinAge05)))</f>
        <v/>
      </c>
      <c r="BV52" s="87">
        <f>IF(OR(BV25=0,5&lt;=КаникулыРоялти),0,BV25*IF(РоялтиПоГруппам="Да",MeanMinAge05+BV9*SUMIF(ThresholdAge05,"&lt;"&amp;BV9,WeightedRevAge05)-SUMIF(ThresholdAge05,"&lt;"&amp;BV9,WeightedMinAge05),MAX(CapacityAge05*АбонементНовых*BV9,MeanMinAge05)))</f>
        <v/>
      </c>
      <c r="BW52" s="87">
        <f>IF(OR(BW25=0,5&lt;=КаникулыРоялти),0,BW25*IF(РоялтиПоГруппам="Да",MeanMinAge05+BW9*SUMIF(ThresholdAge05,"&lt;"&amp;BW9,WeightedRevAge05)-SUMIF(ThresholdAge05,"&lt;"&amp;BW9,WeightedMinAge05),MAX(CapacityAge05*АбонементНовых*BW9,MeanMinAge05)))</f>
        <v/>
      </c>
      <c r="BX52" s="87">
        <f>IF(OR(BX25=0,5&lt;=КаникулыРоялти),0,BX25*IF(РоялтиПоГруппам="Да",MeanMinAge05+BX9*SUMIF(ThresholdAge05,"&lt;"&amp;BX9,WeightedRevAge05)-SUMIF(ThresholdAge05,"&lt;"&amp;BX9,WeightedMinAge05),MAX(CapacityAge05*АбонементНовых*BX9,MeanMinAge05)))</f>
        <v/>
      </c>
      <c r="BY52" s="87">
        <f>IF(OR(BY25=0,5&lt;=КаникулыРоялти),0,BY25*IF(РоялтиПоГруппам="Да",MeanMinAge05+BY9*SUMIF(ThresholdAge05,"&lt;"&amp;BY9,WeightedRevAge05)-SUMIF(ThresholdAge05,"&lt;"&amp;BY9,WeightedMinAge05),MAX(CapacityAge05*АбонементНовых*BY9,MeanMinAge05)))</f>
        <v/>
      </c>
    </row>
    <row r="53" ht="15.75" customHeight="1" s="194">
      <c r="B53" s="56" t="inlineStr">
        <is>
          <t>6 мес.</t>
        </is>
      </c>
      <c r="C53" s="56" t="inlineStr">
        <is>
          <t>₽</t>
        </is>
      </c>
      <c r="D53" s="57" t="n"/>
      <c r="E53" s="85">
        <f>SUM(L53:W53)</f>
        <v/>
      </c>
      <c r="F53" s="85">
        <f>SUM(X53:AI53)</f>
        <v/>
      </c>
      <c r="G53" s="85">
        <f>SUM(AJ53:AU53)</f>
        <v/>
      </c>
      <c r="H53" s="85">
        <f>SUM(AV53:BG53)</f>
        <v/>
      </c>
      <c r="I53" s="85">
        <f>SUM(BH53:BS53)</f>
        <v/>
      </c>
      <c r="J53" s="86">
        <f>SUM(L53:BS53)</f>
        <v/>
      </c>
      <c r="L53" s="87">
        <f>IF(OR(L26=0,6&lt;=КаникулыРоялти),0,L26*IF(РоялтиПоГруппам="Да",MeanMinAge06+L9*SUMIF(ThresholdAge06,"&lt;"&amp;L9,WeightedRevAge06)-SUMIF(ThresholdAge06,"&lt;"&amp;L9,WeightedMinAge06),MAX(CapacityAge06*АбонементНовых*L9,MeanMinAge06)))</f>
        <v/>
      </c>
      <c r="M53" s="87">
        <f>IF(OR(M26=0,6&lt;=КаникулыРоялти),0,M26*IF(РоялтиПоГруппам="Да",MeanMinAge06+M9*SUMIF(ThresholdAge06,"&lt;"&amp;M9,WeightedRevAge06)-SUMIF(ThresholdAge06,"&lt;"&amp;M9,WeightedMinAge06),MAX(CapacityAge06*АбонементНовых*M9,MeanMinAge06)))</f>
        <v/>
      </c>
      <c r="N53" s="87">
        <f>IF(OR(N26=0,6&lt;=КаникулыРоялти),0,N26*IF(РоялтиПоГруппам="Да",MeanMinAge06+N9*SUMIF(ThresholdAge06,"&lt;"&amp;N9,WeightedRevAge06)-SUMIF(ThresholdAge06,"&lt;"&amp;N9,WeightedMinAge06),MAX(CapacityAge06*АбонементНовых*N9,MeanMinAge06)))</f>
        <v/>
      </c>
      <c r="O53" s="87">
        <f>IF(OR(O26=0,6&lt;=КаникулыРоялти),0,O26*IF(РоялтиПоГруппам="Да",MeanMinAge06+O9*SUMIF(ThresholdAge06,"&lt;"&amp;O9,WeightedRevAge06)-SUMIF(ThresholdAge06,"&lt;"&amp;O9,WeightedMinAge06),MAX(CapacityAge06*АбонементНовых*O9,MeanMinAge06)))</f>
        <v/>
      </c>
      <c r="P53" s="87">
        <f>IF(OR(P26=0,6&lt;=КаникулыРоялти),0,P26*IF(РоялтиПоГруппам="Да",MeanMinAge06+P9*SUMIF(ThresholdAge06,"&lt;"&amp;P9,WeightedRevAge06)-SUMIF(ThresholdAge06,"&lt;"&amp;P9,WeightedMinAge06),MAX(CapacityAge06*АбонементНовых*P9,MeanMinAge06)))</f>
        <v/>
      </c>
      <c r="Q53" s="87">
        <f>IF(OR(Q26=0,6&lt;=КаникулыРоялти),0,Q26*IF(РоялтиПоГруппам="Да",MeanMinAge06+Q9*SUMIF(ThresholdAge06,"&lt;"&amp;Q9,WeightedRevAge06)-SUMIF(ThresholdAge06,"&lt;"&amp;Q9,WeightedMinAge06),MAX(CapacityAge06*АбонементНовых*Q9,MeanMinAge06)))</f>
        <v/>
      </c>
      <c r="R53" s="87">
        <f>IF(OR(R26=0,6&lt;=КаникулыРоялти),0,R26*IF(РоялтиПоГруппам="Да",MeanMinAge06+R9*SUMIF(ThresholdAge06,"&lt;"&amp;R9,WeightedRevAge06)-SUMIF(ThresholdAge06,"&lt;"&amp;R9,WeightedMinAge06),MAX(CapacityAge06*АбонементНовых*R9,MeanMinAge06)))</f>
        <v/>
      </c>
      <c r="S53" s="87">
        <f>IF(OR(S26=0,6&lt;=КаникулыРоялти),0,S26*IF(РоялтиПоГруппам="Да",MeanMinAge06+S9*SUMIF(ThresholdAge06,"&lt;"&amp;S9,WeightedRevAge06)-SUMIF(ThresholdAge06,"&lt;"&amp;S9,WeightedMinAge06),MAX(CapacityAge06*АбонементНовых*S9,MeanMinAge06)))</f>
        <v/>
      </c>
      <c r="T53" s="87">
        <f>IF(OR(T26=0,6&lt;=КаникулыРоялти),0,T26*IF(РоялтиПоГруппам="Да",MeanMinAge06+T9*SUMIF(ThresholdAge06,"&lt;"&amp;T9,WeightedRevAge06)-SUMIF(ThresholdAge06,"&lt;"&amp;T9,WeightedMinAge06),MAX(CapacityAge06*АбонементНовых*T9,MeanMinAge06)))</f>
        <v/>
      </c>
      <c r="U53" s="87">
        <f>IF(OR(U26=0,6&lt;=КаникулыРоялти),0,U26*IF(РоялтиПоГруппам="Да",MeanMinAge06+U9*SUMIF(ThresholdAge06,"&lt;"&amp;U9,WeightedRevAge06)-SUMIF(ThresholdAge06,"&lt;"&amp;U9,WeightedMinAge06),MAX(CapacityAge06*АбонементНовых*U9,MeanMinAge06)))</f>
        <v/>
      </c>
      <c r="V53" s="87">
        <f>IF(OR(V26=0,6&lt;=КаникулыРоялти),0,V26*IF(РоялтиПоГруппам="Да",MeanMinAge06+V9*SUMIF(ThresholdAge06,"&lt;"&amp;V9,WeightedRevAge06)-SUMIF(ThresholdAge06,"&lt;"&amp;V9,WeightedMinAge06),MAX(CapacityAge06*АбонементНовых*V9,MeanMinAge06)))</f>
        <v/>
      </c>
      <c r="W53" s="87">
        <f>IF(OR(W26=0,6&lt;=КаникулыРоялти),0,W26*IF(РоялтиПоГруппам="Да",MeanMinAge06+W9*SUMIF(ThresholdAge06,"&lt;"&amp;W9,WeightedRevAge06)-SUMIF(ThresholdAge06,"&lt;"&amp;W9,WeightedMinAge06),MAX(CapacityAge06*АбонементНовых*W9,MeanMinAge06)))</f>
        <v/>
      </c>
      <c r="X53" s="87">
        <f>IF(OR(X26=0,6&lt;=КаникулыРоялти),0,X26*IF(РоялтиПоГруппам="Да",MeanMinAge06+X9*SUMIF(ThresholdAge06,"&lt;"&amp;X9,WeightedRevAge06)-SUMIF(ThresholdAge06,"&lt;"&amp;X9,WeightedMinAge06),MAX(CapacityAge06*АбонементНовых*X9,MeanMinAge06)))</f>
        <v/>
      </c>
      <c r="Y53" s="87">
        <f>IF(OR(Y26=0,6&lt;=КаникулыРоялти),0,Y26*IF(РоялтиПоГруппам="Да",MeanMinAge06+Y9*SUMIF(ThresholdAge06,"&lt;"&amp;Y9,WeightedRevAge06)-SUMIF(ThresholdAge06,"&lt;"&amp;Y9,WeightedMinAge06),MAX(CapacityAge06*АбонементНовых*Y9,MeanMinAge06)))</f>
        <v/>
      </c>
      <c r="Z53" s="87">
        <f>IF(OR(Z26=0,6&lt;=КаникулыРоялти),0,Z26*IF(РоялтиПоГруппам="Да",MeanMinAge06+Z9*SUMIF(ThresholdAge06,"&lt;"&amp;Z9,WeightedRevAge06)-SUMIF(ThresholdAge06,"&lt;"&amp;Z9,WeightedMinAge06),MAX(CapacityAge06*АбонементНовых*Z9,MeanMinAge06)))</f>
        <v/>
      </c>
      <c r="AA53" s="87">
        <f>IF(OR(AA26=0,6&lt;=КаникулыРоялти),0,AA26*IF(РоялтиПоГруппам="Да",MeanMinAge06+AA9*SUMIF(ThresholdAge06,"&lt;"&amp;AA9,WeightedRevAge06)-SUMIF(ThresholdAge06,"&lt;"&amp;AA9,WeightedMinAge06),MAX(CapacityAge06*АбонементНовых*AA9,MeanMinAge06)))</f>
        <v/>
      </c>
      <c r="AB53" s="87">
        <f>IF(OR(AB26=0,6&lt;=КаникулыРоялти),0,AB26*IF(РоялтиПоГруппам="Да",MeanMinAge06+AB9*SUMIF(ThresholdAge06,"&lt;"&amp;AB9,WeightedRevAge06)-SUMIF(ThresholdAge06,"&lt;"&amp;AB9,WeightedMinAge06),MAX(CapacityAge06*АбонементНовых*AB9,MeanMinAge06)))</f>
        <v/>
      </c>
      <c r="AC53" s="87">
        <f>IF(OR(AC26=0,6&lt;=КаникулыРоялти),0,AC26*IF(РоялтиПоГруппам="Да",MeanMinAge06+AC9*SUMIF(ThresholdAge06,"&lt;"&amp;AC9,WeightedRevAge06)-SUMIF(ThresholdAge06,"&lt;"&amp;AC9,WeightedMinAge06),MAX(CapacityAge06*АбонементНовых*AC9,MeanMinAge06)))</f>
        <v/>
      </c>
      <c r="AD53" s="87">
        <f>IF(OR(AD26=0,6&lt;=КаникулыРоялти),0,AD26*IF(РоялтиПоГруппам="Да",MeanMinAge06+AD9*SUMIF(ThresholdAge06,"&lt;"&amp;AD9,WeightedRevAge06)-SUMIF(ThresholdAge06,"&lt;"&amp;AD9,WeightedMinAge06),MAX(CapacityAge06*АбонементНовых*AD9,MeanMinAge06)))</f>
        <v/>
      </c>
      <c r="AE53" s="87">
        <f>IF(OR(AE26=0,6&lt;=КаникулыРоялти),0,AE26*IF(РоялтиПоГруппам="Да",MeanMinAge06+AE9*SUMIF(ThresholdAge06,"&lt;"&amp;AE9,WeightedRevAge06)-SUMIF(ThresholdAge06,"&lt;"&amp;AE9,WeightedMinAge06),MAX(CapacityAge06*АбонементНовых*AE9,MeanMinAge06)))</f>
        <v/>
      </c>
      <c r="AF53" s="87">
        <f>IF(OR(AF26=0,6&lt;=КаникулыРоялти),0,AF26*IF(РоялтиПоГруппам="Да",MeanMinAge06+AF9*SUMIF(ThresholdAge06,"&lt;"&amp;AF9,WeightedRevAge06)-SUMIF(ThresholdAge06,"&lt;"&amp;AF9,WeightedMinAge06),MAX(CapacityAge06*АбонементНовых*AF9,MeanMinAge06)))</f>
        <v/>
      </c>
      <c r="AG53" s="87">
        <f>IF(OR(AG26=0,6&lt;=КаникулыРоялти),0,AG26*IF(РоялтиПоГруппам="Да",MeanMinAge06+AG9*SUMIF(ThresholdAge06,"&lt;"&amp;AG9,WeightedRevAge06)-SUMIF(ThresholdAge06,"&lt;"&amp;AG9,WeightedMinAge06),MAX(CapacityAge06*АбонементНовых*AG9,MeanMinAge06)))</f>
        <v/>
      </c>
      <c r="AH53" s="87">
        <f>IF(OR(AH26=0,6&lt;=КаникулыРоялти),0,AH26*IF(РоялтиПоГруппам="Да",MeanMinAge06+AH9*SUMIF(ThresholdAge06,"&lt;"&amp;AH9,WeightedRevAge06)-SUMIF(ThresholdAge06,"&lt;"&amp;AH9,WeightedMinAge06),MAX(CapacityAge06*АбонементНовых*AH9,MeanMinAge06)))</f>
        <v/>
      </c>
      <c r="AI53" s="87">
        <f>IF(OR(AI26=0,6&lt;=КаникулыРоялти),0,AI26*IF(РоялтиПоГруппам="Да",MeanMinAge06+AI9*SUMIF(ThresholdAge06,"&lt;"&amp;AI9,WeightedRevAge06)-SUMIF(ThresholdAge06,"&lt;"&amp;AI9,WeightedMinAge06),MAX(CapacityAge06*АбонементНовых*AI9,MeanMinAge06)))</f>
        <v/>
      </c>
      <c r="AJ53" s="87">
        <f>IF(OR(AJ26=0,6&lt;=КаникулыРоялти),0,AJ26*IF(РоялтиПоГруппам="Да",MeanMinAge06+AJ9*SUMIF(ThresholdAge06,"&lt;"&amp;AJ9,WeightedRevAge06)-SUMIF(ThresholdAge06,"&lt;"&amp;AJ9,WeightedMinAge06),MAX(CapacityAge06*АбонементНовых*AJ9,MeanMinAge06)))</f>
        <v/>
      </c>
      <c r="AK53" s="87">
        <f>IF(OR(AK26=0,6&lt;=КаникулыРоялти),0,AK26*IF(РоялтиПоГруппам="Да",MeanMinAge06+AK9*SUMIF(ThresholdAge06,"&lt;"&amp;AK9,WeightedRevAge06)-SUMIF(ThresholdAge06,"&lt;"&amp;AK9,WeightedMinAge06),MAX(CapacityAge06*АбонементНовых*AK9,MeanMinAge06)))</f>
        <v/>
      </c>
      <c r="AL53" s="87">
        <f>IF(OR(AL26=0,6&lt;=КаникулыРоялти),0,AL26*IF(РоялтиПоГруппам="Да",MeanMinAge06+AL9*SUMIF(ThresholdAge06,"&lt;"&amp;AL9,WeightedRevAge06)-SUMIF(ThresholdAge06,"&lt;"&amp;AL9,WeightedMinAge06),MAX(CapacityAge06*АбонементНовых*AL9,MeanMinAge06)))</f>
        <v/>
      </c>
      <c r="AM53" s="87">
        <f>IF(OR(AM26=0,6&lt;=КаникулыРоялти),0,AM26*IF(РоялтиПоГруппам="Да",MeanMinAge06+AM9*SUMIF(ThresholdAge06,"&lt;"&amp;AM9,WeightedRevAge06)-SUMIF(ThresholdAge06,"&lt;"&amp;AM9,WeightedMinAge06),MAX(CapacityAge06*АбонементНовых*AM9,MeanMinAge06)))</f>
        <v/>
      </c>
      <c r="AN53" s="87">
        <f>IF(OR(AN26=0,6&lt;=КаникулыРоялти),0,AN26*IF(РоялтиПоГруппам="Да",MeanMinAge06+AN9*SUMIF(ThresholdAge06,"&lt;"&amp;AN9,WeightedRevAge06)-SUMIF(ThresholdAge06,"&lt;"&amp;AN9,WeightedMinAge06),MAX(CapacityAge06*АбонементНовых*AN9,MeanMinAge06)))</f>
        <v/>
      </c>
      <c r="AO53" s="87">
        <f>IF(OR(AO26=0,6&lt;=КаникулыРоялти),0,AO26*IF(РоялтиПоГруппам="Да",MeanMinAge06+AO9*SUMIF(ThresholdAge06,"&lt;"&amp;AO9,WeightedRevAge06)-SUMIF(ThresholdAge06,"&lt;"&amp;AO9,WeightedMinAge06),MAX(CapacityAge06*АбонементНовых*AO9,MeanMinAge06)))</f>
        <v/>
      </c>
      <c r="AP53" s="87">
        <f>IF(OR(AP26=0,6&lt;=КаникулыРоялти),0,AP26*IF(РоялтиПоГруппам="Да",MeanMinAge06+AP9*SUMIF(ThresholdAge06,"&lt;"&amp;AP9,WeightedRevAge06)-SUMIF(ThresholdAge06,"&lt;"&amp;AP9,WeightedMinAge06),MAX(CapacityAge06*АбонементНовых*AP9,MeanMinAge06)))</f>
        <v/>
      </c>
      <c r="AQ53" s="87">
        <f>IF(OR(AQ26=0,6&lt;=КаникулыРоялти),0,AQ26*IF(РоялтиПоГруппам="Да",MeanMinAge06+AQ9*SUMIF(ThresholdAge06,"&lt;"&amp;AQ9,WeightedRevAge06)-SUMIF(ThresholdAge06,"&lt;"&amp;AQ9,WeightedMinAge06),MAX(CapacityAge06*АбонементНовых*AQ9,MeanMinAge06)))</f>
        <v/>
      </c>
      <c r="AR53" s="87">
        <f>IF(OR(AR26=0,6&lt;=КаникулыРоялти),0,AR26*IF(РоялтиПоГруппам="Да",MeanMinAge06+AR9*SUMIF(ThresholdAge06,"&lt;"&amp;AR9,WeightedRevAge06)-SUMIF(ThresholdAge06,"&lt;"&amp;AR9,WeightedMinAge06),MAX(CapacityAge06*АбонементНовых*AR9,MeanMinAge06)))</f>
        <v/>
      </c>
      <c r="AS53" s="87">
        <f>IF(OR(AS26=0,6&lt;=КаникулыРоялти),0,AS26*IF(РоялтиПоГруппам="Да",MeanMinAge06+AS9*SUMIF(ThresholdAge06,"&lt;"&amp;AS9,WeightedRevAge06)-SUMIF(ThresholdAge06,"&lt;"&amp;AS9,WeightedMinAge06),MAX(CapacityAge06*АбонементНовых*AS9,MeanMinAge06)))</f>
        <v/>
      </c>
      <c r="AT53" s="87">
        <f>IF(OR(AT26=0,6&lt;=КаникулыРоялти),0,AT26*IF(РоялтиПоГруппам="Да",MeanMinAge06+AT9*SUMIF(ThresholdAge06,"&lt;"&amp;AT9,WeightedRevAge06)-SUMIF(ThresholdAge06,"&lt;"&amp;AT9,WeightedMinAge06),MAX(CapacityAge06*АбонементНовых*AT9,MeanMinAge06)))</f>
        <v/>
      </c>
      <c r="AU53" s="87">
        <f>IF(OR(AU26=0,6&lt;=КаникулыРоялти),0,AU26*IF(РоялтиПоГруппам="Да",MeanMinAge06+AU9*SUMIF(ThresholdAge06,"&lt;"&amp;AU9,WeightedRevAge06)-SUMIF(ThresholdAge06,"&lt;"&amp;AU9,WeightedMinAge06),MAX(CapacityAge06*АбонементНовых*AU9,MeanMinAge06)))</f>
        <v/>
      </c>
      <c r="AV53" s="87">
        <f>IF(OR(AV26=0,6&lt;=КаникулыРоялти),0,AV26*IF(РоялтиПоГруппам="Да",MeanMinAge06+AV9*SUMIF(ThresholdAge06,"&lt;"&amp;AV9,WeightedRevAge06)-SUMIF(ThresholdAge06,"&lt;"&amp;AV9,WeightedMinAge06),MAX(CapacityAge06*АбонементНовых*AV9,MeanMinAge06)))</f>
        <v/>
      </c>
      <c r="AW53" s="87">
        <f>IF(OR(AW26=0,6&lt;=КаникулыРоялти),0,AW26*IF(РоялтиПоГруппам="Да",MeanMinAge06+AW9*SUMIF(ThresholdAge06,"&lt;"&amp;AW9,WeightedRevAge06)-SUMIF(ThresholdAge06,"&lt;"&amp;AW9,WeightedMinAge06),MAX(CapacityAge06*АбонементНовых*AW9,MeanMinAge06)))</f>
        <v/>
      </c>
      <c r="AX53" s="87">
        <f>IF(OR(AX26=0,6&lt;=КаникулыРоялти),0,AX26*IF(РоялтиПоГруппам="Да",MeanMinAge06+AX9*SUMIF(ThresholdAge06,"&lt;"&amp;AX9,WeightedRevAge06)-SUMIF(ThresholdAge06,"&lt;"&amp;AX9,WeightedMinAge06),MAX(CapacityAge06*АбонементНовых*AX9,MeanMinAge06)))</f>
        <v/>
      </c>
      <c r="AY53" s="87">
        <f>IF(OR(AY26=0,6&lt;=КаникулыРоялти),0,AY26*IF(РоялтиПоГруппам="Да",MeanMinAge06+AY9*SUMIF(ThresholdAge06,"&lt;"&amp;AY9,WeightedRevAge06)-SUMIF(ThresholdAge06,"&lt;"&amp;AY9,WeightedMinAge06),MAX(CapacityAge06*АбонементНовых*AY9,MeanMinAge06)))</f>
        <v/>
      </c>
      <c r="AZ53" s="87">
        <f>IF(OR(AZ26=0,6&lt;=КаникулыРоялти),0,AZ26*IF(РоялтиПоГруппам="Да",MeanMinAge06+AZ9*SUMIF(ThresholdAge06,"&lt;"&amp;AZ9,WeightedRevAge06)-SUMIF(ThresholdAge06,"&lt;"&amp;AZ9,WeightedMinAge06),MAX(CapacityAge06*АбонементНовых*AZ9,MeanMinAge06)))</f>
        <v/>
      </c>
      <c r="BA53" s="87">
        <f>IF(OR(BA26=0,6&lt;=КаникулыРоялти),0,BA26*IF(РоялтиПоГруппам="Да",MeanMinAge06+BA9*SUMIF(ThresholdAge06,"&lt;"&amp;BA9,WeightedRevAge06)-SUMIF(ThresholdAge06,"&lt;"&amp;BA9,WeightedMinAge06),MAX(CapacityAge06*АбонементНовых*BA9,MeanMinAge06)))</f>
        <v/>
      </c>
      <c r="BB53" s="87">
        <f>IF(OR(BB26=0,6&lt;=КаникулыРоялти),0,BB26*IF(РоялтиПоГруппам="Да",MeanMinAge06+BB9*SUMIF(ThresholdAge06,"&lt;"&amp;BB9,WeightedRevAge06)-SUMIF(ThresholdAge06,"&lt;"&amp;BB9,WeightedMinAge06),MAX(CapacityAge06*АбонементНовых*BB9,MeanMinAge06)))</f>
        <v/>
      </c>
      <c r="BC53" s="87">
        <f>IF(OR(BC26=0,6&lt;=КаникулыРоялти),0,BC26*IF(РоялтиПоГруппам="Да",MeanMinAge06+BC9*SUMIF(ThresholdAge06,"&lt;"&amp;BC9,WeightedRevAge06)-SUMIF(ThresholdAge06,"&lt;"&amp;BC9,WeightedMinAge06),MAX(CapacityAge06*АбонементНовых*BC9,MeanMinAge06)))</f>
        <v/>
      </c>
      <c r="BD53" s="87">
        <f>IF(OR(BD26=0,6&lt;=КаникулыРоялти),0,BD26*IF(РоялтиПоГруппам="Да",MeanMinAge06+BD9*SUMIF(ThresholdAge06,"&lt;"&amp;BD9,WeightedRevAge06)-SUMIF(ThresholdAge06,"&lt;"&amp;BD9,WeightedMinAge06),MAX(CapacityAge06*АбонементНовых*BD9,MeanMinAge06)))</f>
        <v/>
      </c>
      <c r="BE53" s="87">
        <f>IF(OR(BE26=0,6&lt;=КаникулыРоялти),0,BE26*IF(РоялтиПоГруппам="Да",MeanMinAge06+BE9*SUMIF(ThresholdAge06,"&lt;"&amp;BE9,WeightedRevAge06)-SUMIF(ThresholdAge06,"&lt;"&amp;BE9,WeightedMinAge06),MAX(CapacityAge06*АбонементНовых*BE9,MeanMinAge06)))</f>
        <v/>
      </c>
      <c r="BF53" s="87">
        <f>IF(OR(BF26=0,6&lt;=КаникулыРоялти),0,BF26*IF(РоялтиПоГруппам="Да",MeanMinAge06+BF9*SUMIF(ThresholdAge06,"&lt;"&amp;BF9,WeightedRevAge06)-SUMIF(ThresholdAge06,"&lt;"&amp;BF9,WeightedMinAge06),MAX(CapacityAge06*АбонементНовых*BF9,MeanMinAge06)))</f>
        <v/>
      </c>
      <c r="BG53" s="87">
        <f>IF(OR(BG26=0,6&lt;=КаникулыРоялти),0,BG26*IF(РоялтиПоГруппам="Да",MeanMinAge06+BG9*SUMIF(ThresholdAge06,"&lt;"&amp;BG9,WeightedRevAge06)-SUMIF(ThresholdAge06,"&lt;"&amp;BG9,WeightedMinAge06),MAX(CapacityAge06*АбонементНовых*BG9,MeanMinAge06)))</f>
        <v/>
      </c>
      <c r="BH53" s="87">
        <f>IF(OR(BH26=0,6&lt;=КаникулыРоялти),0,BH26*IF(РоялтиПоГруппам="Да",MeanMinAge06+BH9*SUMIF(ThresholdAge06,"&lt;"&amp;BH9,WeightedRevAge06)-SUMIF(ThresholdAge06,"&lt;"&amp;BH9,WeightedMinAge06),MAX(CapacityAge06*АбонементНовых*BH9,MeanMinAge06)))</f>
        <v/>
      </c>
      <c r="BI53" s="87">
        <f>IF(OR(BI26=0,6&lt;=КаникулыРоялти),0,BI26*IF(РоялтиПоГруппам="Да",MeanMinAge06+BI9*SUMIF(ThresholdAge06,"&lt;"&amp;BI9,WeightedRevAge06)-SUMIF(ThresholdAge06,"&lt;"&amp;BI9,WeightedMinAge06),MAX(CapacityAge06*АбонементНовых*BI9,MeanMinAge06)))</f>
        <v/>
      </c>
      <c r="BJ53" s="87">
        <f>IF(OR(BJ26=0,6&lt;=КаникулыРоялти),0,BJ26*IF(РоялтиПоГруппам="Да",MeanMinAge06+BJ9*SUMIF(ThresholdAge06,"&lt;"&amp;BJ9,WeightedRevAge06)-SUMIF(ThresholdAge06,"&lt;"&amp;BJ9,WeightedMinAge06),MAX(CapacityAge06*АбонементНовых*BJ9,MeanMinAge06)))</f>
        <v/>
      </c>
      <c r="BK53" s="87">
        <f>IF(OR(BK26=0,6&lt;=КаникулыРоялти),0,BK26*IF(РоялтиПоГруппам="Да",MeanMinAge06+BK9*SUMIF(ThresholdAge06,"&lt;"&amp;BK9,WeightedRevAge06)-SUMIF(ThresholdAge06,"&lt;"&amp;BK9,WeightedMinAge06),MAX(CapacityAge06*АбонементНовых*BK9,MeanMinAge06)))</f>
        <v/>
      </c>
      <c r="BL53" s="87">
        <f>IF(OR(BL26=0,6&lt;=КаникулыРоялти),0,BL26*IF(РоялтиПоГруппам="Да",MeanMinAge06+BL9*SUMIF(ThresholdAge06,"&lt;"&amp;BL9,WeightedRevAge06)-SUMIF(ThresholdAge06,"&lt;"&amp;BL9,WeightedMinAge06),MAX(CapacityAge06*АбонементНовых*BL9,MeanMinAge06)))</f>
        <v/>
      </c>
      <c r="BM53" s="87">
        <f>IF(OR(BM26=0,6&lt;=КаникулыРоялти),0,BM26*IF(РоялтиПоГруппам="Да",MeanMinAge06+BM9*SUMIF(ThresholdAge06,"&lt;"&amp;BM9,WeightedRevAge06)-SUMIF(ThresholdAge06,"&lt;"&amp;BM9,WeightedMinAge06),MAX(CapacityAge06*АбонементНовых*BM9,MeanMinAge06)))</f>
        <v/>
      </c>
      <c r="BN53" s="87">
        <f>IF(OR(BN26=0,6&lt;=КаникулыРоялти),0,BN26*IF(РоялтиПоГруппам="Да",MeanMinAge06+BN9*SUMIF(ThresholdAge06,"&lt;"&amp;BN9,WeightedRevAge06)-SUMIF(ThresholdAge06,"&lt;"&amp;BN9,WeightedMinAge06),MAX(CapacityAge06*АбонементНовых*BN9,MeanMinAge06)))</f>
        <v/>
      </c>
      <c r="BO53" s="87">
        <f>IF(OR(BO26=0,6&lt;=КаникулыРоялти),0,BO26*IF(РоялтиПоГруппам="Да",MeanMinAge06+BO9*SUMIF(ThresholdAge06,"&lt;"&amp;BO9,WeightedRevAge06)-SUMIF(ThresholdAge06,"&lt;"&amp;BO9,WeightedMinAge06),MAX(CapacityAge06*АбонементНовых*BO9,MeanMinAge06)))</f>
        <v/>
      </c>
      <c r="BP53" s="87">
        <f>IF(OR(BP26=0,6&lt;=КаникулыРоялти),0,BP26*IF(РоялтиПоГруппам="Да",MeanMinAge06+BP9*SUMIF(ThresholdAge06,"&lt;"&amp;BP9,WeightedRevAge06)-SUMIF(ThresholdAge06,"&lt;"&amp;BP9,WeightedMinAge06),MAX(CapacityAge06*АбонементНовых*BP9,MeanMinAge06)))</f>
        <v/>
      </c>
      <c r="BQ53" s="87">
        <f>IF(OR(BQ26=0,6&lt;=КаникулыРоялти),0,BQ26*IF(РоялтиПоГруппам="Да",MeanMinAge06+BQ9*SUMIF(ThresholdAge06,"&lt;"&amp;BQ9,WeightedRevAge06)-SUMIF(ThresholdAge06,"&lt;"&amp;BQ9,WeightedMinAge06),MAX(CapacityAge06*АбонементНовых*BQ9,MeanMinAge06)))</f>
        <v/>
      </c>
      <c r="BR53" s="87">
        <f>IF(OR(BR26=0,6&lt;=КаникулыРоялти),0,BR26*IF(РоялтиПоГруппам="Да",MeanMinAge06+BR9*SUMIF(ThresholdAge06,"&lt;"&amp;BR9,WeightedRevAge06)-SUMIF(ThresholdAge06,"&lt;"&amp;BR9,WeightedMinAge06),MAX(CapacityAge06*АбонементНовых*BR9,MeanMinAge06)))</f>
        <v/>
      </c>
      <c r="BS53" s="87">
        <f>IF(OR(BS26=0,6&lt;=КаникулыРоялти),0,BS26*IF(РоялтиПоГруппам="Да",MeanMinAge06+BS9*SUMIF(ThresholdAge06,"&lt;"&amp;BS9,WeightedRevAge06)-SUMIF(ThresholdAge06,"&lt;"&amp;BS9,WeightedMinAge06),MAX(CapacityAge06*АбонементНовых*BS9,MeanMinAge06)))</f>
        <v/>
      </c>
      <c r="BT53" s="87">
        <f>IF(OR(BT26=0,6&lt;=КаникулыРоялти),0,BT26*IF(РоялтиПоГруппам="Да",MeanMinAge06+BT9*SUMIF(ThresholdAge06,"&lt;"&amp;BT9,WeightedRevAge06)-SUMIF(ThresholdAge06,"&lt;"&amp;BT9,WeightedMinAge06),MAX(CapacityAge06*АбонементНовых*BT9,MeanMinAge06)))</f>
        <v/>
      </c>
      <c r="BU53" s="87">
        <f>IF(OR(BU26=0,6&lt;=КаникулыРоялти),0,BU26*IF(РоялтиПоГруппам="Да",MeanMinAge06+BU9*SUMIF(ThresholdAge06,"&lt;"&amp;BU9,WeightedRevAge06)-SUMIF(ThresholdAge06,"&lt;"&amp;BU9,WeightedMinAge06),MAX(CapacityAge06*АбонементНовых*BU9,MeanMinAge06)))</f>
        <v/>
      </c>
      <c r="BV53" s="87">
        <f>IF(OR(BV26=0,6&lt;=КаникулыРоялти),0,BV26*IF(РоялтиПоГруппам="Да",MeanMinAge06+BV9*SUMIF(ThresholdAge06,"&lt;"&amp;BV9,WeightedRevAge06)-SUMIF(ThresholdAge06,"&lt;"&amp;BV9,WeightedMinAge06),MAX(CapacityAge06*АбонементНовых*BV9,MeanMinAge06)))</f>
        <v/>
      </c>
      <c r="BW53" s="87">
        <f>IF(OR(BW26=0,6&lt;=КаникулыРоялти),0,BW26*IF(РоялтиПоГруппам="Да",MeanMinAge06+BW9*SUMIF(ThresholdAge06,"&lt;"&amp;BW9,WeightedRevAge06)-SUMIF(ThresholdAge06,"&lt;"&amp;BW9,WeightedMinAge06),MAX(CapacityAge06*АбонементНовых*BW9,MeanMinAge06)))</f>
        <v/>
      </c>
      <c r="BX53" s="87">
        <f>IF(OR(BX26=0,6&lt;=КаникулыРоялти),0,BX26*IF(РоялтиПоГруппам="Да",MeanMinAge06+BX9*SUMIF(ThresholdAge06,"&lt;"&amp;BX9,WeightedRevAge06)-SUMIF(ThresholdAge06,"&lt;"&amp;BX9,WeightedMinAge06),MAX(CapacityAge06*АбонементНовых*BX9,MeanMinAge06)))</f>
        <v/>
      </c>
      <c r="BY53" s="87">
        <f>IF(OR(BY26=0,6&lt;=КаникулыРоялти),0,BY26*IF(РоялтиПоГруппам="Да",MeanMinAge06+BY9*SUMIF(ThresholdAge06,"&lt;"&amp;BY9,WeightedRevAge06)-SUMIF(ThresholdAge06,"&lt;"&amp;BY9,WeightedMinAge06),MAX(CapacityAge06*АбонементНовых*BY9,MeanMinAge06)))</f>
        <v/>
      </c>
    </row>
    <row r="54" ht="15.75" customHeight="1" s="194">
      <c r="B54" s="56" t="inlineStr">
        <is>
          <t>7 мес.</t>
        </is>
      </c>
      <c r="C54" s="56" t="inlineStr">
        <is>
          <t>₽</t>
        </is>
      </c>
      <c r="D54" s="57" t="n"/>
      <c r="E54" s="85">
        <f>SUM(L54:W54)</f>
        <v/>
      </c>
      <c r="F54" s="85">
        <f>SUM(X54:AI54)</f>
        <v/>
      </c>
      <c r="G54" s="85">
        <f>SUM(AJ54:AU54)</f>
        <v/>
      </c>
      <c r="H54" s="85">
        <f>SUM(AV54:BG54)</f>
        <v/>
      </c>
      <c r="I54" s="85">
        <f>SUM(BH54:BS54)</f>
        <v/>
      </c>
      <c r="J54" s="86">
        <f>SUM(L54:BS54)</f>
        <v/>
      </c>
      <c r="L54" s="87">
        <f>IF(OR(L27=0,7&lt;=КаникулыРоялти),0,L27*IF(РоялтиПоГруппам="Да",MeanMinAge07+L9*SUMIF(ThresholdAge07,"&lt;"&amp;L9,WeightedRevAge07)-SUMIF(ThresholdAge07,"&lt;"&amp;L9,WeightedMinAge07),MAX(CapacityAge07*АбонементНовых*L9,MeanMinAge07)))</f>
        <v/>
      </c>
      <c r="M54" s="87">
        <f>IF(OR(M27=0,7&lt;=КаникулыРоялти),0,M27*IF(РоялтиПоГруппам="Да",MeanMinAge07+M9*SUMIF(ThresholdAge07,"&lt;"&amp;M9,WeightedRevAge07)-SUMIF(ThresholdAge07,"&lt;"&amp;M9,WeightedMinAge07),MAX(CapacityAge07*АбонементНовых*M9,MeanMinAge07)))</f>
        <v/>
      </c>
      <c r="N54" s="87">
        <f>IF(OR(N27=0,7&lt;=КаникулыРоялти),0,N27*IF(РоялтиПоГруппам="Да",MeanMinAge07+N9*SUMIF(ThresholdAge07,"&lt;"&amp;N9,WeightedRevAge07)-SUMIF(ThresholdAge07,"&lt;"&amp;N9,WeightedMinAge07),MAX(CapacityAge07*АбонементНовых*N9,MeanMinAge07)))</f>
        <v/>
      </c>
      <c r="O54" s="87">
        <f>IF(OR(O27=0,7&lt;=КаникулыРоялти),0,O27*IF(РоялтиПоГруппам="Да",MeanMinAge07+O9*SUMIF(ThresholdAge07,"&lt;"&amp;O9,WeightedRevAge07)-SUMIF(ThresholdAge07,"&lt;"&amp;O9,WeightedMinAge07),MAX(CapacityAge07*АбонементНовых*O9,MeanMinAge07)))</f>
        <v/>
      </c>
      <c r="P54" s="87">
        <f>IF(OR(P27=0,7&lt;=КаникулыРоялти),0,P27*IF(РоялтиПоГруппам="Да",MeanMinAge07+P9*SUMIF(ThresholdAge07,"&lt;"&amp;P9,WeightedRevAge07)-SUMIF(ThresholdAge07,"&lt;"&amp;P9,WeightedMinAge07),MAX(CapacityAge07*АбонементНовых*P9,MeanMinAge07)))</f>
        <v/>
      </c>
      <c r="Q54" s="87">
        <f>IF(OR(Q27=0,7&lt;=КаникулыРоялти),0,Q27*IF(РоялтиПоГруппам="Да",MeanMinAge07+Q9*SUMIF(ThresholdAge07,"&lt;"&amp;Q9,WeightedRevAge07)-SUMIF(ThresholdAge07,"&lt;"&amp;Q9,WeightedMinAge07),MAX(CapacityAge07*АбонементНовых*Q9,MeanMinAge07)))</f>
        <v/>
      </c>
      <c r="R54" s="87">
        <f>IF(OR(R27=0,7&lt;=КаникулыРоялти),0,R27*IF(РоялтиПоГруппам="Да",MeanMinAge07+R9*SUMIF(ThresholdAge07,"&lt;"&amp;R9,WeightedRevAge07)-SUMIF(ThresholdAge07,"&lt;"&amp;R9,WeightedMinAge07),MAX(CapacityAge07*АбонементНовых*R9,MeanMinAge07)))</f>
        <v/>
      </c>
      <c r="S54" s="87">
        <f>IF(OR(S27=0,7&lt;=КаникулыРоялти),0,S27*IF(РоялтиПоГруппам="Да",MeanMinAge07+S9*SUMIF(ThresholdAge07,"&lt;"&amp;S9,WeightedRevAge07)-SUMIF(ThresholdAge07,"&lt;"&amp;S9,WeightedMinAge07),MAX(CapacityAge07*АбонементНовых*S9,MeanMinAge07)))</f>
        <v/>
      </c>
      <c r="T54" s="87">
        <f>IF(OR(T27=0,7&lt;=КаникулыРоялти),0,T27*IF(РоялтиПоГруппам="Да",MeanMinAge07+T9*SUMIF(ThresholdAge07,"&lt;"&amp;T9,WeightedRevAge07)-SUMIF(ThresholdAge07,"&lt;"&amp;T9,WeightedMinAge07),MAX(CapacityAge07*АбонементНовых*T9,MeanMinAge07)))</f>
        <v/>
      </c>
      <c r="U54" s="87">
        <f>IF(OR(U27=0,7&lt;=КаникулыРоялти),0,U27*IF(РоялтиПоГруппам="Да",MeanMinAge07+U9*SUMIF(ThresholdAge07,"&lt;"&amp;U9,WeightedRevAge07)-SUMIF(ThresholdAge07,"&lt;"&amp;U9,WeightedMinAge07),MAX(CapacityAge07*АбонементНовых*U9,MeanMinAge07)))</f>
        <v/>
      </c>
      <c r="V54" s="87">
        <f>IF(OR(V27=0,7&lt;=КаникулыРоялти),0,V27*IF(РоялтиПоГруппам="Да",MeanMinAge07+V9*SUMIF(ThresholdAge07,"&lt;"&amp;V9,WeightedRevAge07)-SUMIF(ThresholdAge07,"&lt;"&amp;V9,WeightedMinAge07),MAX(CapacityAge07*АбонементНовых*V9,MeanMinAge07)))</f>
        <v/>
      </c>
      <c r="W54" s="87">
        <f>IF(OR(W27=0,7&lt;=КаникулыРоялти),0,W27*IF(РоялтиПоГруппам="Да",MeanMinAge07+W9*SUMIF(ThresholdAge07,"&lt;"&amp;W9,WeightedRevAge07)-SUMIF(ThresholdAge07,"&lt;"&amp;W9,WeightedMinAge07),MAX(CapacityAge07*АбонементНовых*W9,MeanMinAge07)))</f>
        <v/>
      </c>
      <c r="X54" s="87">
        <f>IF(OR(X27=0,7&lt;=КаникулыРоялти),0,X27*IF(РоялтиПоГруппам="Да",MeanMinAge07+X9*SUMIF(ThresholdAge07,"&lt;"&amp;X9,WeightedRevAge07)-SUMIF(ThresholdAge07,"&lt;"&amp;X9,WeightedMinAge07),MAX(CapacityAge07*АбонементНовых*X9,MeanMinAge07)))</f>
        <v/>
      </c>
      <c r="Y54" s="87">
        <f>IF(OR(Y27=0,7&lt;=КаникулыРоялти),0,Y27*IF(РоялтиПоГруппам="Да",MeanMinAge07+Y9*SUMIF(ThresholdAge07,"&lt;"&amp;Y9,WeightedRevAge07)-SUMIF(ThresholdAge07,"&lt;"&amp;Y9,WeightedMinAge07),MAX(CapacityAge07*АбонементНовых*Y9,MeanMinAge07)))</f>
        <v/>
      </c>
      <c r="Z54" s="87">
        <f>IF(OR(Z27=0,7&lt;=КаникулыРоялти),0,Z27*IF(РоялтиПоГруппам="Да",MeanMinAge07+Z9*SUMIF(ThresholdAge07,"&lt;"&amp;Z9,WeightedRevAge07)-SUMIF(ThresholdAge07,"&lt;"&amp;Z9,WeightedMinAge07),MAX(CapacityAge07*АбонементНовых*Z9,MeanMinAge07)))</f>
        <v/>
      </c>
      <c r="AA54" s="87">
        <f>IF(OR(AA27=0,7&lt;=КаникулыРоялти),0,AA27*IF(РоялтиПоГруппам="Да",MeanMinAge07+AA9*SUMIF(ThresholdAge07,"&lt;"&amp;AA9,WeightedRevAge07)-SUMIF(ThresholdAge07,"&lt;"&amp;AA9,WeightedMinAge07),MAX(CapacityAge07*АбонементНовых*AA9,MeanMinAge07)))</f>
        <v/>
      </c>
      <c r="AB54" s="87">
        <f>IF(OR(AB27=0,7&lt;=КаникулыРоялти),0,AB27*IF(РоялтиПоГруппам="Да",MeanMinAge07+AB9*SUMIF(ThresholdAge07,"&lt;"&amp;AB9,WeightedRevAge07)-SUMIF(ThresholdAge07,"&lt;"&amp;AB9,WeightedMinAge07),MAX(CapacityAge07*АбонементНовых*AB9,MeanMinAge07)))</f>
        <v/>
      </c>
      <c r="AC54" s="87">
        <f>IF(OR(AC27=0,7&lt;=КаникулыРоялти),0,AC27*IF(РоялтиПоГруппам="Да",MeanMinAge07+AC9*SUMIF(ThresholdAge07,"&lt;"&amp;AC9,WeightedRevAge07)-SUMIF(ThresholdAge07,"&lt;"&amp;AC9,WeightedMinAge07),MAX(CapacityAge07*АбонементНовых*AC9,MeanMinAge07)))</f>
        <v/>
      </c>
      <c r="AD54" s="87">
        <f>IF(OR(AD27=0,7&lt;=КаникулыРоялти),0,AD27*IF(РоялтиПоГруппам="Да",MeanMinAge07+AD9*SUMIF(ThresholdAge07,"&lt;"&amp;AD9,WeightedRevAge07)-SUMIF(ThresholdAge07,"&lt;"&amp;AD9,WeightedMinAge07),MAX(CapacityAge07*АбонементНовых*AD9,MeanMinAge07)))</f>
        <v/>
      </c>
      <c r="AE54" s="87">
        <f>IF(OR(AE27=0,7&lt;=КаникулыРоялти),0,AE27*IF(РоялтиПоГруппам="Да",MeanMinAge07+AE9*SUMIF(ThresholdAge07,"&lt;"&amp;AE9,WeightedRevAge07)-SUMIF(ThresholdAge07,"&lt;"&amp;AE9,WeightedMinAge07),MAX(CapacityAge07*АбонементНовых*AE9,MeanMinAge07)))</f>
        <v/>
      </c>
      <c r="AF54" s="87">
        <f>IF(OR(AF27=0,7&lt;=КаникулыРоялти),0,AF27*IF(РоялтиПоГруппам="Да",MeanMinAge07+AF9*SUMIF(ThresholdAge07,"&lt;"&amp;AF9,WeightedRevAge07)-SUMIF(ThresholdAge07,"&lt;"&amp;AF9,WeightedMinAge07),MAX(CapacityAge07*АбонементНовых*AF9,MeanMinAge07)))</f>
        <v/>
      </c>
      <c r="AG54" s="87">
        <f>IF(OR(AG27=0,7&lt;=КаникулыРоялти),0,AG27*IF(РоялтиПоГруппам="Да",MeanMinAge07+AG9*SUMIF(ThresholdAge07,"&lt;"&amp;AG9,WeightedRevAge07)-SUMIF(ThresholdAge07,"&lt;"&amp;AG9,WeightedMinAge07),MAX(CapacityAge07*АбонементНовых*AG9,MeanMinAge07)))</f>
        <v/>
      </c>
      <c r="AH54" s="87">
        <f>IF(OR(AH27=0,7&lt;=КаникулыРоялти),0,AH27*IF(РоялтиПоГруппам="Да",MeanMinAge07+AH9*SUMIF(ThresholdAge07,"&lt;"&amp;AH9,WeightedRevAge07)-SUMIF(ThresholdAge07,"&lt;"&amp;AH9,WeightedMinAge07),MAX(CapacityAge07*АбонементНовых*AH9,MeanMinAge07)))</f>
        <v/>
      </c>
      <c r="AI54" s="87">
        <f>IF(OR(AI27=0,7&lt;=КаникулыРоялти),0,AI27*IF(РоялтиПоГруппам="Да",MeanMinAge07+AI9*SUMIF(ThresholdAge07,"&lt;"&amp;AI9,WeightedRevAge07)-SUMIF(ThresholdAge07,"&lt;"&amp;AI9,WeightedMinAge07),MAX(CapacityAge07*АбонементНовых*AI9,MeanMinAge07)))</f>
        <v/>
      </c>
      <c r="AJ54" s="87">
        <f>IF(OR(AJ27=0,7&lt;=КаникулыРоялти),0,AJ27*IF(РоялтиПоГруппам="Да",MeanMinAge07+AJ9*SUMIF(ThresholdAge07,"&lt;"&amp;AJ9,WeightedRevAge07)-SUMIF(ThresholdAge07,"&lt;"&amp;AJ9,WeightedMinAge07),MAX(CapacityAge07*АбонементНовых*AJ9,MeanMinAge07)))</f>
        <v/>
      </c>
      <c r="AK54" s="87">
        <f>IF(OR(AK27=0,7&lt;=КаникулыРоялти),0,AK27*IF(РоялтиПоГруппам="Да",MeanMinAge07+AK9*SUMIF(ThresholdAge07,"&lt;"&amp;AK9,WeightedRevAge07)-SUMIF(ThresholdAge07,"&lt;"&amp;AK9,WeightedMinAge07),MAX(CapacityAge07*АбонементНовых*AK9,MeanMinAge07)))</f>
        <v/>
      </c>
      <c r="AL54" s="87">
        <f>IF(OR(AL27=0,7&lt;=КаникулыРоялти),0,AL27*IF(РоялтиПоГруппам="Да",MeanMinAge07+AL9*SUMIF(ThresholdAge07,"&lt;"&amp;AL9,WeightedRevAge07)-SUMIF(ThresholdAge07,"&lt;"&amp;AL9,WeightedMinAge07),MAX(CapacityAge07*АбонементНовых*AL9,MeanMinAge07)))</f>
        <v/>
      </c>
      <c r="AM54" s="87">
        <f>IF(OR(AM27=0,7&lt;=КаникулыРоялти),0,AM27*IF(РоялтиПоГруппам="Да",MeanMinAge07+AM9*SUMIF(ThresholdAge07,"&lt;"&amp;AM9,WeightedRevAge07)-SUMIF(ThresholdAge07,"&lt;"&amp;AM9,WeightedMinAge07),MAX(CapacityAge07*АбонементНовых*AM9,MeanMinAge07)))</f>
        <v/>
      </c>
      <c r="AN54" s="87">
        <f>IF(OR(AN27=0,7&lt;=КаникулыРоялти),0,AN27*IF(РоялтиПоГруппам="Да",MeanMinAge07+AN9*SUMIF(ThresholdAge07,"&lt;"&amp;AN9,WeightedRevAge07)-SUMIF(ThresholdAge07,"&lt;"&amp;AN9,WeightedMinAge07),MAX(CapacityAge07*АбонементНовых*AN9,MeanMinAge07)))</f>
        <v/>
      </c>
      <c r="AO54" s="87">
        <f>IF(OR(AO27=0,7&lt;=КаникулыРоялти),0,AO27*IF(РоялтиПоГруппам="Да",MeanMinAge07+AO9*SUMIF(ThresholdAge07,"&lt;"&amp;AO9,WeightedRevAge07)-SUMIF(ThresholdAge07,"&lt;"&amp;AO9,WeightedMinAge07),MAX(CapacityAge07*АбонементНовых*AO9,MeanMinAge07)))</f>
        <v/>
      </c>
      <c r="AP54" s="87">
        <f>IF(OR(AP27=0,7&lt;=КаникулыРоялти),0,AP27*IF(РоялтиПоГруппам="Да",MeanMinAge07+AP9*SUMIF(ThresholdAge07,"&lt;"&amp;AP9,WeightedRevAge07)-SUMIF(ThresholdAge07,"&lt;"&amp;AP9,WeightedMinAge07),MAX(CapacityAge07*АбонементНовых*AP9,MeanMinAge07)))</f>
        <v/>
      </c>
      <c r="AQ54" s="87">
        <f>IF(OR(AQ27=0,7&lt;=КаникулыРоялти),0,AQ27*IF(РоялтиПоГруппам="Да",MeanMinAge07+AQ9*SUMIF(ThresholdAge07,"&lt;"&amp;AQ9,WeightedRevAge07)-SUMIF(ThresholdAge07,"&lt;"&amp;AQ9,WeightedMinAge07),MAX(CapacityAge07*АбонементНовых*AQ9,MeanMinAge07)))</f>
        <v/>
      </c>
      <c r="AR54" s="87">
        <f>IF(OR(AR27=0,7&lt;=КаникулыРоялти),0,AR27*IF(РоялтиПоГруппам="Да",MeanMinAge07+AR9*SUMIF(ThresholdAge07,"&lt;"&amp;AR9,WeightedRevAge07)-SUMIF(ThresholdAge07,"&lt;"&amp;AR9,WeightedMinAge07),MAX(CapacityAge07*АбонементНовых*AR9,MeanMinAge07)))</f>
        <v/>
      </c>
      <c r="AS54" s="87">
        <f>IF(OR(AS27=0,7&lt;=КаникулыРоялти),0,AS27*IF(РоялтиПоГруппам="Да",MeanMinAge07+AS9*SUMIF(ThresholdAge07,"&lt;"&amp;AS9,WeightedRevAge07)-SUMIF(ThresholdAge07,"&lt;"&amp;AS9,WeightedMinAge07),MAX(CapacityAge07*АбонементНовых*AS9,MeanMinAge07)))</f>
        <v/>
      </c>
      <c r="AT54" s="87">
        <f>IF(OR(AT27=0,7&lt;=КаникулыРоялти),0,AT27*IF(РоялтиПоГруппам="Да",MeanMinAge07+AT9*SUMIF(ThresholdAge07,"&lt;"&amp;AT9,WeightedRevAge07)-SUMIF(ThresholdAge07,"&lt;"&amp;AT9,WeightedMinAge07),MAX(CapacityAge07*АбонементНовых*AT9,MeanMinAge07)))</f>
        <v/>
      </c>
      <c r="AU54" s="87">
        <f>IF(OR(AU27=0,7&lt;=КаникулыРоялти),0,AU27*IF(РоялтиПоГруппам="Да",MeanMinAge07+AU9*SUMIF(ThresholdAge07,"&lt;"&amp;AU9,WeightedRevAge07)-SUMIF(ThresholdAge07,"&lt;"&amp;AU9,WeightedMinAge07),MAX(CapacityAge07*АбонементНовых*AU9,MeanMinAge07)))</f>
        <v/>
      </c>
      <c r="AV54" s="87">
        <f>IF(OR(AV27=0,7&lt;=КаникулыРоялти),0,AV27*IF(РоялтиПоГруппам="Да",MeanMinAge07+AV9*SUMIF(ThresholdAge07,"&lt;"&amp;AV9,WeightedRevAge07)-SUMIF(ThresholdAge07,"&lt;"&amp;AV9,WeightedMinAge07),MAX(CapacityAge07*АбонементНовых*AV9,MeanMinAge07)))</f>
        <v/>
      </c>
      <c r="AW54" s="87">
        <f>IF(OR(AW27=0,7&lt;=КаникулыРоялти),0,AW27*IF(РоялтиПоГруппам="Да",MeanMinAge07+AW9*SUMIF(ThresholdAge07,"&lt;"&amp;AW9,WeightedRevAge07)-SUMIF(ThresholdAge07,"&lt;"&amp;AW9,WeightedMinAge07),MAX(CapacityAge07*АбонементНовых*AW9,MeanMinAge07)))</f>
        <v/>
      </c>
      <c r="AX54" s="87">
        <f>IF(OR(AX27=0,7&lt;=КаникулыРоялти),0,AX27*IF(РоялтиПоГруппам="Да",MeanMinAge07+AX9*SUMIF(ThresholdAge07,"&lt;"&amp;AX9,WeightedRevAge07)-SUMIF(ThresholdAge07,"&lt;"&amp;AX9,WeightedMinAge07),MAX(CapacityAge07*АбонементНовых*AX9,MeanMinAge07)))</f>
        <v/>
      </c>
      <c r="AY54" s="87">
        <f>IF(OR(AY27=0,7&lt;=КаникулыРоялти),0,AY27*IF(РоялтиПоГруппам="Да",MeanMinAge07+AY9*SUMIF(ThresholdAge07,"&lt;"&amp;AY9,WeightedRevAge07)-SUMIF(ThresholdAge07,"&lt;"&amp;AY9,WeightedMinAge07),MAX(CapacityAge07*АбонементНовых*AY9,MeanMinAge07)))</f>
        <v/>
      </c>
      <c r="AZ54" s="87">
        <f>IF(OR(AZ27=0,7&lt;=КаникулыРоялти),0,AZ27*IF(РоялтиПоГруппам="Да",MeanMinAge07+AZ9*SUMIF(ThresholdAge07,"&lt;"&amp;AZ9,WeightedRevAge07)-SUMIF(ThresholdAge07,"&lt;"&amp;AZ9,WeightedMinAge07),MAX(CapacityAge07*АбонементНовых*AZ9,MeanMinAge07)))</f>
        <v/>
      </c>
      <c r="BA54" s="87">
        <f>IF(OR(BA27=0,7&lt;=КаникулыРоялти),0,BA27*IF(РоялтиПоГруппам="Да",MeanMinAge07+BA9*SUMIF(ThresholdAge07,"&lt;"&amp;BA9,WeightedRevAge07)-SUMIF(ThresholdAge07,"&lt;"&amp;BA9,WeightedMinAge07),MAX(CapacityAge07*АбонементНовых*BA9,MeanMinAge07)))</f>
        <v/>
      </c>
      <c r="BB54" s="87">
        <f>IF(OR(BB27=0,7&lt;=КаникулыРоялти),0,BB27*IF(РоялтиПоГруппам="Да",MeanMinAge07+BB9*SUMIF(ThresholdAge07,"&lt;"&amp;BB9,WeightedRevAge07)-SUMIF(ThresholdAge07,"&lt;"&amp;BB9,WeightedMinAge07),MAX(CapacityAge07*АбонементНовых*BB9,MeanMinAge07)))</f>
        <v/>
      </c>
      <c r="BC54" s="87">
        <f>IF(OR(BC27=0,7&lt;=КаникулыРоялти),0,BC27*IF(РоялтиПоГруппам="Да",MeanMinAge07+BC9*SUMIF(ThresholdAge07,"&lt;"&amp;BC9,WeightedRevAge07)-SUMIF(ThresholdAge07,"&lt;"&amp;BC9,WeightedMinAge07),MAX(CapacityAge07*АбонементНовых*BC9,MeanMinAge07)))</f>
        <v/>
      </c>
      <c r="BD54" s="87">
        <f>IF(OR(BD27=0,7&lt;=КаникулыРоялти),0,BD27*IF(РоялтиПоГруппам="Да",MeanMinAge07+BD9*SUMIF(ThresholdAge07,"&lt;"&amp;BD9,WeightedRevAge07)-SUMIF(ThresholdAge07,"&lt;"&amp;BD9,WeightedMinAge07),MAX(CapacityAge07*АбонементНовых*BD9,MeanMinAge07)))</f>
        <v/>
      </c>
      <c r="BE54" s="87">
        <f>IF(OR(BE27=0,7&lt;=КаникулыРоялти),0,BE27*IF(РоялтиПоГруппам="Да",MeanMinAge07+BE9*SUMIF(ThresholdAge07,"&lt;"&amp;BE9,WeightedRevAge07)-SUMIF(ThresholdAge07,"&lt;"&amp;BE9,WeightedMinAge07),MAX(CapacityAge07*АбонементНовых*BE9,MeanMinAge07)))</f>
        <v/>
      </c>
      <c r="BF54" s="87">
        <f>IF(OR(BF27=0,7&lt;=КаникулыРоялти),0,BF27*IF(РоялтиПоГруппам="Да",MeanMinAge07+BF9*SUMIF(ThresholdAge07,"&lt;"&amp;BF9,WeightedRevAge07)-SUMIF(ThresholdAge07,"&lt;"&amp;BF9,WeightedMinAge07),MAX(CapacityAge07*АбонементНовых*BF9,MeanMinAge07)))</f>
        <v/>
      </c>
      <c r="BG54" s="87">
        <f>IF(OR(BG27=0,7&lt;=КаникулыРоялти),0,BG27*IF(РоялтиПоГруппам="Да",MeanMinAge07+BG9*SUMIF(ThresholdAge07,"&lt;"&amp;BG9,WeightedRevAge07)-SUMIF(ThresholdAge07,"&lt;"&amp;BG9,WeightedMinAge07),MAX(CapacityAge07*АбонементНовых*BG9,MeanMinAge07)))</f>
        <v/>
      </c>
      <c r="BH54" s="87">
        <f>IF(OR(BH27=0,7&lt;=КаникулыРоялти),0,BH27*IF(РоялтиПоГруппам="Да",MeanMinAge07+BH9*SUMIF(ThresholdAge07,"&lt;"&amp;BH9,WeightedRevAge07)-SUMIF(ThresholdAge07,"&lt;"&amp;BH9,WeightedMinAge07),MAX(CapacityAge07*АбонементНовых*BH9,MeanMinAge07)))</f>
        <v/>
      </c>
      <c r="BI54" s="87">
        <f>IF(OR(BI27=0,7&lt;=КаникулыРоялти),0,BI27*IF(РоялтиПоГруппам="Да",MeanMinAge07+BI9*SUMIF(ThresholdAge07,"&lt;"&amp;BI9,WeightedRevAge07)-SUMIF(ThresholdAge07,"&lt;"&amp;BI9,WeightedMinAge07),MAX(CapacityAge07*АбонементНовых*BI9,MeanMinAge07)))</f>
        <v/>
      </c>
      <c r="BJ54" s="87">
        <f>IF(OR(BJ27=0,7&lt;=КаникулыРоялти),0,BJ27*IF(РоялтиПоГруппам="Да",MeanMinAge07+BJ9*SUMIF(ThresholdAge07,"&lt;"&amp;BJ9,WeightedRevAge07)-SUMIF(ThresholdAge07,"&lt;"&amp;BJ9,WeightedMinAge07),MAX(CapacityAge07*АбонементНовых*BJ9,MeanMinAge07)))</f>
        <v/>
      </c>
      <c r="BK54" s="87">
        <f>IF(OR(BK27=0,7&lt;=КаникулыРоялти),0,BK27*IF(РоялтиПоГруппам="Да",MeanMinAge07+BK9*SUMIF(ThresholdAge07,"&lt;"&amp;BK9,WeightedRevAge07)-SUMIF(ThresholdAge07,"&lt;"&amp;BK9,WeightedMinAge07),MAX(CapacityAge07*АбонементНовых*BK9,MeanMinAge07)))</f>
        <v/>
      </c>
      <c r="BL54" s="87">
        <f>IF(OR(BL27=0,7&lt;=КаникулыРоялти),0,BL27*IF(РоялтиПоГруппам="Да",MeanMinAge07+BL9*SUMIF(ThresholdAge07,"&lt;"&amp;BL9,WeightedRevAge07)-SUMIF(ThresholdAge07,"&lt;"&amp;BL9,WeightedMinAge07),MAX(CapacityAge07*АбонементНовых*BL9,MeanMinAge07)))</f>
        <v/>
      </c>
      <c r="BM54" s="87">
        <f>IF(OR(BM27=0,7&lt;=КаникулыРоялти),0,BM27*IF(РоялтиПоГруппам="Да",MeanMinAge07+BM9*SUMIF(ThresholdAge07,"&lt;"&amp;BM9,WeightedRevAge07)-SUMIF(ThresholdAge07,"&lt;"&amp;BM9,WeightedMinAge07),MAX(CapacityAge07*АбонементНовых*BM9,MeanMinAge07)))</f>
        <v/>
      </c>
      <c r="BN54" s="87">
        <f>IF(OR(BN27=0,7&lt;=КаникулыРоялти),0,BN27*IF(РоялтиПоГруппам="Да",MeanMinAge07+BN9*SUMIF(ThresholdAge07,"&lt;"&amp;BN9,WeightedRevAge07)-SUMIF(ThresholdAge07,"&lt;"&amp;BN9,WeightedMinAge07),MAX(CapacityAge07*АбонементНовых*BN9,MeanMinAge07)))</f>
        <v/>
      </c>
      <c r="BO54" s="87">
        <f>IF(OR(BO27=0,7&lt;=КаникулыРоялти),0,BO27*IF(РоялтиПоГруппам="Да",MeanMinAge07+BO9*SUMIF(ThresholdAge07,"&lt;"&amp;BO9,WeightedRevAge07)-SUMIF(ThresholdAge07,"&lt;"&amp;BO9,WeightedMinAge07),MAX(CapacityAge07*АбонементНовых*BO9,MeanMinAge07)))</f>
        <v/>
      </c>
      <c r="BP54" s="87">
        <f>IF(OR(BP27=0,7&lt;=КаникулыРоялти),0,BP27*IF(РоялтиПоГруппам="Да",MeanMinAge07+BP9*SUMIF(ThresholdAge07,"&lt;"&amp;BP9,WeightedRevAge07)-SUMIF(ThresholdAge07,"&lt;"&amp;BP9,WeightedMinAge07),MAX(CapacityAge07*АбонементНовых*BP9,MeanMinAge07)))</f>
        <v/>
      </c>
      <c r="BQ54" s="87">
        <f>IF(OR(BQ27=0,7&lt;=КаникулыРоялти),0,BQ27*IF(РоялтиПоГруппам="Да",MeanMinAge07+BQ9*SUMIF(ThresholdAge07,"&lt;"&amp;BQ9,WeightedRevAge07)-SUMIF(ThresholdAge07,"&lt;"&amp;BQ9,WeightedMinAge07),MAX(CapacityAge07*АбонементНовых*BQ9,MeanMinAge07)))</f>
        <v/>
      </c>
      <c r="BR54" s="87">
        <f>IF(OR(BR27=0,7&lt;=КаникулыРоялти),0,BR27*IF(РоялтиПоГруппам="Да",MeanMinAge07+BR9*SUMIF(ThresholdAge07,"&lt;"&amp;BR9,WeightedRevAge07)-SUMIF(ThresholdAge07,"&lt;"&amp;BR9,WeightedMinAge07),MAX(CapacityAge07*АбонементНовых*BR9,MeanMinAge07)))</f>
        <v/>
      </c>
      <c r="BS54" s="87">
        <f>IF(OR(BS27=0,7&lt;=КаникулыРоялти),0,BS27*IF(РоялтиПоГруппам="Да",MeanMinAge07+BS9*SUMIF(ThresholdAge07,"&lt;"&amp;BS9,WeightedRevAge07)-SUMIF(ThresholdAge07,"&lt;"&amp;BS9,WeightedMinAge07),MAX(CapacityAge07*АбонементНовых*BS9,MeanMinAge07)))</f>
        <v/>
      </c>
      <c r="BT54" s="87">
        <f>IF(OR(BT27=0,7&lt;=КаникулыРоялти),0,BT27*IF(РоялтиПоГруппам="Да",MeanMinAge07+BT9*SUMIF(ThresholdAge07,"&lt;"&amp;BT9,WeightedRevAge07)-SUMIF(ThresholdAge07,"&lt;"&amp;BT9,WeightedMinAge07),MAX(CapacityAge07*АбонементНовых*BT9,MeanMinAge07)))</f>
        <v/>
      </c>
      <c r="BU54" s="87">
        <f>IF(OR(BU27=0,7&lt;=КаникулыРоялти),0,BU27*IF(РоялтиПоГруппам="Да",MeanMinAge07+BU9*SUMIF(ThresholdAge07,"&lt;"&amp;BU9,WeightedRevAge07)-SUMIF(ThresholdAge07,"&lt;"&amp;BU9,WeightedMinAge07),MAX(CapacityAge07*АбонементНовых*BU9,MeanMinAge07)))</f>
        <v/>
      </c>
      <c r="BV54" s="87">
        <f>IF(OR(BV27=0,7&lt;=КаникулыРоялти),0,BV27*IF(РоялтиПоГруппам="Да",MeanMinAge07+BV9*SUMIF(ThresholdAge07,"&lt;"&amp;BV9,WeightedRevAge07)-SUMIF(ThresholdAge07,"&lt;"&amp;BV9,WeightedMinAge07),MAX(CapacityAge07*АбонементНовых*BV9,MeanMinAge07)))</f>
        <v/>
      </c>
      <c r="BW54" s="87">
        <f>IF(OR(BW27=0,7&lt;=КаникулыРоялти),0,BW27*IF(РоялтиПоГруппам="Да",MeanMinAge07+BW9*SUMIF(ThresholdAge07,"&lt;"&amp;BW9,WeightedRevAge07)-SUMIF(ThresholdAge07,"&lt;"&amp;BW9,WeightedMinAge07),MAX(CapacityAge07*АбонементНовых*BW9,MeanMinAge07)))</f>
        <v/>
      </c>
      <c r="BX54" s="87">
        <f>IF(OR(BX27=0,7&lt;=КаникулыРоялти),0,BX27*IF(РоялтиПоГруппам="Да",MeanMinAge07+BX9*SUMIF(ThresholdAge07,"&lt;"&amp;BX9,WeightedRevAge07)-SUMIF(ThresholdAge07,"&lt;"&amp;BX9,WeightedMinAge07),MAX(CapacityAge07*АбонементНовых*BX9,MeanMinAge07)))</f>
        <v/>
      </c>
      <c r="BY54" s="87">
        <f>IF(OR(BY27=0,7&lt;=КаникулыРоялти),0,BY27*IF(РоялтиПоГруппам="Да",MeanMinAge07+BY9*SUMIF(ThresholdAge07,"&lt;"&amp;BY9,WeightedRevAge07)-SUMIF(ThresholdAge07,"&lt;"&amp;BY9,WeightedMinAge07),MAX(CapacityAge07*АбонементНовых*BY9,MeanMinAge07)))</f>
        <v/>
      </c>
    </row>
    <row r="55" ht="15.75" customHeight="1" s="194">
      <c r="B55" s="56" t="inlineStr">
        <is>
          <t>8 мес.</t>
        </is>
      </c>
      <c r="C55" s="56" t="inlineStr">
        <is>
          <t>₽</t>
        </is>
      </c>
      <c r="D55" s="57" t="n"/>
      <c r="E55" s="85">
        <f>SUM(L55:W55)</f>
        <v/>
      </c>
      <c r="F55" s="85">
        <f>SUM(X55:AI55)</f>
        <v/>
      </c>
      <c r="G55" s="85">
        <f>SUM(AJ55:AU55)</f>
        <v/>
      </c>
      <c r="H55" s="85">
        <f>SUM(AV55:BG55)</f>
        <v/>
      </c>
      <c r="I55" s="85">
        <f>SUM(BH55:BS55)</f>
        <v/>
      </c>
      <c r="J55" s="86">
        <f>SUM(L55:BS55)</f>
        <v/>
      </c>
      <c r="L55" s="87">
        <f>IF(OR(L28=0,8&lt;=КаникулыРоялти),0,L28*IF(РоялтиПоГруппам="Да",MeanMinAge08+L9*SUMIF(ThresholdAge08,"&lt;"&amp;L9,WeightedRevAge08)-SUMIF(ThresholdAge08,"&lt;"&amp;L9,WeightedMinAge08),MAX(CapacityAge08*АбонементНовых*L9,MeanMinAge08)))</f>
        <v/>
      </c>
      <c r="M55" s="87">
        <f>IF(OR(M28=0,8&lt;=КаникулыРоялти),0,M28*IF(РоялтиПоГруппам="Да",MeanMinAge08+M9*SUMIF(ThresholdAge08,"&lt;"&amp;M9,WeightedRevAge08)-SUMIF(ThresholdAge08,"&lt;"&amp;M9,WeightedMinAge08),MAX(CapacityAge08*АбонементНовых*M9,MeanMinAge08)))</f>
        <v/>
      </c>
      <c r="N55" s="87">
        <f>IF(OR(N28=0,8&lt;=КаникулыРоялти),0,N28*IF(РоялтиПоГруппам="Да",MeanMinAge08+N9*SUMIF(ThresholdAge08,"&lt;"&amp;N9,WeightedRevAge08)-SUMIF(ThresholdAge08,"&lt;"&amp;N9,WeightedMinAge08),MAX(CapacityAge08*АбонементНовых*N9,MeanMinAge08)))</f>
        <v/>
      </c>
      <c r="O55" s="87">
        <f>IF(OR(O28=0,8&lt;=КаникулыРоялти),0,O28*IF(РоялтиПоГруппам="Да",MeanMinAge08+O9*SUMIF(ThresholdAge08,"&lt;"&amp;O9,WeightedRevAge08)-SUMIF(ThresholdAge08,"&lt;"&amp;O9,WeightedMinAge08),MAX(CapacityAge08*АбонементНовых*O9,MeanMinAge08)))</f>
        <v/>
      </c>
      <c r="P55" s="87">
        <f>IF(OR(P28=0,8&lt;=КаникулыРоялти),0,P28*IF(РоялтиПоГруппам="Да",MeanMinAge08+P9*SUMIF(ThresholdAge08,"&lt;"&amp;P9,WeightedRevAge08)-SUMIF(ThresholdAge08,"&lt;"&amp;P9,WeightedMinAge08),MAX(CapacityAge08*АбонементНовых*P9,MeanMinAge08)))</f>
        <v/>
      </c>
      <c r="Q55" s="87">
        <f>IF(OR(Q28=0,8&lt;=КаникулыРоялти),0,Q28*IF(РоялтиПоГруппам="Да",MeanMinAge08+Q9*SUMIF(ThresholdAge08,"&lt;"&amp;Q9,WeightedRevAge08)-SUMIF(ThresholdAge08,"&lt;"&amp;Q9,WeightedMinAge08),MAX(CapacityAge08*АбонементНовых*Q9,MeanMinAge08)))</f>
        <v/>
      </c>
      <c r="R55" s="87">
        <f>IF(OR(R28=0,8&lt;=КаникулыРоялти),0,R28*IF(РоялтиПоГруппам="Да",MeanMinAge08+R9*SUMIF(ThresholdAge08,"&lt;"&amp;R9,WeightedRevAge08)-SUMIF(ThresholdAge08,"&lt;"&amp;R9,WeightedMinAge08),MAX(CapacityAge08*АбонементНовых*R9,MeanMinAge08)))</f>
        <v/>
      </c>
      <c r="S55" s="87">
        <f>IF(OR(S28=0,8&lt;=КаникулыРоялти),0,S28*IF(РоялтиПоГруппам="Да",MeanMinAge08+S9*SUMIF(ThresholdAge08,"&lt;"&amp;S9,WeightedRevAge08)-SUMIF(ThresholdAge08,"&lt;"&amp;S9,WeightedMinAge08),MAX(CapacityAge08*АбонементНовых*S9,MeanMinAge08)))</f>
        <v/>
      </c>
      <c r="T55" s="87">
        <f>IF(OR(T28=0,8&lt;=КаникулыРоялти),0,T28*IF(РоялтиПоГруппам="Да",MeanMinAge08+T9*SUMIF(ThresholdAge08,"&lt;"&amp;T9,WeightedRevAge08)-SUMIF(ThresholdAge08,"&lt;"&amp;T9,WeightedMinAge08),MAX(CapacityAge08*АбонементНовых*T9,MeanMinAge08)))</f>
        <v/>
      </c>
      <c r="U55" s="87">
        <f>IF(OR(U28=0,8&lt;=КаникулыРоялти),0,U28*IF(РоялтиПоГруппам="Да",MeanMinAge08+U9*SUMIF(ThresholdAge08,"&lt;"&amp;U9,WeightedRevAge08)-SUMIF(ThresholdAge08,"&lt;"&amp;U9,WeightedMinAge08),MAX(CapacityAge08*АбонементНовых*U9,MeanMinAge08)))</f>
        <v/>
      </c>
      <c r="V55" s="87">
        <f>IF(OR(V28=0,8&lt;=КаникулыРоялти),0,V28*IF(РоялтиПоГруппам="Да",MeanMinAge08+V9*SUMIF(ThresholdAge08,"&lt;"&amp;V9,WeightedRevAge08)-SUMIF(ThresholdAge08,"&lt;"&amp;V9,WeightedMinAge08),MAX(CapacityAge08*АбонементНовых*V9,MeanMinAge08)))</f>
        <v/>
      </c>
      <c r="W55" s="87">
        <f>IF(OR(W28=0,8&lt;=КаникулыРоялти),0,W28*IF(РоялтиПоГруппам="Да",MeanMinAge08+W9*SUMIF(ThresholdAge08,"&lt;"&amp;W9,WeightedRevAge08)-SUMIF(ThresholdAge08,"&lt;"&amp;W9,WeightedMinAge08),MAX(CapacityAge08*АбонементНовых*W9,MeanMinAge08)))</f>
        <v/>
      </c>
      <c r="X55" s="87">
        <f>IF(OR(X28=0,8&lt;=КаникулыРоялти),0,X28*IF(РоялтиПоГруппам="Да",MeanMinAge08+X9*SUMIF(ThresholdAge08,"&lt;"&amp;X9,WeightedRevAge08)-SUMIF(ThresholdAge08,"&lt;"&amp;X9,WeightedMinAge08),MAX(CapacityAge08*АбонементНовых*X9,MeanMinAge08)))</f>
        <v/>
      </c>
      <c r="Y55" s="87">
        <f>IF(OR(Y28=0,8&lt;=КаникулыРоялти),0,Y28*IF(РоялтиПоГруппам="Да",MeanMinAge08+Y9*SUMIF(ThresholdAge08,"&lt;"&amp;Y9,WeightedRevAge08)-SUMIF(ThresholdAge08,"&lt;"&amp;Y9,WeightedMinAge08),MAX(CapacityAge08*АбонементНовых*Y9,MeanMinAge08)))</f>
        <v/>
      </c>
      <c r="Z55" s="87">
        <f>IF(OR(Z28=0,8&lt;=КаникулыРоялти),0,Z28*IF(РоялтиПоГруппам="Да",MeanMinAge08+Z9*SUMIF(ThresholdAge08,"&lt;"&amp;Z9,WeightedRevAge08)-SUMIF(ThresholdAge08,"&lt;"&amp;Z9,WeightedMinAge08),MAX(CapacityAge08*АбонементНовых*Z9,MeanMinAge08)))</f>
        <v/>
      </c>
      <c r="AA55" s="87">
        <f>IF(OR(AA28=0,8&lt;=КаникулыРоялти),0,AA28*IF(РоялтиПоГруппам="Да",MeanMinAge08+AA9*SUMIF(ThresholdAge08,"&lt;"&amp;AA9,WeightedRevAge08)-SUMIF(ThresholdAge08,"&lt;"&amp;AA9,WeightedMinAge08),MAX(CapacityAge08*АбонементНовых*AA9,MeanMinAge08)))</f>
        <v/>
      </c>
      <c r="AB55" s="87">
        <f>IF(OR(AB28=0,8&lt;=КаникулыРоялти),0,AB28*IF(РоялтиПоГруппам="Да",MeanMinAge08+AB9*SUMIF(ThresholdAge08,"&lt;"&amp;AB9,WeightedRevAge08)-SUMIF(ThresholdAge08,"&lt;"&amp;AB9,WeightedMinAge08),MAX(CapacityAge08*АбонементНовых*AB9,MeanMinAge08)))</f>
        <v/>
      </c>
      <c r="AC55" s="87">
        <f>IF(OR(AC28=0,8&lt;=КаникулыРоялти),0,AC28*IF(РоялтиПоГруппам="Да",MeanMinAge08+AC9*SUMIF(ThresholdAge08,"&lt;"&amp;AC9,WeightedRevAge08)-SUMIF(ThresholdAge08,"&lt;"&amp;AC9,WeightedMinAge08),MAX(CapacityAge08*АбонементНовых*AC9,MeanMinAge08)))</f>
        <v/>
      </c>
      <c r="AD55" s="87">
        <f>IF(OR(AD28=0,8&lt;=КаникулыРоялти),0,AD28*IF(РоялтиПоГруппам="Да",MeanMinAge08+AD9*SUMIF(ThresholdAge08,"&lt;"&amp;AD9,WeightedRevAge08)-SUMIF(ThresholdAge08,"&lt;"&amp;AD9,WeightedMinAge08),MAX(CapacityAge08*АбонементНовых*AD9,MeanMinAge08)))</f>
        <v/>
      </c>
      <c r="AE55" s="87">
        <f>IF(OR(AE28=0,8&lt;=КаникулыРоялти),0,AE28*IF(РоялтиПоГруппам="Да",MeanMinAge08+AE9*SUMIF(ThresholdAge08,"&lt;"&amp;AE9,WeightedRevAge08)-SUMIF(ThresholdAge08,"&lt;"&amp;AE9,WeightedMinAge08),MAX(CapacityAge08*АбонементНовых*AE9,MeanMinAge08)))</f>
        <v/>
      </c>
      <c r="AF55" s="87">
        <f>IF(OR(AF28=0,8&lt;=КаникулыРоялти),0,AF28*IF(РоялтиПоГруппам="Да",MeanMinAge08+AF9*SUMIF(ThresholdAge08,"&lt;"&amp;AF9,WeightedRevAge08)-SUMIF(ThresholdAge08,"&lt;"&amp;AF9,WeightedMinAge08),MAX(CapacityAge08*АбонементНовых*AF9,MeanMinAge08)))</f>
        <v/>
      </c>
      <c r="AG55" s="87">
        <f>IF(OR(AG28=0,8&lt;=КаникулыРоялти),0,AG28*IF(РоялтиПоГруппам="Да",MeanMinAge08+AG9*SUMIF(ThresholdAge08,"&lt;"&amp;AG9,WeightedRevAge08)-SUMIF(ThresholdAge08,"&lt;"&amp;AG9,WeightedMinAge08),MAX(CapacityAge08*АбонементНовых*AG9,MeanMinAge08)))</f>
        <v/>
      </c>
      <c r="AH55" s="87">
        <f>IF(OR(AH28=0,8&lt;=КаникулыРоялти),0,AH28*IF(РоялтиПоГруппам="Да",MeanMinAge08+AH9*SUMIF(ThresholdAge08,"&lt;"&amp;AH9,WeightedRevAge08)-SUMIF(ThresholdAge08,"&lt;"&amp;AH9,WeightedMinAge08),MAX(CapacityAge08*АбонементНовых*AH9,MeanMinAge08)))</f>
        <v/>
      </c>
      <c r="AI55" s="87">
        <f>IF(OR(AI28=0,8&lt;=КаникулыРоялти),0,AI28*IF(РоялтиПоГруппам="Да",MeanMinAge08+AI9*SUMIF(ThresholdAge08,"&lt;"&amp;AI9,WeightedRevAge08)-SUMIF(ThresholdAge08,"&lt;"&amp;AI9,WeightedMinAge08),MAX(CapacityAge08*АбонементНовых*AI9,MeanMinAge08)))</f>
        <v/>
      </c>
      <c r="AJ55" s="87">
        <f>IF(OR(AJ28=0,8&lt;=КаникулыРоялти),0,AJ28*IF(РоялтиПоГруппам="Да",MeanMinAge08+AJ9*SUMIF(ThresholdAge08,"&lt;"&amp;AJ9,WeightedRevAge08)-SUMIF(ThresholdAge08,"&lt;"&amp;AJ9,WeightedMinAge08),MAX(CapacityAge08*АбонементНовых*AJ9,MeanMinAge08)))</f>
        <v/>
      </c>
      <c r="AK55" s="87">
        <f>IF(OR(AK28=0,8&lt;=КаникулыРоялти),0,AK28*IF(РоялтиПоГруппам="Да",MeanMinAge08+AK9*SUMIF(ThresholdAge08,"&lt;"&amp;AK9,WeightedRevAge08)-SUMIF(ThresholdAge08,"&lt;"&amp;AK9,WeightedMinAge08),MAX(CapacityAge08*АбонементНовых*AK9,MeanMinAge08)))</f>
        <v/>
      </c>
      <c r="AL55" s="87">
        <f>IF(OR(AL28=0,8&lt;=КаникулыРоялти),0,AL28*IF(РоялтиПоГруппам="Да",MeanMinAge08+AL9*SUMIF(ThresholdAge08,"&lt;"&amp;AL9,WeightedRevAge08)-SUMIF(ThresholdAge08,"&lt;"&amp;AL9,WeightedMinAge08),MAX(CapacityAge08*АбонементНовых*AL9,MeanMinAge08)))</f>
        <v/>
      </c>
      <c r="AM55" s="87">
        <f>IF(OR(AM28=0,8&lt;=КаникулыРоялти),0,AM28*IF(РоялтиПоГруппам="Да",MeanMinAge08+AM9*SUMIF(ThresholdAge08,"&lt;"&amp;AM9,WeightedRevAge08)-SUMIF(ThresholdAge08,"&lt;"&amp;AM9,WeightedMinAge08),MAX(CapacityAge08*АбонементНовых*AM9,MeanMinAge08)))</f>
        <v/>
      </c>
      <c r="AN55" s="87">
        <f>IF(OR(AN28=0,8&lt;=КаникулыРоялти),0,AN28*IF(РоялтиПоГруппам="Да",MeanMinAge08+AN9*SUMIF(ThresholdAge08,"&lt;"&amp;AN9,WeightedRevAge08)-SUMIF(ThresholdAge08,"&lt;"&amp;AN9,WeightedMinAge08),MAX(CapacityAge08*АбонементНовых*AN9,MeanMinAge08)))</f>
        <v/>
      </c>
      <c r="AO55" s="87">
        <f>IF(OR(AO28=0,8&lt;=КаникулыРоялти),0,AO28*IF(РоялтиПоГруппам="Да",MeanMinAge08+AO9*SUMIF(ThresholdAge08,"&lt;"&amp;AO9,WeightedRevAge08)-SUMIF(ThresholdAge08,"&lt;"&amp;AO9,WeightedMinAge08),MAX(CapacityAge08*АбонементНовых*AO9,MeanMinAge08)))</f>
        <v/>
      </c>
      <c r="AP55" s="87">
        <f>IF(OR(AP28=0,8&lt;=КаникулыРоялти),0,AP28*IF(РоялтиПоГруппам="Да",MeanMinAge08+AP9*SUMIF(ThresholdAge08,"&lt;"&amp;AP9,WeightedRevAge08)-SUMIF(ThresholdAge08,"&lt;"&amp;AP9,WeightedMinAge08),MAX(CapacityAge08*АбонементНовых*AP9,MeanMinAge08)))</f>
        <v/>
      </c>
      <c r="AQ55" s="87">
        <f>IF(OR(AQ28=0,8&lt;=КаникулыРоялти),0,AQ28*IF(РоялтиПоГруппам="Да",MeanMinAge08+AQ9*SUMIF(ThresholdAge08,"&lt;"&amp;AQ9,WeightedRevAge08)-SUMIF(ThresholdAge08,"&lt;"&amp;AQ9,WeightedMinAge08),MAX(CapacityAge08*АбонементНовых*AQ9,MeanMinAge08)))</f>
        <v/>
      </c>
      <c r="AR55" s="87">
        <f>IF(OR(AR28=0,8&lt;=КаникулыРоялти),0,AR28*IF(РоялтиПоГруппам="Да",MeanMinAge08+AR9*SUMIF(ThresholdAge08,"&lt;"&amp;AR9,WeightedRevAge08)-SUMIF(ThresholdAge08,"&lt;"&amp;AR9,WeightedMinAge08),MAX(CapacityAge08*АбонементНовых*AR9,MeanMinAge08)))</f>
        <v/>
      </c>
      <c r="AS55" s="87">
        <f>IF(OR(AS28=0,8&lt;=КаникулыРоялти),0,AS28*IF(РоялтиПоГруппам="Да",MeanMinAge08+AS9*SUMIF(ThresholdAge08,"&lt;"&amp;AS9,WeightedRevAge08)-SUMIF(ThresholdAge08,"&lt;"&amp;AS9,WeightedMinAge08),MAX(CapacityAge08*АбонементНовых*AS9,MeanMinAge08)))</f>
        <v/>
      </c>
      <c r="AT55" s="87">
        <f>IF(OR(AT28=0,8&lt;=КаникулыРоялти),0,AT28*IF(РоялтиПоГруппам="Да",MeanMinAge08+AT9*SUMIF(ThresholdAge08,"&lt;"&amp;AT9,WeightedRevAge08)-SUMIF(ThresholdAge08,"&lt;"&amp;AT9,WeightedMinAge08),MAX(CapacityAge08*АбонементНовых*AT9,MeanMinAge08)))</f>
        <v/>
      </c>
      <c r="AU55" s="87">
        <f>IF(OR(AU28=0,8&lt;=КаникулыРоялти),0,AU28*IF(РоялтиПоГруппам="Да",MeanMinAge08+AU9*SUMIF(ThresholdAge08,"&lt;"&amp;AU9,WeightedRevAge08)-SUMIF(ThresholdAge08,"&lt;"&amp;AU9,WeightedMinAge08),MAX(CapacityAge08*АбонементНовых*AU9,MeanMinAge08)))</f>
        <v/>
      </c>
      <c r="AV55" s="87">
        <f>IF(OR(AV28=0,8&lt;=КаникулыРоялти),0,AV28*IF(РоялтиПоГруппам="Да",MeanMinAge08+AV9*SUMIF(ThresholdAge08,"&lt;"&amp;AV9,WeightedRevAge08)-SUMIF(ThresholdAge08,"&lt;"&amp;AV9,WeightedMinAge08),MAX(CapacityAge08*АбонементНовых*AV9,MeanMinAge08)))</f>
        <v/>
      </c>
      <c r="AW55" s="87">
        <f>IF(OR(AW28=0,8&lt;=КаникулыРоялти),0,AW28*IF(РоялтиПоГруппам="Да",MeanMinAge08+AW9*SUMIF(ThresholdAge08,"&lt;"&amp;AW9,WeightedRevAge08)-SUMIF(ThresholdAge08,"&lt;"&amp;AW9,WeightedMinAge08),MAX(CapacityAge08*АбонементНовых*AW9,MeanMinAge08)))</f>
        <v/>
      </c>
      <c r="AX55" s="87">
        <f>IF(OR(AX28=0,8&lt;=КаникулыРоялти),0,AX28*IF(РоялтиПоГруппам="Да",MeanMinAge08+AX9*SUMIF(ThresholdAge08,"&lt;"&amp;AX9,WeightedRevAge08)-SUMIF(ThresholdAge08,"&lt;"&amp;AX9,WeightedMinAge08),MAX(CapacityAge08*АбонементНовых*AX9,MeanMinAge08)))</f>
        <v/>
      </c>
      <c r="AY55" s="87">
        <f>IF(OR(AY28=0,8&lt;=КаникулыРоялти),0,AY28*IF(РоялтиПоГруппам="Да",MeanMinAge08+AY9*SUMIF(ThresholdAge08,"&lt;"&amp;AY9,WeightedRevAge08)-SUMIF(ThresholdAge08,"&lt;"&amp;AY9,WeightedMinAge08),MAX(CapacityAge08*АбонементНовых*AY9,MeanMinAge08)))</f>
        <v/>
      </c>
      <c r="AZ55" s="87">
        <f>IF(OR(AZ28=0,8&lt;=КаникулыРоялти),0,AZ28*IF(РоялтиПоГруппам="Да",MeanMinAge08+AZ9*SUMIF(ThresholdAge08,"&lt;"&amp;AZ9,WeightedRevAge08)-SUMIF(ThresholdAge08,"&lt;"&amp;AZ9,WeightedMinAge08),MAX(CapacityAge08*АбонементНовых*AZ9,MeanMinAge08)))</f>
        <v/>
      </c>
      <c r="BA55" s="87">
        <f>IF(OR(BA28=0,8&lt;=КаникулыРоялти),0,BA28*IF(РоялтиПоГруппам="Да",MeanMinAge08+BA9*SUMIF(ThresholdAge08,"&lt;"&amp;BA9,WeightedRevAge08)-SUMIF(ThresholdAge08,"&lt;"&amp;BA9,WeightedMinAge08),MAX(CapacityAge08*АбонементНовых*BA9,MeanMinAge08)))</f>
        <v/>
      </c>
      <c r="BB55" s="87">
        <f>IF(OR(BB28=0,8&lt;=КаникулыРоялти),0,BB28*IF(РоялтиПоГруппам="Да",MeanMinAge08+BB9*SUMIF(ThresholdAge08,"&lt;"&amp;BB9,WeightedRevAge08)-SUMIF(ThresholdAge08,"&lt;"&amp;BB9,WeightedMinAge08),MAX(CapacityAge08*АбонементНовых*BB9,MeanMinAge08)))</f>
        <v/>
      </c>
      <c r="BC55" s="87">
        <f>IF(OR(BC28=0,8&lt;=КаникулыРоялти),0,BC28*IF(РоялтиПоГруппам="Да",MeanMinAge08+BC9*SUMIF(ThresholdAge08,"&lt;"&amp;BC9,WeightedRevAge08)-SUMIF(ThresholdAge08,"&lt;"&amp;BC9,WeightedMinAge08),MAX(CapacityAge08*АбонементНовых*BC9,MeanMinAge08)))</f>
        <v/>
      </c>
      <c r="BD55" s="87">
        <f>IF(OR(BD28=0,8&lt;=КаникулыРоялти),0,BD28*IF(РоялтиПоГруппам="Да",MeanMinAge08+BD9*SUMIF(ThresholdAge08,"&lt;"&amp;BD9,WeightedRevAge08)-SUMIF(ThresholdAge08,"&lt;"&amp;BD9,WeightedMinAge08),MAX(CapacityAge08*АбонементНовых*BD9,MeanMinAge08)))</f>
        <v/>
      </c>
      <c r="BE55" s="87">
        <f>IF(OR(BE28=0,8&lt;=КаникулыРоялти),0,BE28*IF(РоялтиПоГруппам="Да",MeanMinAge08+BE9*SUMIF(ThresholdAge08,"&lt;"&amp;BE9,WeightedRevAge08)-SUMIF(ThresholdAge08,"&lt;"&amp;BE9,WeightedMinAge08),MAX(CapacityAge08*АбонементНовых*BE9,MeanMinAge08)))</f>
        <v/>
      </c>
      <c r="BF55" s="87">
        <f>IF(OR(BF28=0,8&lt;=КаникулыРоялти),0,BF28*IF(РоялтиПоГруппам="Да",MeanMinAge08+BF9*SUMIF(ThresholdAge08,"&lt;"&amp;BF9,WeightedRevAge08)-SUMIF(ThresholdAge08,"&lt;"&amp;BF9,WeightedMinAge08),MAX(CapacityAge08*АбонементНовых*BF9,MeanMinAge08)))</f>
        <v/>
      </c>
      <c r="BG55" s="87">
        <f>IF(OR(BG28=0,8&lt;=КаникулыРоялти),0,BG28*IF(РоялтиПоГруппам="Да",MeanMinAge08+BG9*SUMIF(ThresholdAge08,"&lt;"&amp;BG9,WeightedRevAge08)-SUMIF(ThresholdAge08,"&lt;"&amp;BG9,WeightedMinAge08),MAX(CapacityAge08*АбонементНовых*BG9,MeanMinAge08)))</f>
        <v/>
      </c>
      <c r="BH55" s="87">
        <f>IF(OR(BH28=0,8&lt;=КаникулыРоялти),0,BH28*IF(РоялтиПоГруппам="Да",MeanMinAge08+BH9*SUMIF(ThresholdAge08,"&lt;"&amp;BH9,WeightedRevAge08)-SUMIF(ThresholdAge08,"&lt;"&amp;BH9,WeightedMinAge08),MAX(CapacityAge08*АбонементНовых*BH9,MeanMinAge08)))</f>
        <v/>
      </c>
      <c r="BI55" s="87">
        <f>IF(OR(BI28=0,8&lt;=КаникулыРоялти),0,BI28*IF(РоялтиПоГруппам="Да",MeanMinAge08+BI9*SUMIF(ThresholdAge08,"&lt;"&amp;BI9,WeightedRevAge08)-SUMIF(ThresholdAge08,"&lt;"&amp;BI9,WeightedMinAge08),MAX(CapacityAge08*АбонементНовых*BI9,MeanMinAge08)))</f>
        <v/>
      </c>
      <c r="BJ55" s="87">
        <f>IF(OR(BJ28=0,8&lt;=КаникулыРоялти),0,BJ28*IF(РоялтиПоГруппам="Да",MeanMinAge08+BJ9*SUMIF(ThresholdAge08,"&lt;"&amp;BJ9,WeightedRevAge08)-SUMIF(ThresholdAge08,"&lt;"&amp;BJ9,WeightedMinAge08),MAX(CapacityAge08*АбонементНовых*BJ9,MeanMinAge08)))</f>
        <v/>
      </c>
      <c r="BK55" s="87">
        <f>IF(OR(BK28=0,8&lt;=КаникулыРоялти),0,BK28*IF(РоялтиПоГруппам="Да",MeanMinAge08+BK9*SUMIF(ThresholdAge08,"&lt;"&amp;BK9,WeightedRevAge08)-SUMIF(ThresholdAge08,"&lt;"&amp;BK9,WeightedMinAge08),MAX(CapacityAge08*АбонементНовых*BK9,MeanMinAge08)))</f>
        <v/>
      </c>
      <c r="BL55" s="87">
        <f>IF(OR(BL28=0,8&lt;=КаникулыРоялти),0,BL28*IF(РоялтиПоГруппам="Да",MeanMinAge08+BL9*SUMIF(ThresholdAge08,"&lt;"&amp;BL9,WeightedRevAge08)-SUMIF(ThresholdAge08,"&lt;"&amp;BL9,WeightedMinAge08),MAX(CapacityAge08*АбонементНовых*BL9,MeanMinAge08)))</f>
        <v/>
      </c>
      <c r="BM55" s="87">
        <f>IF(OR(BM28=0,8&lt;=КаникулыРоялти),0,BM28*IF(РоялтиПоГруппам="Да",MeanMinAge08+BM9*SUMIF(ThresholdAge08,"&lt;"&amp;BM9,WeightedRevAge08)-SUMIF(ThresholdAge08,"&lt;"&amp;BM9,WeightedMinAge08),MAX(CapacityAge08*АбонементНовых*BM9,MeanMinAge08)))</f>
        <v/>
      </c>
      <c r="BN55" s="87">
        <f>IF(OR(BN28=0,8&lt;=КаникулыРоялти),0,BN28*IF(РоялтиПоГруппам="Да",MeanMinAge08+BN9*SUMIF(ThresholdAge08,"&lt;"&amp;BN9,WeightedRevAge08)-SUMIF(ThresholdAge08,"&lt;"&amp;BN9,WeightedMinAge08),MAX(CapacityAge08*АбонементНовых*BN9,MeanMinAge08)))</f>
        <v/>
      </c>
      <c r="BO55" s="87">
        <f>IF(OR(BO28=0,8&lt;=КаникулыРоялти),0,BO28*IF(РоялтиПоГруппам="Да",MeanMinAge08+BO9*SUMIF(ThresholdAge08,"&lt;"&amp;BO9,WeightedRevAge08)-SUMIF(ThresholdAge08,"&lt;"&amp;BO9,WeightedMinAge08),MAX(CapacityAge08*АбонементНовых*BO9,MeanMinAge08)))</f>
        <v/>
      </c>
      <c r="BP55" s="87">
        <f>IF(OR(BP28=0,8&lt;=КаникулыРоялти),0,BP28*IF(РоялтиПоГруппам="Да",MeanMinAge08+BP9*SUMIF(ThresholdAge08,"&lt;"&amp;BP9,WeightedRevAge08)-SUMIF(ThresholdAge08,"&lt;"&amp;BP9,WeightedMinAge08),MAX(CapacityAge08*АбонементНовых*BP9,MeanMinAge08)))</f>
        <v/>
      </c>
      <c r="BQ55" s="87">
        <f>IF(OR(BQ28=0,8&lt;=КаникулыРоялти),0,BQ28*IF(РоялтиПоГруппам="Да",MeanMinAge08+BQ9*SUMIF(ThresholdAge08,"&lt;"&amp;BQ9,WeightedRevAge08)-SUMIF(ThresholdAge08,"&lt;"&amp;BQ9,WeightedMinAge08),MAX(CapacityAge08*АбонементНовых*BQ9,MeanMinAge08)))</f>
        <v/>
      </c>
      <c r="BR55" s="87">
        <f>IF(OR(BR28=0,8&lt;=КаникулыРоялти),0,BR28*IF(РоялтиПоГруппам="Да",MeanMinAge08+BR9*SUMIF(ThresholdAge08,"&lt;"&amp;BR9,WeightedRevAge08)-SUMIF(ThresholdAge08,"&lt;"&amp;BR9,WeightedMinAge08),MAX(CapacityAge08*АбонементНовых*BR9,MeanMinAge08)))</f>
        <v/>
      </c>
      <c r="BS55" s="87">
        <f>IF(OR(BS28=0,8&lt;=КаникулыРоялти),0,BS28*IF(РоялтиПоГруппам="Да",MeanMinAge08+BS9*SUMIF(ThresholdAge08,"&lt;"&amp;BS9,WeightedRevAge08)-SUMIF(ThresholdAge08,"&lt;"&amp;BS9,WeightedMinAge08),MAX(CapacityAge08*АбонементНовых*BS9,MeanMinAge08)))</f>
        <v/>
      </c>
      <c r="BT55" s="87">
        <f>IF(OR(BT28=0,8&lt;=КаникулыРоялти),0,BT28*IF(РоялтиПоГруппам="Да",MeanMinAge08+BT9*SUMIF(ThresholdAge08,"&lt;"&amp;BT9,WeightedRevAge08)-SUMIF(ThresholdAge08,"&lt;"&amp;BT9,WeightedMinAge08),MAX(CapacityAge08*АбонементНовых*BT9,MeanMinAge08)))</f>
        <v/>
      </c>
      <c r="BU55" s="87">
        <f>IF(OR(BU28=0,8&lt;=КаникулыРоялти),0,BU28*IF(РоялтиПоГруппам="Да",MeanMinAge08+BU9*SUMIF(ThresholdAge08,"&lt;"&amp;BU9,WeightedRevAge08)-SUMIF(ThresholdAge08,"&lt;"&amp;BU9,WeightedMinAge08),MAX(CapacityAge08*АбонементНовых*BU9,MeanMinAge08)))</f>
        <v/>
      </c>
      <c r="BV55" s="87">
        <f>IF(OR(BV28=0,8&lt;=КаникулыРоялти),0,BV28*IF(РоялтиПоГруппам="Да",MeanMinAge08+BV9*SUMIF(ThresholdAge08,"&lt;"&amp;BV9,WeightedRevAge08)-SUMIF(ThresholdAge08,"&lt;"&amp;BV9,WeightedMinAge08),MAX(CapacityAge08*АбонементНовых*BV9,MeanMinAge08)))</f>
        <v/>
      </c>
      <c r="BW55" s="87">
        <f>IF(OR(BW28=0,8&lt;=КаникулыРоялти),0,BW28*IF(РоялтиПоГруппам="Да",MeanMinAge08+BW9*SUMIF(ThresholdAge08,"&lt;"&amp;BW9,WeightedRevAge08)-SUMIF(ThresholdAge08,"&lt;"&amp;BW9,WeightedMinAge08),MAX(CapacityAge08*АбонементНовых*BW9,MeanMinAge08)))</f>
        <v/>
      </c>
      <c r="BX55" s="87">
        <f>IF(OR(BX28=0,8&lt;=КаникулыРоялти),0,BX28*IF(РоялтиПоГруппам="Да",MeanMinAge08+BX9*SUMIF(ThresholdAge08,"&lt;"&amp;BX9,WeightedRevAge08)-SUMIF(ThresholdAge08,"&lt;"&amp;BX9,WeightedMinAge08),MAX(CapacityAge08*АбонементНовых*BX9,MeanMinAge08)))</f>
        <v/>
      </c>
      <c r="BY55" s="87">
        <f>IF(OR(BY28=0,8&lt;=КаникулыРоялти),0,BY28*IF(РоялтиПоГруппам="Да",MeanMinAge08+BY9*SUMIF(ThresholdAge08,"&lt;"&amp;BY9,WeightedRevAge08)-SUMIF(ThresholdAge08,"&lt;"&amp;BY9,WeightedMinAge08),MAX(CapacityAge08*АбонементНовых*BY9,MeanMinAge08)))</f>
        <v/>
      </c>
    </row>
    <row r="56" ht="15.75" customHeight="1" s="194">
      <c r="B56" s="56" t="inlineStr">
        <is>
          <t>9 мес.</t>
        </is>
      </c>
      <c r="C56" s="56" t="inlineStr">
        <is>
          <t>₽</t>
        </is>
      </c>
      <c r="D56" s="57" t="n"/>
      <c r="E56" s="85">
        <f>SUM(L56:W56)</f>
        <v/>
      </c>
      <c r="F56" s="85">
        <f>SUM(X56:AI56)</f>
        <v/>
      </c>
      <c r="G56" s="85">
        <f>SUM(AJ56:AU56)</f>
        <v/>
      </c>
      <c r="H56" s="85">
        <f>SUM(AV56:BG56)</f>
        <v/>
      </c>
      <c r="I56" s="85">
        <f>SUM(BH56:BS56)</f>
        <v/>
      </c>
      <c r="J56" s="86">
        <f>SUM(L56:BS56)</f>
        <v/>
      </c>
      <c r="L56" s="87">
        <f>IF(OR(L29=0,9&lt;=КаникулыРоялти),0,L29*IF(РоялтиПоГруппам="Да",MeanMinAge09+L9*SUMIF(ThresholdAge09,"&lt;"&amp;L9,WeightedRevAge09)-SUMIF(ThresholdAge09,"&lt;"&amp;L9,WeightedMinAge09),MAX(CapacityAge09*АбонементНовых*L9,MeanMinAge09)))</f>
        <v/>
      </c>
      <c r="M56" s="87">
        <f>IF(OR(M29=0,9&lt;=КаникулыРоялти),0,M29*IF(РоялтиПоГруппам="Да",MeanMinAge09+M9*SUMIF(ThresholdAge09,"&lt;"&amp;M9,WeightedRevAge09)-SUMIF(ThresholdAge09,"&lt;"&amp;M9,WeightedMinAge09),MAX(CapacityAge09*АбонементНовых*M9,MeanMinAge09)))</f>
        <v/>
      </c>
      <c r="N56" s="87">
        <f>IF(OR(N29=0,9&lt;=КаникулыРоялти),0,N29*IF(РоялтиПоГруппам="Да",MeanMinAge09+N9*SUMIF(ThresholdAge09,"&lt;"&amp;N9,WeightedRevAge09)-SUMIF(ThresholdAge09,"&lt;"&amp;N9,WeightedMinAge09),MAX(CapacityAge09*АбонементНовых*N9,MeanMinAge09)))</f>
        <v/>
      </c>
      <c r="O56" s="87">
        <f>IF(OR(O29=0,9&lt;=КаникулыРоялти),0,O29*IF(РоялтиПоГруппам="Да",MeanMinAge09+O9*SUMIF(ThresholdAge09,"&lt;"&amp;O9,WeightedRevAge09)-SUMIF(ThresholdAge09,"&lt;"&amp;O9,WeightedMinAge09),MAX(CapacityAge09*АбонементНовых*O9,MeanMinAge09)))</f>
        <v/>
      </c>
      <c r="P56" s="87">
        <f>IF(OR(P29=0,9&lt;=КаникулыРоялти),0,P29*IF(РоялтиПоГруппам="Да",MeanMinAge09+P9*SUMIF(ThresholdAge09,"&lt;"&amp;P9,WeightedRevAge09)-SUMIF(ThresholdAge09,"&lt;"&amp;P9,WeightedMinAge09),MAX(CapacityAge09*АбонементНовых*P9,MeanMinAge09)))</f>
        <v/>
      </c>
      <c r="Q56" s="87">
        <f>IF(OR(Q29=0,9&lt;=КаникулыРоялти),0,Q29*IF(РоялтиПоГруппам="Да",MeanMinAge09+Q9*SUMIF(ThresholdAge09,"&lt;"&amp;Q9,WeightedRevAge09)-SUMIF(ThresholdAge09,"&lt;"&amp;Q9,WeightedMinAge09),MAX(CapacityAge09*АбонементНовых*Q9,MeanMinAge09)))</f>
        <v/>
      </c>
      <c r="R56" s="87">
        <f>IF(OR(R29=0,9&lt;=КаникулыРоялти),0,R29*IF(РоялтиПоГруппам="Да",MeanMinAge09+R9*SUMIF(ThresholdAge09,"&lt;"&amp;R9,WeightedRevAge09)-SUMIF(ThresholdAge09,"&lt;"&amp;R9,WeightedMinAge09),MAX(CapacityAge09*АбонементНовых*R9,MeanMinAge09)))</f>
        <v/>
      </c>
      <c r="S56" s="87">
        <f>IF(OR(S29=0,9&lt;=КаникулыРоялти),0,S29*IF(РоялтиПоГруппам="Да",MeanMinAge09+S9*SUMIF(ThresholdAge09,"&lt;"&amp;S9,WeightedRevAge09)-SUMIF(ThresholdAge09,"&lt;"&amp;S9,WeightedMinAge09),MAX(CapacityAge09*АбонементНовых*S9,MeanMinAge09)))</f>
        <v/>
      </c>
      <c r="T56" s="87">
        <f>IF(OR(T29=0,9&lt;=КаникулыРоялти),0,T29*IF(РоялтиПоГруппам="Да",MeanMinAge09+T9*SUMIF(ThresholdAge09,"&lt;"&amp;T9,WeightedRevAge09)-SUMIF(ThresholdAge09,"&lt;"&amp;T9,WeightedMinAge09),MAX(CapacityAge09*АбонементНовых*T9,MeanMinAge09)))</f>
        <v/>
      </c>
      <c r="U56" s="87">
        <f>IF(OR(U29=0,9&lt;=КаникулыРоялти),0,U29*IF(РоялтиПоГруппам="Да",MeanMinAge09+U9*SUMIF(ThresholdAge09,"&lt;"&amp;U9,WeightedRevAge09)-SUMIF(ThresholdAge09,"&lt;"&amp;U9,WeightedMinAge09),MAX(CapacityAge09*АбонементНовых*U9,MeanMinAge09)))</f>
        <v/>
      </c>
      <c r="V56" s="87">
        <f>IF(OR(V29=0,9&lt;=КаникулыРоялти),0,V29*IF(РоялтиПоГруппам="Да",MeanMinAge09+V9*SUMIF(ThresholdAge09,"&lt;"&amp;V9,WeightedRevAge09)-SUMIF(ThresholdAge09,"&lt;"&amp;V9,WeightedMinAge09),MAX(CapacityAge09*АбонементНовых*V9,MeanMinAge09)))</f>
        <v/>
      </c>
      <c r="W56" s="87">
        <f>IF(OR(W29=0,9&lt;=КаникулыРоялти),0,W29*IF(РоялтиПоГруппам="Да",MeanMinAge09+W9*SUMIF(ThresholdAge09,"&lt;"&amp;W9,WeightedRevAge09)-SUMIF(ThresholdAge09,"&lt;"&amp;W9,WeightedMinAge09),MAX(CapacityAge09*АбонементНовых*W9,MeanMinAge09)))</f>
        <v/>
      </c>
      <c r="X56" s="87">
        <f>IF(OR(X29=0,9&lt;=КаникулыРоялти),0,X29*IF(РоялтиПоГруппам="Да",MeanMinAge09+X9*SUMIF(ThresholdAge09,"&lt;"&amp;X9,WeightedRevAge09)-SUMIF(ThresholdAge09,"&lt;"&amp;X9,WeightedMinAge09),MAX(CapacityAge09*АбонементНовых*X9,MeanMinAge09)))</f>
        <v/>
      </c>
      <c r="Y56" s="87">
        <f>IF(OR(Y29=0,9&lt;=КаникулыРоялти),0,Y29*IF(РоялтиПоГруппам="Да",MeanMinAge09+Y9*SUMIF(ThresholdAge09,"&lt;"&amp;Y9,WeightedRevAge09)-SUMIF(ThresholdAge09,"&lt;"&amp;Y9,WeightedMinAge09),MAX(CapacityAge09*АбонементНовых*Y9,MeanMinAge09)))</f>
        <v/>
      </c>
      <c r="Z56" s="87">
        <f>IF(OR(Z29=0,9&lt;=КаникулыРоялти),0,Z29*IF(РоялтиПоГруппам="Да",MeanMinAge09+Z9*SUMIF(ThresholdAge09,"&lt;"&amp;Z9,WeightedRevAge09)-SUMIF(ThresholdAge09,"&lt;"&amp;Z9,WeightedMinAge09),MAX(CapacityAge09*АбонементНовых*Z9,MeanMinAge09)))</f>
        <v/>
      </c>
      <c r="AA56" s="87">
        <f>IF(OR(AA29=0,9&lt;=КаникулыРоялти),0,AA29*IF(РоялтиПоГруппам="Да",MeanMinAge09+AA9*SUMIF(ThresholdAge09,"&lt;"&amp;AA9,WeightedRevAge09)-SUMIF(ThresholdAge09,"&lt;"&amp;AA9,WeightedMinAge09),MAX(CapacityAge09*АбонементНовых*AA9,MeanMinAge09)))</f>
        <v/>
      </c>
      <c r="AB56" s="87">
        <f>IF(OR(AB29=0,9&lt;=КаникулыРоялти),0,AB29*IF(РоялтиПоГруппам="Да",MeanMinAge09+AB9*SUMIF(ThresholdAge09,"&lt;"&amp;AB9,WeightedRevAge09)-SUMIF(ThresholdAge09,"&lt;"&amp;AB9,WeightedMinAge09),MAX(CapacityAge09*АбонементНовых*AB9,MeanMinAge09)))</f>
        <v/>
      </c>
      <c r="AC56" s="87">
        <f>IF(OR(AC29=0,9&lt;=КаникулыРоялти),0,AC29*IF(РоялтиПоГруппам="Да",MeanMinAge09+AC9*SUMIF(ThresholdAge09,"&lt;"&amp;AC9,WeightedRevAge09)-SUMIF(ThresholdAge09,"&lt;"&amp;AC9,WeightedMinAge09),MAX(CapacityAge09*АбонементНовых*AC9,MeanMinAge09)))</f>
        <v/>
      </c>
      <c r="AD56" s="87">
        <f>IF(OR(AD29=0,9&lt;=КаникулыРоялти),0,AD29*IF(РоялтиПоГруппам="Да",MeanMinAge09+AD9*SUMIF(ThresholdAge09,"&lt;"&amp;AD9,WeightedRevAge09)-SUMIF(ThresholdAge09,"&lt;"&amp;AD9,WeightedMinAge09),MAX(CapacityAge09*АбонементНовых*AD9,MeanMinAge09)))</f>
        <v/>
      </c>
      <c r="AE56" s="87">
        <f>IF(OR(AE29=0,9&lt;=КаникулыРоялти),0,AE29*IF(РоялтиПоГруппам="Да",MeanMinAge09+AE9*SUMIF(ThresholdAge09,"&lt;"&amp;AE9,WeightedRevAge09)-SUMIF(ThresholdAge09,"&lt;"&amp;AE9,WeightedMinAge09),MAX(CapacityAge09*АбонементНовых*AE9,MeanMinAge09)))</f>
        <v/>
      </c>
      <c r="AF56" s="87">
        <f>IF(OR(AF29=0,9&lt;=КаникулыРоялти),0,AF29*IF(РоялтиПоГруппам="Да",MeanMinAge09+AF9*SUMIF(ThresholdAge09,"&lt;"&amp;AF9,WeightedRevAge09)-SUMIF(ThresholdAge09,"&lt;"&amp;AF9,WeightedMinAge09),MAX(CapacityAge09*АбонементНовых*AF9,MeanMinAge09)))</f>
        <v/>
      </c>
      <c r="AG56" s="87">
        <f>IF(OR(AG29=0,9&lt;=КаникулыРоялти),0,AG29*IF(РоялтиПоГруппам="Да",MeanMinAge09+AG9*SUMIF(ThresholdAge09,"&lt;"&amp;AG9,WeightedRevAge09)-SUMIF(ThresholdAge09,"&lt;"&amp;AG9,WeightedMinAge09),MAX(CapacityAge09*АбонементНовых*AG9,MeanMinAge09)))</f>
        <v/>
      </c>
      <c r="AH56" s="87">
        <f>IF(OR(AH29=0,9&lt;=КаникулыРоялти),0,AH29*IF(РоялтиПоГруппам="Да",MeanMinAge09+AH9*SUMIF(ThresholdAge09,"&lt;"&amp;AH9,WeightedRevAge09)-SUMIF(ThresholdAge09,"&lt;"&amp;AH9,WeightedMinAge09),MAX(CapacityAge09*АбонементНовых*AH9,MeanMinAge09)))</f>
        <v/>
      </c>
      <c r="AI56" s="87">
        <f>IF(OR(AI29=0,9&lt;=КаникулыРоялти),0,AI29*IF(РоялтиПоГруппам="Да",MeanMinAge09+AI9*SUMIF(ThresholdAge09,"&lt;"&amp;AI9,WeightedRevAge09)-SUMIF(ThresholdAge09,"&lt;"&amp;AI9,WeightedMinAge09),MAX(CapacityAge09*АбонементНовых*AI9,MeanMinAge09)))</f>
        <v/>
      </c>
      <c r="AJ56" s="87">
        <f>IF(OR(AJ29=0,9&lt;=КаникулыРоялти),0,AJ29*IF(РоялтиПоГруппам="Да",MeanMinAge09+AJ9*SUMIF(ThresholdAge09,"&lt;"&amp;AJ9,WeightedRevAge09)-SUMIF(ThresholdAge09,"&lt;"&amp;AJ9,WeightedMinAge09),MAX(CapacityAge09*АбонементНовых*AJ9,MeanMinAge09)))</f>
        <v/>
      </c>
      <c r="AK56" s="87">
        <f>IF(OR(AK29=0,9&lt;=КаникулыРоялти),0,AK29*IF(РоялтиПоГруппам="Да",MeanMinAge09+AK9*SUMIF(ThresholdAge09,"&lt;"&amp;AK9,WeightedRevAge09)-SUMIF(ThresholdAge09,"&lt;"&amp;AK9,WeightedMinAge09),MAX(CapacityAge09*АбонементНовых*AK9,MeanMinAge09)))</f>
        <v/>
      </c>
      <c r="AL56" s="87">
        <f>IF(OR(AL29=0,9&lt;=КаникулыРоялти),0,AL29*IF(РоялтиПоГруппам="Да",MeanMinAge09+AL9*SUMIF(ThresholdAge09,"&lt;"&amp;AL9,WeightedRevAge09)-SUMIF(ThresholdAge09,"&lt;"&amp;AL9,WeightedMinAge09),MAX(CapacityAge09*АбонементНовых*AL9,MeanMinAge09)))</f>
        <v/>
      </c>
      <c r="AM56" s="87">
        <f>IF(OR(AM29=0,9&lt;=КаникулыРоялти),0,AM29*IF(РоялтиПоГруппам="Да",MeanMinAge09+AM9*SUMIF(ThresholdAge09,"&lt;"&amp;AM9,WeightedRevAge09)-SUMIF(ThresholdAge09,"&lt;"&amp;AM9,WeightedMinAge09),MAX(CapacityAge09*АбонементНовых*AM9,MeanMinAge09)))</f>
        <v/>
      </c>
      <c r="AN56" s="87">
        <f>IF(OR(AN29=0,9&lt;=КаникулыРоялти),0,AN29*IF(РоялтиПоГруппам="Да",MeanMinAge09+AN9*SUMIF(ThresholdAge09,"&lt;"&amp;AN9,WeightedRevAge09)-SUMIF(ThresholdAge09,"&lt;"&amp;AN9,WeightedMinAge09),MAX(CapacityAge09*АбонементНовых*AN9,MeanMinAge09)))</f>
        <v/>
      </c>
      <c r="AO56" s="87">
        <f>IF(OR(AO29=0,9&lt;=КаникулыРоялти),0,AO29*IF(РоялтиПоГруппам="Да",MeanMinAge09+AO9*SUMIF(ThresholdAge09,"&lt;"&amp;AO9,WeightedRevAge09)-SUMIF(ThresholdAge09,"&lt;"&amp;AO9,WeightedMinAge09),MAX(CapacityAge09*АбонементНовых*AO9,MeanMinAge09)))</f>
        <v/>
      </c>
      <c r="AP56" s="87">
        <f>IF(OR(AP29=0,9&lt;=КаникулыРоялти),0,AP29*IF(РоялтиПоГруппам="Да",MeanMinAge09+AP9*SUMIF(ThresholdAge09,"&lt;"&amp;AP9,WeightedRevAge09)-SUMIF(ThresholdAge09,"&lt;"&amp;AP9,WeightedMinAge09),MAX(CapacityAge09*АбонементНовых*AP9,MeanMinAge09)))</f>
        <v/>
      </c>
      <c r="AQ56" s="87">
        <f>IF(OR(AQ29=0,9&lt;=КаникулыРоялти),0,AQ29*IF(РоялтиПоГруппам="Да",MeanMinAge09+AQ9*SUMIF(ThresholdAge09,"&lt;"&amp;AQ9,WeightedRevAge09)-SUMIF(ThresholdAge09,"&lt;"&amp;AQ9,WeightedMinAge09),MAX(CapacityAge09*АбонементНовых*AQ9,MeanMinAge09)))</f>
        <v/>
      </c>
      <c r="AR56" s="87">
        <f>IF(OR(AR29=0,9&lt;=КаникулыРоялти),0,AR29*IF(РоялтиПоГруппам="Да",MeanMinAge09+AR9*SUMIF(ThresholdAge09,"&lt;"&amp;AR9,WeightedRevAge09)-SUMIF(ThresholdAge09,"&lt;"&amp;AR9,WeightedMinAge09),MAX(CapacityAge09*АбонементНовых*AR9,MeanMinAge09)))</f>
        <v/>
      </c>
      <c r="AS56" s="87">
        <f>IF(OR(AS29=0,9&lt;=КаникулыРоялти),0,AS29*IF(РоялтиПоГруппам="Да",MeanMinAge09+AS9*SUMIF(ThresholdAge09,"&lt;"&amp;AS9,WeightedRevAge09)-SUMIF(ThresholdAge09,"&lt;"&amp;AS9,WeightedMinAge09),MAX(CapacityAge09*АбонементНовых*AS9,MeanMinAge09)))</f>
        <v/>
      </c>
      <c r="AT56" s="87">
        <f>IF(OR(AT29=0,9&lt;=КаникулыРоялти),0,AT29*IF(РоялтиПоГруппам="Да",MeanMinAge09+AT9*SUMIF(ThresholdAge09,"&lt;"&amp;AT9,WeightedRevAge09)-SUMIF(ThresholdAge09,"&lt;"&amp;AT9,WeightedMinAge09),MAX(CapacityAge09*АбонементНовых*AT9,MeanMinAge09)))</f>
        <v/>
      </c>
      <c r="AU56" s="87">
        <f>IF(OR(AU29=0,9&lt;=КаникулыРоялти),0,AU29*IF(РоялтиПоГруппам="Да",MeanMinAge09+AU9*SUMIF(ThresholdAge09,"&lt;"&amp;AU9,WeightedRevAge09)-SUMIF(ThresholdAge09,"&lt;"&amp;AU9,WeightedMinAge09),MAX(CapacityAge09*АбонементНовых*AU9,MeanMinAge09)))</f>
        <v/>
      </c>
      <c r="AV56" s="87">
        <f>IF(OR(AV29=0,9&lt;=КаникулыРоялти),0,AV29*IF(РоялтиПоГруппам="Да",MeanMinAge09+AV9*SUMIF(ThresholdAge09,"&lt;"&amp;AV9,WeightedRevAge09)-SUMIF(ThresholdAge09,"&lt;"&amp;AV9,WeightedMinAge09),MAX(CapacityAge09*АбонементНовых*AV9,MeanMinAge09)))</f>
        <v/>
      </c>
      <c r="AW56" s="87">
        <f>IF(OR(AW29=0,9&lt;=КаникулыРоялти),0,AW29*IF(РоялтиПоГруппам="Да",MeanMinAge09+AW9*SUMIF(ThresholdAge09,"&lt;"&amp;AW9,WeightedRevAge09)-SUMIF(ThresholdAge09,"&lt;"&amp;AW9,WeightedMinAge09),MAX(CapacityAge09*АбонементНовых*AW9,MeanMinAge09)))</f>
        <v/>
      </c>
      <c r="AX56" s="87">
        <f>IF(OR(AX29=0,9&lt;=КаникулыРоялти),0,AX29*IF(РоялтиПоГруппам="Да",MeanMinAge09+AX9*SUMIF(ThresholdAge09,"&lt;"&amp;AX9,WeightedRevAge09)-SUMIF(ThresholdAge09,"&lt;"&amp;AX9,WeightedMinAge09),MAX(CapacityAge09*АбонементНовых*AX9,MeanMinAge09)))</f>
        <v/>
      </c>
      <c r="AY56" s="87">
        <f>IF(OR(AY29=0,9&lt;=КаникулыРоялти),0,AY29*IF(РоялтиПоГруппам="Да",MeanMinAge09+AY9*SUMIF(ThresholdAge09,"&lt;"&amp;AY9,WeightedRevAge09)-SUMIF(ThresholdAge09,"&lt;"&amp;AY9,WeightedMinAge09),MAX(CapacityAge09*АбонементНовых*AY9,MeanMinAge09)))</f>
        <v/>
      </c>
      <c r="AZ56" s="87">
        <f>IF(OR(AZ29=0,9&lt;=КаникулыРоялти),0,AZ29*IF(РоялтиПоГруппам="Да",MeanMinAge09+AZ9*SUMIF(ThresholdAge09,"&lt;"&amp;AZ9,WeightedRevAge09)-SUMIF(ThresholdAge09,"&lt;"&amp;AZ9,WeightedMinAge09),MAX(CapacityAge09*АбонементНовых*AZ9,MeanMinAge09)))</f>
        <v/>
      </c>
      <c r="BA56" s="87">
        <f>IF(OR(BA29=0,9&lt;=КаникулыРоялти),0,BA29*IF(РоялтиПоГруппам="Да",MeanMinAge09+BA9*SUMIF(ThresholdAge09,"&lt;"&amp;BA9,WeightedRevAge09)-SUMIF(ThresholdAge09,"&lt;"&amp;BA9,WeightedMinAge09),MAX(CapacityAge09*АбонементНовых*BA9,MeanMinAge09)))</f>
        <v/>
      </c>
      <c r="BB56" s="87">
        <f>IF(OR(BB29=0,9&lt;=КаникулыРоялти),0,BB29*IF(РоялтиПоГруппам="Да",MeanMinAge09+BB9*SUMIF(ThresholdAge09,"&lt;"&amp;BB9,WeightedRevAge09)-SUMIF(ThresholdAge09,"&lt;"&amp;BB9,WeightedMinAge09),MAX(CapacityAge09*АбонементНовых*BB9,MeanMinAge09)))</f>
        <v/>
      </c>
      <c r="BC56" s="87">
        <f>IF(OR(BC29=0,9&lt;=КаникулыРоялти),0,BC29*IF(РоялтиПоГруппам="Да",MeanMinAge09+BC9*SUMIF(ThresholdAge09,"&lt;"&amp;BC9,WeightedRevAge09)-SUMIF(ThresholdAge09,"&lt;"&amp;BC9,WeightedMinAge09),MAX(CapacityAge09*АбонементНовых*BC9,MeanMinAge09)))</f>
        <v/>
      </c>
      <c r="BD56" s="87">
        <f>IF(OR(BD29=0,9&lt;=КаникулыРоялти),0,BD29*IF(РоялтиПоГруппам="Да",MeanMinAge09+BD9*SUMIF(ThresholdAge09,"&lt;"&amp;BD9,WeightedRevAge09)-SUMIF(ThresholdAge09,"&lt;"&amp;BD9,WeightedMinAge09),MAX(CapacityAge09*АбонементНовых*BD9,MeanMinAge09)))</f>
        <v/>
      </c>
      <c r="BE56" s="87">
        <f>IF(OR(BE29=0,9&lt;=КаникулыРоялти),0,BE29*IF(РоялтиПоГруппам="Да",MeanMinAge09+BE9*SUMIF(ThresholdAge09,"&lt;"&amp;BE9,WeightedRevAge09)-SUMIF(ThresholdAge09,"&lt;"&amp;BE9,WeightedMinAge09),MAX(CapacityAge09*АбонементНовых*BE9,MeanMinAge09)))</f>
        <v/>
      </c>
      <c r="BF56" s="87">
        <f>IF(OR(BF29=0,9&lt;=КаникулыРоялти),0,BF29*IF(РоялтиПоГруппам="Да",MeanMinAge09+BF9*SUMIF(ThresholdAge09,"&lt;"&amp;BF9,WeightedRevAge09)-SUMIF(ThresholdAge09,"&lt;"&amp;BF9,WeightedMinAge09),MAX(CapacityAge09*АбонементНовых*BF9,MeanMinAge09)))</f>
        <v/>
      </c>
      <c r="BG56" s="87">
        <f>IF(OR(BG29=0,9&lt;=КаникулыРоялти),0,BG29*IF(РоялтиПоГруппам="Да",MeanMinAge09+BG9*SUMIF(ThresholdAge09,"&lt;"&amp;BG9,WeightedRevAge09)-SUMIF(ThresholdAge09,"&lt;"&amp;BG9,WeightedMinAge09),MAX(CapacityAge09*АбонементНовых*BG9,MeanMinAge09)))</f>
        <v/>
      </c>
      <c r="BH56" s="87">
        <f>IF(OR(BH29=0,9&lt;=КаникулыРоялти),0,BH29*IF(РоялтиПоГруппам="Да",MeanMinAge09+BH9*SUMIF(ThresholdAge09,"&lt;"&amp;BH9,WeightedRevAge09)-SUMIF(ThresholdAge09,"&lt;"&amp;BH9,WeightedMinAge09),MAX(CapacityAge09*АбонементНовых*BH9,MeanMinAge09)))</f>
        <v/>
      </c>
      <c r="BI56" s="87">
        <f>IF(OR(BI29=0,9&lt;=КаникулыРоялти),0,BI29*IF(РоялтиПоГруппам="Да",MeanMinAge09+BI9*SUMIF(ThresholdAge09,"&lt;"&amp;BI9,WeightedRevAge09)-SUMIF(ThresholdAge09,"&lt;"&amp;BI9,WeightedMinAge09),MAX(CapacityAge09*АбонементНовых*BI9,MeanMinAge09)))</f>
        <v/>
      </c>
      <c r="BJ56" s="87">
        <f>IF(OR(BJ29=0,9&lt;=КаникулыРоялти),0,BJ29*IF(РоялтиПоГруппам="Да",MeanMinAge09+BJ9*SUMIF(ThresholdAge09,"&lt;"&amp;BJ9,WeightedRevAge09)-SUMIF(ThresholdAge09,"&lt;"&amp;BJ9,WeightedMinAge09),MAX(CapacityAge09*АбонементНовых*BJ9,MeanMinAge09)))</f>
        <v/>
      </c>
      <c r="BK56" s="87">
        <f>IF(OR(BK29=0,9&lt;=КаникулыРоялти),0,BK29*IF(РоялтиПоГруппам="Да",MeanMinAge09+BK9*SUMIF(ThresholdAge09,"&lt;"&amp;BK9,WeightedRevAge09)-SUMIF(ThresholdAge09,"&lt;"&amp;BK9,WeightedMinAge09),MAX(CapacityAge09*АбонементНовых*BK9,MeanMinAge09)))</f>
        <v/>
      </c>
      <c r="BL56" s="87">
        <f>IF(OR(BL29=0,9&lt;=КаникулыРоялти),0,BL29*IF(РоялтиПоГруппам="Да",MeanMinAge09+BL9*SUMIF(ThresholdAge09,"&lt;"&amp;BL9,WeightedRevAge09)-SUMIF(ThresholdAge09,"&lt;"&amp;BL9,WeightedMinAge09),MAX(CapacityAge09*АбонементНовых*BL9,MeanMinAge09)))</f>
        <v/>
      </c>
      <c r="BM56" s="87">
        <f>IF(OR(BM29=0,9&lt;=КаникулыРоялти),0,BM29*IF(РоялтиПоГруппам="Да",MeanMinAge09+BM9*SUMIF(ThresholdAge09,"&lt;"&amp;BM9,WeightedRevAge09)-SUMIF(ThresholdAge09,"&lt;"&amp;BM9,WeightedMinAge09),MAX(CapacityAge09*АбонементНовых*BM9,MeanMinAge09)))</f>
        <v/>
      </c>
      <c r="BN56" s="87">
        <f>IF(OR(BN29=0,9&lt;=КаникулыРоялти),0,BN29*IF(РоялтиПоГруппам="Да",MeanMinAge09+BN9*SUMIF(ThresholdAge09,"&lt;"&amp;BN9,WeightedRevAge09)-SUMIF(ThresholdAge09,"&lt;"&amp;BN9,WeightedMinAge09),MAX(CapacityAge09*АбонементНовых*BN9,MeanMinAge09)))</f>
        <v/>
      </c>
      <c r="BO56" s="87">
        <f>IF(OR(BO29=0,9&lt;=КаникулыРоялти),0,BO29*IF(РоялтиПоГруппам="Да",MeanMinAge09+BO9*SUMIF(ThresholdAge09,"&lt;"&amp;BO9,WeightedRevAge09)-SUMIF(ThresholdAge09,"&lt;"&amp;BO9,WeightedMinAge09),MAX(CapacityAge09*АбонементНовых*BO9,MeanMinAge09)))</f>
        <v/>
      </c>
      <c r="BP56" s="87">
        <f>IF(OR(BP29=0,9&lt;=КаникулыРоялти),0,BP29*IF(РоялтиПоГруппам="Да",MeanMinAge09+BP9*SUMIF(ThresholdAge09,"&lt;"&amp;BP9,WeightedRevAge09)-SUMIF(ThresholdAge09,"&lt;"&amp;BP9,WeightedMinAge09),MAX(CapacityAge09*АбонементНовых*BP9,MeanMinAge09)))</f>
        <v/>
      </c>
      <c r="BQ56" s="87">
        <f>IF(OR(BQ29=0,9&lt;=КаникулыРоялти),0,BQ29*IF(РоялтиПоГруппам="Да",MeanMinAge09+BQ9*SUMIF(ThresholdAge09,"&lt;"&amp;BQ9,WeightedRevAge09)-SUMIF(ThresholdAge09,"&lt;"&amp;BQ9,WeightedMinAge09),MAX(CapacityAge09*АбонементНовых*BQ9,MeanMinAge09)))</f>
        <v/>
      </c>
      <c r="BR56" s="87">
        <f>IF(OR(BR29=0,9&lt;=КаникулыРоялти),0,BR29*IF(РоялтиПоГруппам="Да",MeanMinAge09+BR9*SUMIF(ThresholdAge09,"&lt;"&amp;BR9,WeightedRevAge09)-SUMIF(ThresholdAge09,"&lt;"&amp;BR9,WeightedMinAge09),MAX(CapacityAge09*АбонементНовых*BR9,MeanMinAge09)))</f>
        <v/>
      </c>
      <c r="BS56" s="87">
        <f>IF(OR(BS29=0,9&lt;=КаникулыРоялти),0,BS29*IF(РоялтиПоГруппам="Да",MeanMinAge09+BS9*SUMIF(ThresholdAge09,"&lt;"&amp;BS9,WeightedRevAge09)-SUMIF(ThresholdAge09,"&lt;"&amp;BS9,WeightedMinAge09),MAX(CapacityAge09*АбонементНовых*BS9,MeanMinAge09)))</f>
        <v/>
      </c>
      <c r="BT56" s="87">
        <f>IF(OR(BT29=0,9&lt;=КаникулыРоялти),0,BT29*IF(РоялтиПоГруппам="Да",MeanMinAge09+BT9*SUMIF(ThresholdAge09,"&lt;"&amp;BT9,WeightedRevAge09)-SUMIF(ThresholdAge09,"&lt;"&amp;BT9,WeightedMinAge09),MAX(CapacityAge09*АбонементНовых*BT9,MeanMinAge09)))</f>
        <v/>
      </c>
      <c r="BU56" s="87">
        <f>IF(OR(BU29=0,9&lt;=КаникулыРоялти),0,BU29*IF(РоялтиПоГруппам="Да",MeanMinAge09+BU9*SUMIF(ThresholdAge09,"&lt;"&amp;BU9,WeightedRevAge09)-SUMIF(ThresholdAge09,"&lt;"&amp;BU9,WeightedMinAge09),MAX(CapacityAge09*АбонементНовых*BU9,MeanMinAge09)))</f>
        <v/>
      </c>
      <c r="BV56" s="87">
        <f>IF(OR(BV29=0,9&lt;=КаникулыРоялти),0,BV29*IF(РоялтиПоГруппам="Да",MeanMinAge09+BV9*SUMIF(ThresholdAge09,"&lt;"&amp;BV9,WeightedRevAge09)-SUMIF(ThresholdAge09,"&lt;"&amp;BV9,WeightedMinAge09),MAX(CapacityAge09*АбонементНовых*BV9,MeanMinAge09)))</f>
        <v/>
      </c>
      <c r="BW56" s="87">
        <f>IF(OR(BW29=0,9&lt;=КаникулыРоялти),0,BW29*IF(РоялтиПоГруппам="Да",MeanMinAge09+BW9*SUMIF(ThresholdAge09,"&lt;"&amp;BW9,WeightedRevAge09)-SUMIF(ThresholdAge09,"&lt;"&amp;BW9,WeightedMinAge09),MAX(CapacityAge09*АбонементНовых*BW9,MeanMinAge09)))</f>
        <v/>
      </c>
      <c r="BX56" s="87">
        <f>IF(OR(BX29=0,9&lt;=КаникулыРоялти),0,BX29*IF(РоялтиПоГруппам="Да",MeanMinAge09+BX9*SUMIF(ThresholdAge09,"&lt;"&amp;BX9,WeightedRevAge09)-SUMIF(ThresholdAge09,"&lt;"&amp;BX9,WeightedMinAge09),MAX(CapacityAge09*АбонементНовых*BX9,MeanMinAge09)))</f>
        <v/>
      </c>
      <c r="BY56" s="87">
        <f>IF(OR(BY29=0,9&lt;=КаникулыРоялти),0,BY29*IF(РоялтиПоГруппам="Да",MeanMinAge09+BY9*SUMIF(ThresholdAge09,"&lt;"&amp;BY9,WeightedRevAge09)-SUMIF(ThresholdAge09,"&lt;"&amp;BY9,WeightedMinAge09),MAX(CapacityAge09*АбонементНовых*BY9,MeanMinAge09)))</f>
        <v/>
      </c>
    </row>
    <row r="57" ht="15.75" customHeight="1" s="194">
      <c r="B57" s="56" t="inlineStr">
        <is>
          <t>10 мес.</t>
        </is>
      </c>
      <c r="C57" s="56" t="inlineStr">
        <is>
          <t>₽</t>
        </is>
      </c>
      <c r="D57" s="57" t="n"/>
      <c r="E57" s="85">
        <f>SUM(L57:W57)</f>
        <v/>
      </c>
      <c r="F57" s="85">
        <f>SUM(X57:AI57)</f>
        <v/>
      </c>
      <c r="G57" s="85">
        <f>SUM(AJ57:AU57)</f>
        <v/>
      </c>
      <c r="H57" s="85">
        <f>SUM(AV57:BG57)</f>
        <v/>
      </c>
      <c r="I57" s="85">
        <f>SUM(BH57:BS57)</f>
        <v/>
      </c>
      <c r="J57" s="86">
        <f>SUM(L57:BS57)</f>
        <v/>
      </c>
      <c r="L57" s="87">
        <f>IF(OR(L30=0,10&lt;=КаникулыРоялти),0,L30*IF(РоялтиПоГруппам="Да",MeanMinAge10+L9*SUMIF(ThresholdAge10,"&lt;"&amp;L9,WeightedRevAge10)-SUMIF(ThresholdAge10,"&lt;"&amp;L9,WeightedMinAge10),MAX(CapacityAge10*АбонементНовых*L9,MeanMinAge10)))</f>
        <v/>
      </c>
      <c r="M57" s="87">
        <f>IF(OR(M30=0,10&lt;=КаникулыРоялти),0,M30*IF(РоялтиПоГруппам="Да",MeanMinAge10+M9*SUMIF(ThresholdAge10,"&lt;"&amp;M9,WeightedRevAge10)-SUMIF(ThresholdAge10,"&lt;"&amp;M9,WeightedMinAge10),MAX(CapacityAge10*АбонементНовых*M9,MeanMinAge10)))</f>
        <v/>
      </c>
      <c r="N57" s="87">
        <f>IF(OR(N30=0,10&lt;=КаникулыРоялти),0,N30*IF(РоялтиПоГруппам="Да",MeanMinAge10+N9*SUMIF(ThresholdAge10,"&lt;"&amp;N9,WeightedRevAge10)-SUMIF(ThresholdAge10,"&lt;"&amp;N9,WeightedMinAge10),MAX(CapacityAge10*АбонементНовых*N9,MeanMinAge10)))</f>
        <v/>
      </c>
      <c r="O57" s="87">
        <f>IF(OR(O30=0,10&lt;=КаникулыРоялти),0,O30*IF(РоялтиПоГруппам="Да",MeanMinAge10+O9*SUMIF(ThresholdAge10,"&lt;"&amp;O9,WeightedRevAge10)-SUMIF(ThresholdAge10,"&lt;"&amp;O9,WeightedMinAge10),MAX(CapacityAge10*АбонементНовых*O9,MeanMinAge10)))</f>
        <v/>
      </c>
      <c r="P57" s="87">
        <f>IF(OR(P30=0,10&lt;=КаникулыРоялти),0,P30*IF(РоялтиПоГруппам="Да",MeanMinAge10+P9*SUMIF(ThresholdAge10,"&lt;"&amp;P9,WeightedRevAge10)-SUMIF(ThresholdAge10,"&lt;"&amp;P9,WeightedMinAge10),MAX(CapacityAge10*АбонементНовых*P9,MeanMinAge10)))</f>
        <v/>
      </c>
      <c r="Q57" s="87">
        <f>IF(OR(Q30=0,10&lt;=КаникулыРоялти),0,Q30*IF(РоялтиПоГруппам="Да",MeanMinAge10+Q9*SUMIF(ThresholdAge10,"&lt;"&amp;Q9,WeightedRevAge10)-SUMIF(ThresholdAge10,"&lt;"&amp;Q9,WeightedMinAge10),MAX(CapacityAge10*АбонементНовых*Q9,MeanMinAge10)))</f>
        <v/>
      </c>
      <c r="R57" s="87">
        <f>IF(OR(R30=0,10&lt;=КаникулыРоялти),0,R30*IF(РоялтиПоГруппам="Да",MeanMinAge10+R9*SUMIF(ThresholdAge10,"&lt;"&amp;R9,WeightedRevAge10)-SUMIF(ThresholdAge10,"&lt;"&amp;R9,WeightedMinAge10),MAX(CapacityAge10*АбонементНовых*R9,MeanMinAge10)))</f>
        <v/>
      </c>
      <c r="S57" s="87">
        <f>IF(OR(S30=0,10&lt;=КаникулыРоялти),0,S30*IF(РоялтиПоГруппам="Да",MeanMinAge10+S9*SUMIF(ThresholdAge10,"&lt;"&amp;S9,WeightedRevAge10)-SUMIF(ThresholdAge10,"&lt;"&amp;S9,WeightedMinAge10),MAX(CapacityAge10*АбонементНовых*S9,MeanMinAge10)))</f>
        <v/>
      </c>
      <c r="T57" s="87">
        <f>IF(OR(T30=0,10&lt;=КаникулыРоялти),0,T30*IF(РоялтиПоГруппам="Да",MeanMinAge10+T9*SUMIF(ThresholdAge10,"&lt;"&amp;T9,WeightedRevAge10)-SUMIF(ThresholdAge10,"&lt;"&amp;T9,WeightedMinAge10),MAX(CapacityAge10*АбонементНовых*T9,MeanMinAge10)))</f>
        <v/>
      </c>
      <c r="U57" s="87">
        <f>IF(OR(U30=0,10&lt;=КаникулыРоялти),0,U30*IF(РоялтиПоГруппам="Да",MeanMinAge10+U9*SUMIF(ThresholdAge10,"&lt;"&amp;U9,WeightedRevAge10)-SUMIF(ThresholdAge10,"&lt;"&amp;U9,WeightedMinAge10),MAX(CapacityAge10*АбонементНовых*U9,MeanMinAge10)))</f>
        <v/>
      </c>
      <c r="V57" s="87">
        <f>IF(OR(V30=0,10&lt;=КаникулыРоялти),0,V30*IF(РоялтиПоГруппам="Да",MeanMinAge10+V9*SUMIF(ThresholdAge10,"&lt;"&amp;V9,WeightedRevAge10)-SUMIF(ThresholdAge10,"&lt;"&amp;V9,WeightedMinAge10),MAX(CapacityAge10*АбонементНовых*V9,MeanMinAge10)))</f>
        <v/>
      </c>
      <c r="W57" s="87">
        <f>IF(OR(W30=0,10&lt;=КаникулыРоялти),0,W30*IF(РоялтиПоГруппам="Да",MeanMinAge10+W9*SUMIF(ThresholdAge10,"&lt;"&amp;W9,WeightedRevAge10)-SUMIF(ThresholdAge10,"&lt;"&amp;W9,WeightedMinAge10),MAX(CapacityAge10*АбонементНовых*W9,MeanMinAge10)))</f>
        <v/>
      </c>
      <c r="X57" s="87">
        <f>IF(OR(X30=0,10&lt;=КаникулыРоялти),0,X30*IF(РоялтиПоГруппам="Да",MeanMinAge10+X9*SUMIF(ThresholdAge10,"&lt;"&amp;X9,WeightedRevAge10)-SUMIF(ThresholdAge10,"&lt;"&amp;X9,WeightedMinAge10),MAX(CapacityAge10*АбонементНовых*X9,MeanMinAge10)))</f>
        <v/>
      </c>
      <c r="Y57" s="87">
        <f>IF(OR(Y30=0,10&lt;=КаникулыРоялти),0,Y30*IF(РоялтиПоГруппам="Да",MeanMinAge10+Y9*SUMIF(ThresholdAge10,"&lt;"&amp;Y9,WeightedRevAge10)-SUMIF(ThresholdAge10,"&lt;"&amp;Y9,WeightedMinAge10),MAX(CapacityAge10*АбонементНовых*Y9,MeanMinAge10)))</f>
        <v/>
      </c>
      <c r="Z57" s="87">
        <f>IF(OR(Z30=0,10&lt;=КаникулыРоялти),0,Z30*IF(РоялтиПоГруппам="Да",MeanMinAge10+Z9*SUMIF(ThresholdAge10,"&lt;"&amp;Z9,WeightedRevAge10)-SUMIF(ThresholdAge10,"&lt;"&amp;Z9,WeightedMinAge10),MAX(CapacityAge10*АбонементНовых*Z9,MeanMinAge10)))</f>
        <v/>
      </c>
      <c r="AA57" s="87">
        <f>IF(OR(AA30=0,10&lt;=КаникулыРоялти),0,AA30*IF(РоялтиПоГруппам="Да",MeanMinAge10+AA9*SUMIF(ThresholdAge10,"&lt;"&amp;AA9,WeightedRevAge10)-SUMIF(ThresholdAge10,"&lt;"&amp;AA9,WeightedMinAge10),MAX(CapacityAge10*АбонементНовых*AA9,MeanMinAge10)))</f>
        <v/>
      </c>
      <c r="AB57" s="87">
        <f>IF(OR(AB30=0,10&lt;=КаникулыРоялти),0,AB30*IF(РоялтиПоГруппам="Да",MeanMinAge10+AB9*SUMIF(ThresholdAge10,"&lt;"&amp;AB9,WeightedRevAge10)-SUMIF(ThresholdAge10,"&lt;"&amp;AB9,WeightedMinAge10),MAX(CapacityAge10*АбонементНовых*AB9,MeanMinAge10)))</f>
        <v/>
      </c>
      <c r="AC57" s="87">
        <f>IF(OR(AC30=0,10&lt;=КаникулыРоялти),0,AC30*IF(РоялтиПоГруппам="Да",MeanMinAge10+AC9*SUMIF(ThresholdAge10,"&lt;"&amp;AC9,WeightedRevAge10)-SUMIF(ThresholdAge10,"&lt;"&amp;AC9,WeightedMinAge10),MAX(CapacityAge10*АбонементНовых*AC9,MeanMinAge10)))</f>
        <v/>
      </c>
      <c r="AD57" s="87">
        <f>IF(OR(AD30=0,10&lt;=КаникулыРоялти),0,AD30*IF(РоялтиПоГруппам="Да",MeanMinAge10+AD9*SUMIF(ThresholdAge10,"&lt;"&amp;AD9,WeightedRevAge10)-SUMIF(ThresholdAge10,"&lt;"&amp;AD9,WeightedMinAge10),MAX(CapacityAge10*АбонементНовых*AD9,MeanMinAge10)))</f>
        <v/>
      </c>
      <c r="AE57" s="87">
        <f>IF(OR(AE30=0,10&lt;=КаникулыРоялти),0,AE30*IF(РоялтиПоГруппам="Да",MeanMinAge10+AE9*SUMIF(ThresholdAge10,"&lt;"&amp;AE9,WeightedRevAge10)-SUMIF(ThresholdAge10,"&lt;"&amp;AE9,WeightedMinAge10),MAX(CapacityAge10*АбонементНовых*AE9,MeanMinAge10)))</f>
        <v/>
      </c>
      <c r="AF57" s="87">
        <f>IF(OR(AF30=0,10&lt;=КаникулыРоялти),0,AF30*IF(РоялтиПоГруппам="Да",MeanMinAge10+AF9*SUMIF(ThresholdAge10,"&lt;"&amp;AF9,WeightedRevAge10)-SUMIF(ThresholdAge10,"&lt;"&amp;AF9,WeightedMinAge10),MAX(CapacityAge10*АбонементНовых*AF9,MeanMinAge10)))</f>
        <v/>
      </c>
      <c r="AG57" s="87">
        <f>IF(OR(AG30=0,10&lt;=КаникулыРоялти),0,AG30*IF(РоялтиПоГруппам="Да",MeanMinAge10+AG9*SUMIF(ThresholdAge10,"&lt;"&amp;AG9,WeightedRevAge10)-SUMIF(ThresholdAge10,"&lt;"&amp;AG9,WeightedMinAge10),MAX(CapacityAge10*АбонементНовых*AG9,MeanMinAge10)))</f>
        <v/>
      </c>
      <c r="AH57" s="87">
        <f>IF(OR(AH30=0,10&lt;=КаникулыРоялти),0,AH30*IF(РоялтиПоГруппам="Да",MeanMinAge10+AH9*SUMIF(ThresholdAge10,"&lt;"&amp;AH9,WeightedRevAge10)-SUMIF(ThresholdAge10,"&lt;"&amp;AH9,WeightedMinAge10),MAX(CapacityAge10*АбонементНовых*AH9,MeanMinAge10)))</f>
        <v/>
      </c>
      <c r="AI57" s="87">
        <f>IF(OR(AI30=0,10&lt;=КаникулыРоялти),0,AI30*IF(РоялтиПоГруппам="Да",MeanMinAge10+AI9*SUMIF(ThresholdAge10,"&lt;"&amp;AI9,WeightedRevAge10)-SUMIF(ThresholdAge10,"&lt;"&amp;AI9,WeightedMinAge10),MAX(CapacityAge10*АбонементНовых*AI9,MeanMinAge10)))</f>
        <v/>
      </c>
      <c r="AJ57" s="87">
        <f>IF(OR(AJ30=0,10&lt;=КаникулыРоялти),0,AJ30*IF(РоялтиПоГруппам="Да",MeanMinAge10+AJ9*SUMIF(ThresholdAge10,"&lt;"&amp;AJ9,WeightedRevAge10)-SUMIF(ThresholdAge10,"&lt;"&amp;AJ9,WeightedMinAge10),MAX(CapacityAge10*АбонементНовых*AJ9,MeanMinAge10)))</f>
        <v/>
      </c>
      <c r="AK57" s="87">
        <f>IF(OR(AK30=0,10&lt;=КаникулыРоялти),0,AK30*IF(РоялтиПоГруппам="Да",MeanMinAge10+AK9*SUMIF(ThresholdAge10,"&lt;"&amp;AK9,WeightedRevAge10)-SUMIF(ThresholdAge10,"&lt;"&amp;AK9,WeightedMinAge10),MAX(CapacityAge10*АбонементНовых*AK9,MeanMinAge10)))</f>
        <v/>
      </c>
      <c r="AL57" s="87">
        <f>IF(OR(AL30=0,10&lt;=КаникулыРоялти),0,AL30*IF(РоялтиПоГруппам="Да",MeanMinAge10+AL9*SUMIF(ThresholdAge10,"&lt;"&amp;AL9,WeightedRevAge10)-SUMIF(ThresholdAge10,"&lt;"&amp;AL9,WeightedMinAge10),MAX(CapacityAge10*АбонементНовых*AL9,MeanMinAge10)))</f>
        <v/>
      </c>
      <c r="AM57" s="87">
        <f>IF(OR(AM30=0,10&lt;=КаникулыРоялти),0,AM30*IF(РоялтиПоГруппам="Да",MeanMinAge10+AM9*SUMIF(ThresholdAge10,"&lt;"&amp;AM9,WeightedRevAge10)-SUMIF(ThresholdAge10,"&lt;"&amp;AM9,WeightedMinAge10),MAX(CapacityAge10*АбонементНовых*AM9,MeanMinAge10)))</f>
        <v/>
      </c>
      <c r="AN57" s="87">
        <f>IF(OR(AN30=0,10&lt;=КаникулыРоялти),0,AN30*IF(РоялтиПоГруппам="Да",MeanMinAge10+AN9*SUMIF(ThresholdAge10,"&lt;"&amp;AN9,WeightedRevAge10)-SUMIF(ThresholdAge10,"&lt;"&amp;AN9,WeightedMinAge10),MAX(CapacityAge10*АбонементНовых*AN9,MeanMinAge10)))</f>
        <v/>
      </c>
      <c r="AO57" s="87">
        <f>IF(OR(AO30=0,10&lt;=КаникулыРоялти),0,AO30*IF(РоялтиПоГруппам="Да",MeanMinAge10+AO9*SUMIF(ThresholdAge10,"&lt;"&amp;AO9,WeightedRevAge10)-SUMIF(ThresholdAge10,"&lt;"&amp;AO9,WeightedMinAge10),MAX(CapacityAge10*АбонементНовых*AO9,MeanMinAge10)))</f>
        <v/>
      </c>
      <c r="AP57" s="87">
        <f>IF(OR(AP30=0,10&lt;=КаникулыРоялти),0,AP30*IF(РоялтиПоГруппам="Да",MeanMinAge10+AP9*SUMIF(ThresholdAge10,"&lt;"&amp;AP9,WeightedRevAge10)-SUMIF(ThresholdAge10,"&lt;"&amp;AP9,WeightedMinAge10),MAX(CapacityAge10*АбонементНовых*AP9,MeanMinAge10)))</f>
        <v/>
      </c>
      <c r="AQ57" s="87">
        <f>IF(OR(AQ30=0,10&lt;=КаникулыРоялти),0,AQ30*IF(РоялтиПоГруппам="Да",MeanMinAge10+AQ9*SUMIF(ThresholdAge10,"&lt;"&amp;AQ9,WeightedRevAge10)-SUMIF(ThresholdAge10,"&lt;"&amp;AQ9,WeightedMinAge10),MAX(CapacityAge10*АбонементНовых*AQ9,MeanMinAge10)))</f>
        <v/>
      </c>
      <c r="AR57" s="87">
        <f>IF(OR(AR30=0,10&lt;=КаникулыРоялти),0,AR30*IF(РоялтиПоГруппам="Да",MeanMinAge10+AR9*SUMIF(ThresholdAge10,"&lt;"&amp;AR9,WeightedRevAge10)-SUMIF(ThresholdAge10,"&lt;"&amp;AR9,WeightedMinAge10),MAX(CapacityAge10*АбонементНовых*AR9,MeanMinAge10)))</f>
        <v/>
      </c>
      <c r="AS57" s="87">
        <f>IF(OR(AS30=0,10&lt;=КаникулыРоялти),0,AS30*IF(РоялтиПоГруппам="Да",MeanMinAge10+AS9*SUMIF(ThresholdAge10,"&lt;"&amp;AS9,WeightedRevAge10)-SUMIF(ThresholdAge10,"&lt;"&amp;AS9,WeightedMinAge10),MAX(CapacityAge10*АбонементНовых*AS9,MeanMinAge10)))</f>
        <v/>
      </c>
      <c r="AT57" s="87">
        <f>IF(OR(AT30=0,10&lt;=КаникулыРоялти),0,AT30*IF(РоялтиПоГруппам="Да",MeanMinAge10+AT9*SUMIF(ThresholdAge10,"&lt;"&amp;AT9,WeightedRevAge10)-SUMIF(ThresholdAge10,"&lt;"&amp;AT9,WeightedMinAge10),MAX(CapacityAge10*АбонементНовых*AT9,MeanMinAge10)))</f>
        <v/>
      </c>
      <c r="AU57" s="87">
        <f>IF(OR(AU30=0,10&lt;=КаникулыРоялти),0,AU30*IF(РоялтиПоГруппам="Да",MeanMinAge10+AU9*SUMIF(ThresholdAge10,"&lt;"&amp;AU9,WeightedRevAge10)-SUMIF(ThresholdAge10,"&lt;"&amp;AU9,WeightedMinAge10),MAX(CapacityAge10*АбонементНовых*AU9,MeanMinAge10)))</f>
        <v/>
      </c>
      <c r="AV57" s="87">
        <f>IF(OR(AV30=0,10&lt;=КаникулыРоялти),0,AV30*IF(РоялтиПоГруппам="Да",MeanMinAge10+AV9*SUMIF(ThresholdAge10,"&lt;"&amp;AV9,WeightedRevAge10)-SUMIF(ThresholdAge10,"&lt;"&amp;AV9,WeightedMinAge10),MAX(CapacityAge10*АбонементНовых*AV9,MeanMinAge10)))</f>
        <v/>
      </c>
      <c r="AW57" s="87">
        <f>IF(OR(AW30=0,10&lt;=КаникулыРоялти),0,AW30*IF(РоялтиПоГруппам="Да",MeanMinAge10+AW9*SUMIF(ThresholdAge10,"&lt;"&amp;AW9,WeightedRevAge10)-SUMIF(ThresholdAge10,"&lt;"&amp;AW9,WeightedMinAge10),MAX(CapacityAge10*АбонементНовых*AW9,MeanMinAge10)))</f>
        <v/>
      </c>
      <c r="AX57" s="87">
        <f>IF(OR(AX30=0,10&lt;=КаникулыРоялти),0,AX30*IF(РоялтиПоГруппам="Да",MeanMinAge10+AX9*SUMIF(ThresholdAge10,"&lt;"&amp;AX9,WeightedRevAge10)-SUMIF(ThresholdAge10,"&lt;"&amp;AX9,WeightedMinAge10),MAX(CapacityAge10*АбонементНовых*AX9,MeanMinAge10)))</f>
        <v/>
      </c>
      <c r="AY57" s="87">
        <f>IF(OR(AY30=0,10&lt;=КаникулыРоялти),0,AY30*IF(РоялтиПоГруппам="Да",MeanMinAge10+AY9*SUMIF(ThresholdAge10,"&lt;"&amp;AY9,WeightedRevAge10)-SUMIF(ThresholdAge10,"&lt;"&amp;AY9,WeightedMinAge10),MAX(CapacityAge10*АбонементНовых*AY9,MeanMinAge10)))</f>
        <v/>
      </c>
      <c r="AZ57" s="87">
        <f>IF(OR(AZ30=0,10&lt;=КаникулыРоялти),0,AZ30*IF(РоялтиПоГруппам="Да",MeanMinAge10+AZ9*SUMIF(ThresholdAge10,"&lt;"&amp;AZ9,WeightedRevAge10)-SUMIF(ThresholdAge10,"&lt;"&amp;AZ9,WeightedMinAge10),MAX(CapacityAge10*АбонементНовых*AZ9,MeanMinAge10)))</f>
        <v/>
      </c>
      <c r="BA57" s="87">
        <f>IF(OR(BA30=0,10&lt;=КаникулыРоялти),0,BA30*IF(РоялтиПоГруппам="Да",MeanMinAge10+BA9*SUMIF(ThresholdAge10,"&lt;"&amp;BA9,WeightedRevAge10)-SUMIF(ThresholdAge10,"&lt;"&amp;BA9,WeightedMinAge10),MAX(CapacityAge10*АбонементНовых*BA9,MeanMinAge10)))</f>
        <v/>
      </c>
      <c r="BB57" s="87">
        <f>IF(OR(BB30=0,10&lt;=КаникулыРоялти),0,BB30*IF(РоялтиПоГруппам="Да",MeanMinAge10+BB9*SUMIF(ThresholdAge10,"&lt;"&amp;BB9,WeightedRevAge10)-SUMIF(ThresholdAge10,"&lt;"&amp;BB9,WeightedMinAge10),MAX(CapacityAge10*АбонементНовых*BB9,MeanMinAge10)))</f>
        <v/>
      </c>
      <c r="BC57" s="87">
        <f>IF(OR(BC30=0,10&lt;=КаникулыРоялти),0,BC30*IF(РоялтиПоГруппам="Да",MeanMinAge10+BC9*SUMIF(ThresholdAge10,"&lt;"&amp;BC9,WeightedRevAge10)-SUMIF(ThresholdAge10,"&lt;"&amp;BC9,WeightedMinAge10),MAX(CapacityAge10*АбонементНовых*BC9,MeanMinAge10)))</f>
        <v/>
      </c>
      <c r="BD57" s="87">
        <f>IF(OR(BD30=0,10&lt;=КаникулыРоялти),0,BD30*IF(РоялтиПоГруппам="Да",MeanMinAge10+BD9*SUMIF(ThresholdAge10,"&lt;"&amp;BD9,WeightedRevAge10)-SUMIF(ThresholdAge10,"&lt;"&amp;BD9,WeightedMinAge10),MAX(CapacityAge10*АбонементНовых*BD9,MeanMinAge10)))</f>
        <v/>
      </c>
      <c r="BE57" s="87">
        <f>IF(OR(BE30=0,10&lt;=КаникулыРоялти),0,BE30*IF(РоялтиПоГруппам="Да",MeanMinAge10+BE9*SUMIF(ThresholdAge10,"&lt;"&amp;BE9,WeightedRevAge10)-SUMIF(ThresholdAge10,"&lt;"&amp;BE9,WeightedMinAge10),MAX(CapacityAge10*АбонементНовых*BE9,MeanMinAge10)))</f>
        <v/>
      </c>
      <c r="BF57" s="87">
        <f>IF(OR(BF30=0,10&lt;=КаникулыРоялти),0,BF30*IF(РоялтиПоГруппам="Да",MeanMinAge10+BF9*SUMIF(ThresholdAge10,"&lt;"&amp;BF9,WeightedRevAge10)-SUMIF(ThresholdAge10,"&lt;"&amp;BF9,WeightedMinAge10),MAX(CapacityAge10*АбонементНовых*BF9,MeanMinAge10)))</f>
        <v/>
      </c>
      <c r="BG57" s="87">
        <f>IF(OR(BG30=0,10&lt;=КаникулыРоялти),0,BG30*IF(РоялтиПоГруппам="Да",MeanMinAge10+BG9*SUMIF(ThresholdAge10,"&lt;"&amp;BG9,WeightedRevAge10)-SUMIF(ThresholdAge10,"&lt;"&amp;BG9,WeightedMinAge10),MAX(CapacityAge10*АбонементНовых*BG9,MeanMinAge10)))</f>
        <v/>
      </c>
      <c r="BH57" s="87">
        <f>IF(OR(BH30=0,10&lt;=КаникулыРоялти),0,BH30*IF(РоялтиПоГруппам="Да",MeanMinAge10+BH9*SUMIF(ThresholdAge10,"&lt;"&amp;BH9,WeightedRevAge10)-SUMIF(ThresholdAge10,"&lt;"&amp;BH9,WeightedMinAge10),MAX(CapacityAge10*АбонементНовых*BH9,MeanMinAge10)))</f>
        <v/>
      </c>
      <c r="BI57" s="87">
        <f>IF(OR(BI30=0,10&lt;=КаникулыРоялти),0,BI30*IF(РоялтиПоГруппам="Да",MeanMinAge10+BI9*SUMIF(ThresholdAge10,"&lt;"&amp;BI9,WeightedRevAge10)-SUMIF(ThresholdAge10,"&lt;"&amp;BI9,WeightedMinAge10),MAX(CapacityAge10*АбонементНовых*BI9,MeanMinAge10)))</f>
        <v/>
      </c>
      <c r="BJ57" s="87">
        <f>IF(OR(BJ30=0,10&lt;=КаникулыРоялти),0,BJ30*IF(РоялтиПоГруппам="Да",MeanMinAge10+BJ9*SUMIF(ThresholdAge10,"&lt;"&amp;BJ9,WeightedRevAge10)-SUMIF(ThresholdAge10,"&lt;"&amp;BJ9,WeightedMinAge10),MAX(CapacityAge10*АбонементНовых*BJ9,MeanMinAge10)))</f>
        <v/>
      </c>
      <c r="BK57" s="87">
        <f>IF(OR(BK30=0,10&lt;=КаникулыРоялти),0,BK30*IF(РоялтиПоГруппам="Да",MeanMinAge10+BK9*SUMIF(ThresholdAge10,"&lt;"&amp;BK9,WeightedRevAge10)-SUMIF(ThresholdAge10,"&lt;"&amp;BK9,WeightedMinAge10),MAX(CapacityAge10*АбонементНовых*BK9,MeanMinAge10)))</f>
        <v/>
      </c>
      <c r="BL57" s="87">
        <f>IF(OR(BL30=0,10&lt;=КаникулыРоялти),0,BL30*IF(РоялтиПоГруппам="Да",MeanMinAge10+BL9*SUMIF(ThresholdAge10,"&lt;"&amp;BL9,WeightedRevAge10)-SUMIF(ThresholdAge10,"&lt;"&amp;BL9,WeightedMinAge10),MAX(CapacityAge10*АбонементНовых*BL9,MeanMinAge10)))</f>
        <v/>
      </c>
      <c r="BM57" s="87">
        <f>IF(OR(BM30=0,10&lt;=КаникулыРоялти),0,BM30*IF(РоялтиПоГруппам="Да",MeanMinAge10+BM9*SUMIF(ThresholdAge10,"&lt;"&amp;BM9,WeightedRevAge10)-SUMIF(ThresholdAge10,"&lt;"&amp;BM9,WeightedMinAge10),MAX(CapacityAge10*АбонементНовых*BM9,MeanMinAge10)))</f>
        <v/>
      </c>
      <c r="BN57" s="87">
        <f>IF(OR(BN30=0,10&lt;=КаникулыРоялти),0,BN30*IF(РоялтиПоГруппам="Да",MeanMinAge10+BN9*SUMIF(ThresholdAge10,"&lt;"&amp;BN9,WeightedRevAge10)-SUMIF(ThresholdAge10,"&lt;"&amp;BN9,WeightedMinAge10),MAX(CapacityAge10*АбонементНовых*BN9,MeanMinAge10)))</f>
        <v/>
      </c>
      <c r="BO57" s="87">
        <f>IF(OR(BO30=0,10&lt;=КаникулыРоялти),0,BO30*IF(РоялтиПоГруппам="Да",MeanMinAge10+BO9*SUMIF(ThresholdAge10,"&lt;"&amp;BO9,WeightedRevAge10)-SUMIF(ThresholdAge10,"&lt;"&amp;BO9,WeightedMinAge10),MAX(CapacityAge10*АбонементНовых*BO9,MeanMinAge10)))</f>
        <v/>
      </c>
      <c r="BP57" s="87">
        <f>IF(OR(BP30=0,10&lt;=КаникулыРоялти),0,BP30*IF(РоялтиПоГруппам="Да",MeanMinAge10+BP9*SUMIF(ThresholdAge10,"&lt;"&amp;BP9,WeightedRevAge10)-SUMIF(ThresholdAge10,"&lt;"&amp;BP9,WeightedMinAge10),MAX(CapacityAge10*АбонементНовых*BP9,MeanMinAge10)))</f>
        <v/>
      </c>
      <c r="BQ57" s="87">
        <f>IF(OR(BQ30=0,10&lt;=КаникулыРоялти),0,BQ30*IF(РоялтиПоГруппам="Да",MeanMinAge10+BQ9*SUMIF(ThresholdAge10,"&lt;"&amp;BQ9,WeightedRevAge10)-SUMIF(ThresholdAge10,"&lt;"&amp;BQ9,WeightedMinAge10),MAX(CapacityAge10*АбонементНовых*BQ9,MeanMinAge10)))</f>
        <v/>
      </c>
      <c r="BR57" s="87">
        <f>IF(OR(BR30=0,10&lt;=КаникулыРоялти),0,BR30*IF(РоялтиПоГруппам="Да",MeanMinAge10+BR9*SUMIF(ThresholdAge10,"&lt;"&amp;BR9,WeightedRevAge10)-SUMIF(ThresholdAge10,"&lt;"&amp;BR9,WeightedMinAge10),MAX(CapacityAge10*АбонементНовых*BR9,MeanMinAge10)))</f>
        <v/>
      </c>
      <c r="BS57" s="87">
        <f>IF(OR(BS30=0,10&lt;=КаникулыРоялти),0,BS30*IF(РоялтиПоГруппам="Да",MeanMinAge10+BS9*SUMIF(ThresholdAge10,"&lt;"&amp;BS9,WeightedRevAge10)-SUMIF(ThresholdAge10,"&lt;"&amp;BS9,WeightedMinAge10),MAX(CapacityAge10*АбонементНовых*BS9,MeanMinAge10)))</f>
        <v/>
      </c>
      <c r="BT57" s="87">
        <f>IF(OR(BT30=0,10&lt;=КаникулыРоялти),0,BT30*IF(РоялтиПоГруппам="Да",MeanMinAge10+BT9*SUMIF(ThresholdAge10,"&lt;"&amp;BT9,WeightedRevAge10)-SUMIF(ThresholdAge10,"&lt;"&amp;BT9,WeightedMinAge10),MAX(CapacityAge10*АбонементНовых*BT9,MeanMinAge10)))</f>
        <v/>
      </c>
      <c r="BU57" s="87">
        <f>IF(OR(BU30=0,10&lt;=КаникулыРоялти),0,BU30*IF(РоялтиПоГруппам="Да",MeanMinAge10+BU9*SUMIF(ThresholdAge10,"&lt;"&amp;BU9,WeightedRevAge10)-SUMIF(ThresholdAge10,"&lt;"&amp;BU9,WeightedMinAge10),MAX(CapacityAge10*АбонементНовых*BU9,MeanMinAge10)))</f>
        <v/>
      </c>
      <c r="BV57" s="87">
        <f>IF(OR(BV30=0,10&lt;=КаникулыРоялти),0,BV30*IF(РоялтиПоГруппам="Да",MeanMinAge10+BV9*SUMIF(ThresholdAge10,"&lt;"&amp;BV9,WeightedRevAge10)-SUMIF(ThresholdAge10,"&lt;"&amp;BV9,WeightedMinAge10),MAX(CapacityAge10*АбонементНовых*BV9,MeanMinAge10)))</f>
        <v/>
      </c>
      <c r="BW57" s="87">
        <f>IF(OR(BW30=0,10&lt;=КаникулыРоялти),0,BW30*IF(РоялтиПоГруппам="Да",MeanMinAge10+BW9*SUMIF(ThresholdAge10,"&lt;"&amp;BW9,WeightedRevAge10)-SUMIF(ThresholdAge10,"&lt;"&amp;BW9,WeightedMinAge10),MAX(CapacityAge10*АбонементНовых*BW9,MeanMinAge10)))</f>
        <v/>
      </c>
      <c r="BX57" s="87">
        <f>IF(OR(BX30=0,10&lt;=КаникулыРоялти),0,BX30*IF(РоялтиПоГруппам="Да",MeanMinAge10+BX9*SUMIF(ThresholdAge10,"&lt;"&amp;BX9,WeightedRevAge10)-SUMIF(ThresholdAge10,"&lt;"&amp;BX9,WeightedMinAge10),MAX(CapacityAge10*АбонементНовых*BX9,MeanMinAge10)))</f>
        <v/>
      </c>
      <c r="BY57" s="87">
        <f>IF(OR(BY30=0,10&lt;=КаникулыРоялти),0,BY30*IF(РоялтиПоГруппам="Да",MeanMinAge10+BY9*SUMIF(ThresholdAge10,"&lt;"&amp;BY9,WeightedRevAge10)-SUMIF(ThresholdAge10,"&lt;"&amp;BY9,WeightedMinAge10),MAX(CapacityAge10*АбонементНовых*BY9,MeanMinAge10)))</f>
        <v/>
      </c>
    </row>
    <row r="58" ht="15.75" customHeight="1" s="194">
      <c r="B58" s="56" t="inlineStr">
        <is>
          <t>11 мес.</t>
        </is>
      </c>
      <c r="C58" s="56" t="inlineStr">
        <is>
          <t>₽</t>
        </is>
      </c>
      <c r="D58" s="57" t="n"/>
      <c r="E58" s="85">
        <f>SUM(L58:W58)</f>
        <v/>
      </c>
      <c r="F58" s="85">
        <f>SUM(X58:AI58)</f>
        <v/>
      </c>
      <c r="G58" s="85">
        <f>SUM(AJ58:AU58)</f>
        <v/>
      </c>
      <c r="H58" s="85">
        <f>SUM(AV58:BG58)</f>
        <v/>
      </c>
      <c r="I58" s="85">
        <f>SUM(BH58:BS58)</f>
        <v/>
      </c>
      <c r="J58" s="86">
        <f>SUM(L58:BS58)</f>
        <v/>
      </c>
      <c r="L58" s="87">
        <f>IF(OR(L31=0,11&lt;=КаникулыРоялти),0,L31*IF(РоялтиПоГруппам="Да",MeanMinAge11+L9*SUMIF(ThresholdAge11,"&lt;"&amp;L9,WeightedRevAge11)-SUMIF(ThresholdAge11,"&lt;"&amp;L9,WeightedMinAge11),MAX(CapacityAge11*АбонементНовых*L9,MeanMinAge11)))</f>
        <v/>
      </c>
      <c r="M58" s="87">
        <f>IF(OR(M31=0,11&lt;=КаникулыРоялти),0,M31*IF(РоялтиПоГруппам="Да",MeanMinAge11+M9*SUMIF(ThresholdAge11,"&lt;"&amp;M9,WeightedRevAge11)-SUMIF(ThresholdAge11,"&lt;"&amp;M9,WeightedMinAge11),MAX(CapacityAge11*АбонементНовых*M9,MeanMinAge11)))</f>
        <v/>
      </c>
      <c r="N58" s="87">
        <f>IF(OR(N31=0,11&lt;=КаникулыРоялти),0,N31*IF(РоялтиПоГруппам="Да",MeanMinAge11+N9*SUMIF(ThresholdAge11,"&lt;"&amp;N9,WeightedRevAge11)-SUMIF(ThresholdAge11,"&lt;"&amp;N9,WeightedMinAge11),MAX(CapacityAge11*АбонементНовых*N9,MeanMinAge11)))</f>
        <v/>
      </c>
      <c r="O58" s="87">
        <f>IF(OR(O31=0,11&lt;=КаникулыРоялти),0,O31*IF(РоялтиПоГруппам="Да",MeanMinAge11+O9*SUMIF(ThresholdAge11,"&lt;"&amp;O9,WeightedRevAge11)-SUMIF(ThresholdAge11,"&lt;"&amp;O9,WeightedMinAge11),MAX(CapacityAge11*АбонементНовых*O9,MeanMinAge11)))</f>
        <v/>
      </c>
      <c r="P58" s="87">
        <f>IF(OR(P31=0,11&lt;=КаникулыРоялти),0,P31*IF(РоялтиПоГруппам="Да",MeanMinAge11+P9*SUMIF(ThresholdAge11,"&lt;"&amp;P9,WeightedRevAge11)-SUMIF(ThresholdAge11,"&lt;"&amp;P9,WeightedMinAge11),MAX(CapacityAge11*АбонементНовых*P9,MeanMinAge11)))</f>
        <v/>
      </c>
      <c r="Q58" s="87">
        <f>IF(OR(Q31=0,11&lt;=КаникулыРоялти),0,Q31*IF(РоялтиПоГруппам="Да",MeanMinAge11+Q9*SUMIF(ThresholdAge11,"&lt;"&amp;Q9,WeightedRevAge11)-SUMIF(ThresholdAge11,"&lt;"&amp;Q9,WeightedMinAge11),MAX(CapacityAge11*АбонементНовых*Q9,MeanMinAge11)))</f>
        <v/>
      </c>
      <c r="R58" s="87">
        <f>IF(OR(R31=0,11&lt;=КаникулыРоялти),0,R31*IF(РоялтиПоГруппам="Да",MeanMinAge11+R9*SUMIF(ThresholdAge11,"&lt;"&amp;R9,WeightedRevAge11)-SUMIF(ThresholdAge11,"&lt;"&amp;R9,WeightedMinAge11),MAX(CapacityAge11*АбонементНовых*R9,MeanMinAge11)))</f>
        <v/>
      </c>
      <c r="S58" s="87">
        <f>IF(OR(S31=0,11&lt;=КаникулыРоялти),0,S31*IF(РоялтиПоГруппам="Да",MeanMinAge11+S9*SUMIF(ThresholdAge11,"&lt;"&amp;S9,WeightedRevAge11)-SUMIF(ThresholdAge11,"&lt;"&amp;S9,WeightedMinAge11),MAX(CapacityAge11*АбонементНовых*S9,MeanMinAge11)))</f>
        <v/>
      </c>
      <c r="T58" s="87">
        <f>IF(OR(T31=0,11&lt;=КаникулыРоялти),0,T31*IF(РоялтиПоГруппам="Да",MeanMinAge11+T9*SUMIF(ThresholdAge11,"&lt;"&amp;T9,WeightedRevAge11)-SUMIF(ThresholdAge11,"&lt;"&amp;T9,WeightedMinAge11),MAX(CapacityAge11*АбонементНовых*T9,MeanMinAge11)))</f>
        <v/>
      </c>
      <c r="U58" s="87">
        <f>IF(OR(U31=0,11&lt;=КаникулыРоялти),0,U31*IF(РоялтиПоГруппам="Да",MeanMinAge11+U9*SUMIF(ThresholdAge11,"&lt;"&amp;U9,WeightedRevAge11)-SUMIF(ThresholdAge11,"&lt;"&amp;U9,WeightedMinAge11),MAX(CapacityAge11*АбонементНовых*U9,MeanMinAge11)))</f>
        <v/>
      </c>
      <c r="V58" s="87">
        <f>IF(OR(V31=0,11&lt;=КаникулыРоялти),0,V31*IF(РоялтиПоГруппам="Да",MeanMinAge11+V9*SUMIF(ThresholdAge11,"&lt;"&amp;V9,WeightedRevAge11)-SUMIF(ThresholdAge11,"&lt;"&amp;V9,WeightedMinAge11),MAX(CapacityAge11*АбонементНовых*V9,MeanMinAge11)))</f>
        <v/>
      </c>
      <c r="W58" s="87">
        <f>IF(OR(W31=0,11&lt;=КаникулыРоялти),0,W31*IF(РоялтиПоГруппам="Да",MeanMinAge11+W9*SUMIF(ThresholdAge11,"&lt;"&amp;W9,WeightedRevAge11)-SUMIF(ThresholdAge11,"&lt;"&amp;W9,WeightedMinAge11),MAX(CapacityAge11*АбонементНовых*W9,MeanMinAge11)))</f>
        <v/>
      </c>
      <c r="X58" s="87">
        <f>IF(OR(X31=0,11&lt;=КаникулыРоялти),0,X31*IF(РоялтиПоГруппам="Да",MeanMinAge11+X9*SUMIF(ThresholdAge11,"&lt;"&amp;X9,WeightedRevAge11)-SUMIF(ThresholdAge11,"&lt;"&amp;X9,WeightedMinAge11),MAX(CapacityAge11*АбонементНовых*X9,MeanMinAge11)))</f>
        <v/>
      </c>
      <c r="Y58" s="87">
        <f>IF(OR(Y31=0,11&lt;=КаникулыРоялти),0,Y31*IF(РоялтиПоГруппам="Да",MeanMinAge11+Y9*SUMIF(ThresholdAge11,"&lt;"&amp;Y9,WeightedRevAge11)-SUMIF(ThresholdAge11,"&lt;"&amp;Y9,WeightedMinAge11),MAX(CapacityAge11*АбонементНовых*Y9,MeanMinAge11)))</f>
        <v/>
      </c>
      <c r="Z58" s="87">
        <f>IF(OR(Z31=0,11&lt;=КаникулыРоялти),0,Z31*IF(РоялтиПоГруппам="Да",MeanMinAge11+Z9*SUMIF(ThresholdAge11,"&lt;"&amp;Z9,WeightedRevAge11)-SUMIF(ThresholdAge11,"&lt;"&amp;Z9,WeightedMinAge11),MAX(CapacityAge11*АбонементНовых*Z9,MeanMinAge11)))</f>
        <v/>
      </c>
      <c r="AA58" s="87">
        <f>IF(OR(AA31=0,11&lt;=КаникулыРоялти),0,AA31*IF(РоялтиПоГруппам="Да",MeanMinAge11+AA9*SUMIF(ThresholdAge11,"&lt;"&amp;AA9,WeightedRevAge11)-SUMIF(ThresholdAge11,"&lt;"&amp;AA9,WeightedMinAge11),MAX(CapacityAge11*АбонементНовых*AA9,MeanMinAge11)))</f>
        <v/>
      </c>
      <c r="AB58" s="87">
        <f>IF(OR(AB31=0,11&lt;=КаникулыРоялти),0,AB31*IF(РоялтиПоГруппам="Да",MeanMinAge11+AB9*SUMIF(ThresholdAge11,"&lt;"&amp;AB9,WeightedRevAge11)-SUMIF(ThresholdAge11,"&lt;"&amp;AB9,WeightedMinAge11),MAX(CapacityAge11*АбонементНовых*AB9,MeanMinAge11)))</f>
        <v/>
      </c>
      <c r="AC58" s="87">
        <f>IF(OR(AC31=0,11&lt;=КаникулыРоялти),0,AC31*IF(РоялтиПоГруппам="Да",MeanMinAge11+AC9*SUMIF(ThresholdAge11,"&lt;"&amp;AC9,WeightedRevAge11)-SUMIF(ThresholdAge11,"&lt;"&amp;AC9,WeightedMinAge11),MAX(CapacityAge11*АбонементНовых*AC9,MeanMinAge11)))</f>
        <v/>
      </c>
      <c r="AD58" s="87">
        <f>IF(OR(AD31=0,11&lt;=КаникулыРоялти),0,AD31*IF(РоялтиПоГруппам="Да",MeanMinAge11+AD9*SUMIF(ThresholdAge11,"&lt;"&amp;AD9,WeightedRevAge11)-SUMIF(ThresholdAge11,"&lt;"&amp;AD9,WeightedMinAge11),MAX(CapacityAge11*АбонементНовых*AD9,MeanMinAge11)))</f>
        <v/>
      </c>
      <c r="AE58" s="87">
        <f>IF(OR(AE31=0,11&lt;=КаникулыРоялти),0,AE31*IF(РоялтиПоГруппам="Да",MeanMinAge11+AE9*SUMIF(ThresholdAge11,"&lt;"&amp;AE9,WeightedRevAge11)-SUMIF(ThresholdAge11,"&lt;"&amp;AE9,WeightedMinAge11),MAX(CapacityAge11*АбонементНовых*AE9,MeanMinAge11)))</f>
        <v/>
      </c>
      <c r="AF58" s="87">
        <f>IF(OR(AF31=0,11&lt;=КаникулыРоялти),0,AF31*IF(РоялтиПоГруппам="Да",MeanMinAge11+AF9*SUMIF(ThresholdAge11,"&lt;"&amp;AF9,WeightedRevAge11)-SUMIF(ThresholdAge11,"&lt;"&amp;AF9,WeightedMinAge11),MAX(CapacityAge11*АбонементНовых*AF9,MeanMinAge11)))</f>
        <v/>
      </c>
      <c r="AG58" s="87">
        <f>IF(OR(AG31=0,11&lt;=КаникулыРоялти),0,AG31*IF(РоялтиПоГруппам="Да",MeanMinAge11+AG9*SUMIF(ThresholdAge11,"&lt;"&amp;AG9,WeightedRevAge11)-SUMIF(ThresholdAge11,"&lt;"&amp;AG9,WeightedMinAge11),MAX(CapacityAge11*АбонементНовых*AG9,MeanMinAge11)))</f>
        <v/>
      </c>
      <c r="AH58" s="87">
        <f>IF(OR(AH31=0,11&lt;=КаникулыРоялти),0,AH31*IF(РоялтиПоГруппам="Да",MeanMinAge11+AH9*SUMIF(ThresholdAge11,"&lt;"&amp;AH9,WeightedRevAge11)-SUMIF(ThresholdAge11,"&lt;"&amp;AH9,WeightedMinAge11),MAX(CapacityAge11*АбонементНовых*AH9,MeanMinAge11)))</f>
        <v/>
      </c>
      <c r="AI58" s="87">
        <f>IF(OR(AI31=0,11&lt;=КаникулыРоялти),0,AI31*IF(РоялтиПоГруппам="Да",MeanMinAge11+AI9*SUMIF(ThresholdAge11,"&lt;"&amp;AI9,WeightedRevAge11)-SUMIF(ThresholdAge11,"&lt;"&amp;AI9,WeightedMinAge11),MAX(CapacityAge11*АбонементНовых*AI9,MeanMinAge11)))</f>
        <v/>
      </c>
      <c r="AJ58" s="87">
        <f>IF(OR(AJ31=0,11&lt;=КаникулыРоялти),0,AJ31*IF(РоялтиПоГруппам="Да",MeanMinAge11+AJ9*SUMIF(ThresholdAge11,"&lt;"&amp;AJ9,WeightedRevAge11)-SUMIF(ThresholdAge11,"&lt;"&amp;AJ9,WeightedMinAge11),MAX(CapacityAge11*АбонементНовых*AJ9,MeanMinAge11)))</f>
        <v/>
      </c>
      <c r="AK58" s="87">
        <f>IF(OR(AK31=0,11&lt;=КаникулыРоялти),0,AK31*IF(РоялтиПоГруппам="Да",MeanMinAge11+AK9*SUMIF(ThresholdAge11,"&lt;"&amp;AK9,WeightedRevAge11)-SUMIF(ThresholdAge11,"&lt;"&amp;AK9,WeightedMinAge11),MAX(CapacityAge11*АбонементНовых*AK9,MeanMinAge11)))</f>
        <v/>
      </c>
      <c r="AL58" s="87">
        <f>IF(OR(AL31=0,11&lt;=КаникулыРоялти),0,AL31*IF(РоялтиПоГруппам="Да",MeanMinAge11+AL9*SUMIF(ThresholdAge11,"&lt;"&amp;AL9,WeightedRevAge11)-SUMIF(ThresholdAge11,"&lt;"&amp;AL9,WeightedMinAge11),MAX(CapacityAge11*АбонементНовых*AL9,MeanMinAge11)))</f>
        <v/>
      </c>
      <c r="AM58" s="87">
        <f>IF(OR(AM31=0,11&lt;=КаникулыРоялти),0,AM31*IF(РоялтиПоГруппам="Да",MeanMinAge11+AM9*SUMIF(ThresholdAge11,"&lt;"&amp;AM9,WeightedRevAge11)-SUMIF(ThresholdAge11,"&lt;"&amp;AM9,WeightedMinAge11),MAX(CapacityAge11*АбонементНовых*AM9,MeanMinAge11)))</f>
        <v/>
      </c>
      <c r="AN58" s="87">
        <f>IF(OR(AN31=0,11&lt;=КаникулыРоялти),0,AN31*IF(РоялтиПоГруппам="Да",MeanMinAge11+AN9*SUMIF(ThresholdAge11,"&lt;"&amp;AN9,WeightedRevAge11)-SUMIF(ThresholdAge11,"&lt;"&amp;AN9,WeightedMinAge11),MAX(CapacityAge11*АбонементНовых*AN9,MeanMinAge11)))</f>
        <v/>
      </c>
      <c r="AO58" s="87">
        <f>IF(OR(AO31=0,11&lt;=КаникулыРоялти),0,AO31*IF(РоялтиПоГруппам="Да",MeanMinAge11+AO9*SUMIF(ThresholdAge11,"&lt;"&amp;AO9,WeightedRevAge11)-SUMIF(ThresholdAge11,"&lt;"&amp;AO9,WeightedMinAge11),MAX(CapacityAge11*АбонементНовых*AO9,MeanMinAge11)))</f>
        <v/>
      </c>
      <c r="AP58" s="87">
        <f>IF(OR(AP31=0,11&lt;=КаникулыРоялти),0,AP31*IF(РоялтиПоГруппам="Да",MeanMinAge11+AP9*SUMIF(ThresholdAge11,"&lt;"&amp;AP9,WeightedRevAge11)-SUMIF(ThresholdAge11,"&lt;"&amp;AP9,WeightedMinAge11),MAX(CapacityAge11*АбонементНовых*AP9,MeanMinAge11)))</f>
        <v/>
      </c>
      <c r="AQ58" s="87">
        <f>IF(OR(AQ31=0,11&lt;=КаникулыРоялти),0,AQ31*IF(РоялтиПоГруппам="Да",MeanMinAge11+AQ9*SUMIF(ThresholdAge11,"&lt;"&amp;AQ9,WeightedRevAge11)-SUMIF(ThresholdAge11,"&lt;"&amp;AQ9,WeightedMinAge11),MAX(CapacityAge11*АбонементНовых*AQ9,MeanMinAge11)))</f>
        <v/>
      </c>
      <c r="AR58" s="87">
        <f>IF(OR(AR31=0,11&lt;=КаникулыРоялти),0,AR31*IF(РоялтиПоГруппам="Да",MeanMinAge11+AR9*SUMIF(ThresholdAge11,"&lt;"&amp;AR9,WeightedRevAge11)-SUMIF(ThresholdAge11,"&lt;"&amp;AR9,WeightedMinAge11),MAX(CapacityAge11*АбонементНовых*AR9,MeanMinAge11)))</f>
        <v/>
      </c>
      <c r="AS58" s="87">
        <f>IF(OR(AS31=0,11&lt;=КаникулыРоялти),0,AS31*IF(РоялтиПоГруппам="Да",MeanMinAge11+AS9*SUMIF(ThresholdAge11,"&lt;"&amp;AS9,WeightedRevAge11)-SUMIF(ThresholdAge11,"&lt;"&amp;AS9,WeightedMinAge11),MAX(CapacityAge11*АбонементНовых*AS9,MeanMinAge11)))</f>
        <v/>
      </c>
      <c r="AT58" s="87">
        <f>IF(OR(AT31=0,11&lt;=КаникулыРоялти),0,AT31*IF(РоялтиПоГруппам="Да",MeanMinAge11+AT9*SUMIF(ThresholdAge11,"&lt;"&amp;AT9,WeightedRevAge11)-SUMIF(ThresholdAge11,"&lt;"&amp;AT9,WeightedMinAge11),MAX(CapacityAge11*АбонементНовых*AT9,MeanMinAge11)))</f>
        <v/>
      </c>
      <c r="AU58" s="87">
        <f>IF(OR(AU31=0,11&lt;=КаникулыРоялти),0,AU31*IF(РоялтиПоГруппам="Да",MeanMinAge11+AU9*SUMIF(ThresholdAge11,"&lt;"&amp;AU9,WeightedRevAge11)-SUMIF(ThresholdAge11,"&lt;"&amp;AU9,WeightedMinAge11),MAX(CapacityAge11*АбонементНовых*AU9,MeanMinAge11)))</f>
        <v/>
      </c>
      <c r="AV58" s="87">
        <f>IF(OR(AV31=0,11&lt;=КаникулыРоялти),0,AV31*IF(РоялтиПоГруппам="Да",MeanMinAge11+AV9*SUMIF(ThresholdAge11,"&lt;"&amp;AV9,WeightedRevAge11)-SUMIF(ThresholdAge11,"&lt;"&amp;AV9,WeightedMinAge11),MAX(CapacityAge11*АбонементНовых*AV9,MeanMinAge11)))</f>
        <v/>
      </c>
      <c r="AW58" s="87">
        <f>IF(OR(AW31=0,11&lt;=КаникулыРоялти),0,AW31*IF(РоялтиПоГруппам="Да",MeanMinAge11+AW9*SUMIF(ThresholdAge11,"&lt;"&amp;AW9,WeightedRevAge11)-SUMIF(ThresholdAge11,"&lt;"&amp;AW9,WeightedMinAge11),MAX(CapacityAge11*АбонементНовых*AW9,MeanMinAge11)))</f>
        <v/>
      </c>
      <c r="AX58" s="87">
        <f>IF(OR(AX31=0,11&lt;=КаникулыРоялти),0,AX31*IF(РоялтиПоГруппам="Да",MeanMinAge11+AX9*SUMIF(ThresholdAge11,"&lt;"&amp;AX9,WeightedRevAge11)-SUMIF(ThresholdAge11,"&lt;"&amp;AX9,WeightedMinAge11),MAX(CapacityAge11*АбонементНовых*AX9,MeanMinAge11)))</f>
        <v/>
      </c>
      <c r="AY58" s="87">
        <f>IF(OR(AY31=0,11&lt;=КаникулыРоялти),0,AY31*IF(РоялтиПоГруппам="Да",MeanMinAge11+AY9*SUMIF(ThresholdAge11,"&lt;"&amp;AY9,WeightedRevAge11)-SUMIF(ThresholdAge11,"&lt;"&amp;AY9,WeightedMinAge11),MAX(CapacityAge11*АбонементНовых*AY9,MeanMinAge11)))</f>
        <v/>
      </c>
      <c r="AZ58" s="87">
        <f>IF(OR(AZ31=0,11&lt;=КаникулыРоялти),0,AZ31*IF(РоялтиПоГруппам="Да",MeanMinAge11+AZ9*SUMIF(ThresholdAge11,"&lt;"&amp;AZ9,WeightedRevAge11)-SUMIF(ThresholdAge11,"&lt;"&amp;AZ9,WeightedMinAge11),MAX(CapacityAge11*АбонементНовых*AZ9,MeanMinAge11)))</f>
        <v/>
      </c>
      <c r="BA58" s="87">
        <f>IF(OR(BA31=0,11&lt;=КаникулыРоялти),0,BA31*IF(РоялтиПоГруппам="Да",MeanMinAge11+BA9*SUMIF(ThresholdAge11,"&lt;"&amp;BA9,WeightedRevAge11)-SUMIF(ThresholdAge11,"&lt;"&amp;BA9,WeightedMinAge11),MAX(CapacityAge11*АбонементНовых*BA9,MeanMinAge11)))</f>
        <v/>
      </c>
      <c r="BB58" s="87">
        <f>IF(OR(BB31=0,11&lt;=КаникулыРоялти),0,BB31*IF(РоялтиПоГруппам="Да",MeanMinAge11+BB9*SUMIF(ThresholdAge11,"&lt;"&amp;BB9,WeightedRevAge11)-SUMIF(ThresholdAge11,"&lt;"&amp;BB9,WeightedMinAge11),MAX(CapacityAge11*АбонементНовых*BB9,MeanMinAge11)))</f>
        <v/>
      </c>
      <c r="BC58" s="87">
        <f>IF(OR(BC31=0,11&lt;=КаникулыРоялти),0,BC31*IF(РоялтиПоГруппам="Да",MeanMinAge11+BC9*SUMIF(ThresholdAge11,"&lt;"&amp;BC9,WeightedRevAge11)-SUMIF(ThresholdAge11,"&lt;"&amp;BC9,WeightedMinAge11),MAX(CapacityAge11*АбонементНовых*BC9,MeanMinAge11)))</f>
        <v/>
      </c>
      <c r="BD58" s="87">
        <f>IF(OR(BD31=0,11&lt;=КаникулыРоялти),0,BD31*IF(РоялтиПоГруппам="Да",MeanMinAge11+BD9*SUMIF(ThresholdAge11,"&lt;"&amp;BD9,WeightedRevAge11)-SUMIF(ThresholdAge11,"&lt;"&amp;BD9,WeightedMinAge11),MAX(CapacityAge11*АбонементНовых*BD9,MeanMinAge11)))</f>
        <v/>
      </c>
      <c r="BE58" s="87">
        <f>IF(OR(BE31=0,11&lt;=КаникулыРоялти),0,BE31*IF(РоялтиПоГруппам="Да",MeanMinAge11+BE9*SUMIF(ThresholdAge11,"&lt;"&amp;BE9,WeightedRevAge11)-SUMIF(ThresholdAge11,"&lt;"&amp;BE9,WeightedMinAge11),MAX(CapacityAge11*АбонементНовых*BE9,MeanMinAge11)))</f>
        <v/>
      </c>
      <c r="BF58" s="87">
        <f>IF(OR(BF31=0,11&lt;=КаникулыРоялти),0,BF31*IF(РоялтиПоГруппам="Да",MeanMinAge11+BF9*SUMIF(ThresholdAge11,"&lt;"&amp;BF9,WeightedRevAge11)-SUMIF(ThresholdAge11,"&lt;"&amp;BF9,WeightedMinAge11),MAX(CapacityAge11*АбонементНовых*BF9,MeanMinAge11)))</f>
        <v/>
      </c>
      <c r="BG58" s="87">
        <f>IF(OR(BG31=0,11&lt;=КаникулыРоялти),0,BG31*IF(РоялтиПоГруппам="Да",MeanMinAge11+BG9*SUMIF(ThresholdAge11,"&lt;"&amp;BG9,WeightedRevAge11)-SUMIF(ThresholdAge11,"&lt;"&amp;BG9,WeightedMinAge11),MAX(CapacityAge11*АбонементНовых*BG9,MeanMinAge11)))</f>
        <v/>
      </c>
      <c r="BH58" s="87">
        <f>IF(OR(BH31=0,11&lt;=КаникулыРоялти),0,BH31*IF(РоялтиПоГруппам="Да",MeanMinAge11+BH9*SUMIF(ThresholdAge11,"&lt;"&amp;BH9,WeightedRevAge11)-SUMIF(ThresholdAge11,"&lt;"&amp;BH9,WeightedMinAge11),MAX(CapacityAge11*АбонементНовых*BH9,MeanMinAge11)))</f>
        <v/>
      </c>
      <c r="BI58" s="87">
        <f>IF(OR(BI31=0,11&lt;=КаникулыРоялти),0,BI31*IF(РоялтиПоГруппам="Да",MeanMinAge11+BI9*SUMIF(ThresholdAge11,"&lt;"&amp;BI9,WeightedRevAge11)-SUMIF(ThresholdAge11,"&lt;"&amp;BI9,WeightedMinAge11),MAX(CapacityAge11*АбонементНовых*BI9,MeanMinAge11)))</f>
        <v/>
      </c>
      <c r="BJ58" s="87">
        <f>IF(OR(BJ31=0,11&lt;=КаникулыРоялти),0,BJ31*IF(РоялтиПоГруппам="Да",MeanMinAge11+BJ9*SUMIF(ThresholdAge11,"&lt;"&amp;BJ9,WeightedRevAge11)-SUMIF(ThresholdAge11,"&lt;"&amp;BJ9,WeightedMinAge11),MAX(CapacityAge11*АбонементНовых*BJ9,MeanMinAge11)))</f>
        <v/>
      </c>
      <c r="BK58" s="87">
        <f>IF(OR(BK31=0,11&lt;=КаникулыРоялти),0,BK31*IF(РоялтиПоГруппам="Да",MeanMinAge11+BK9*SUMIF(ThresholdAge11,"&lt;"&amp;BK9,WeightedRevAge11)-SUMIF(ThresholdAge11,"&lt;"&amp;BK9,WeightedMinAge11),MAX(CapacityAge11*АбонементНовых*BK9,MeanMinAge11)))</f>
        <v/>
      </c>
      <c r="BL58" s="87">
        <f>IF(OR(BL31=0,11&lt;=КаникулыРоялти),0,BL31*IF(РоялтиПоГруппам="Да",MeanMinAge11+BL9*SUMIF(ThresholdAge11,"&lt;"&amp;BL9,WeightedRevAge11)-SUMIF(ThresholdAge11,"&lt;"&amp;BL9,WeightedMinAge11),MAX(CapacityAge11*АбонементНовых*BL9,MeanMinAge11)))</f>
        <v/>
      </c>
      <c r="BM58" s="87">
        <f>IF(OR(BM31=0,11&lt;=КаникулыРоялти),0,BM31*IF(РоялтиПоГруппам="Да",MeanMinAge11+BM9*SUMIF(ThresholdAge11,"&lt;"&amp;BM9,WeightedRevAge11)-SUMIF(ThresholdAge11,"&lt;"&amp;BM9,WeightedMinAge11),MAX(CapacityAge11*АбонементНовых*BM9,MeanMinAge11)))</f>
        <v/>
      </c>
      <c r="BN58" s="87">
        <f>IF(OR(BN31=0,11&lt;=КаникулыРоялти),0,BN31*IF(РоялтиПоГруппам="Да",MeanMinAge11+BN9*SUMIF(ThresholdAge11,"&lt;"&amp;BN9,WeightedRevAge11)-SUMIF(ThresholdAge11,"&lt;"&amp;BN9,WeightedMinAge11),MAX(CapacityAge11*АбонементНовых*BN9,MeanMinAge11)))</f>
        <v/>
      </c>
      <c r="BO58" s="87">
        <f>IF(OR(BO31=0,11&lt;=КаникулыРоялти),0,BO31*IF(РоялтиПоГруппам="Да",MeanMinAge11+BO9*SUMIF(ThresholdAge11,"&lt;"&amp;BO9,WeightedRevAge11)-SUMIF(ThresholdAge11,"&lt;"&amp;BO9,WeightedMinAge11),MAX(CapacityAge11*АбонементНовых*BO9,MeanMinAge11)))</f>
        <v/>
      </c>
      <c r="BP58" s="87">
        <f>IF(OR(BP31=0,11&lt;=КаникулыРоялти),0,BP31*IF(РоялтиПоГруппам="Да",MeanMinAge11+BP9*SUMIF(ThresholdAge11,"&lt;"&amp;BP9,WeightedRevAge11)-SUMIF(ThresholdAge11,"&lt;"&amp;BP9,WeightedMinAge11),MAX(CapacityAge11*АбонементНовых*BP9,MeanMinAge11)))</f>
        <v/>
      </c>
      <c r="BQ58" s="87">
        <f>IF(OR(BQ31=0,11&lt;=КаникулыРоялти),0,BQ31*IF(РоялтиПоГруппам="Да",MeanMinAge11+BQ9*SUMIF(ThresholdAge11,"&lt;"&amp;BQ9,WeightedRevAge11)-SUMIF(ThresholdAge11,"&lt;"&amp;BQ9,WeightedMinAge11),MAX(CapacityAge11*АбонементНовых*BQ9,MeanMinAge11)))</f>
        <v/>
      </c>
      <c r="BR58" s="87">
        <f>IF(OR(BR31=0,11&lt;=КаникулыРоялти),0,BR31*IF(РоялтиПоГруппам="Да",MeanMinAge11+BR9*SUMIF(ThresholdAge11,"&lt;"&amp;BR9,WeightedRevAge11)-SUMIF(ThresholdAge11,"&lt;"&amp;BR9,WeightedMinAge11),MAX(CapacityAge11*АбонементНовых*BR9,MeanMinAge11)))</f>
        <v/>
      </c>
      <c r="BS58" s="87">
        <f>IF(OR(BS31=0,11&lt;=КаникулыРоялти),0,BS31*IF(РоялтиПоГруппам="Да",MeanMinAge11+BS9*SUMIF(ThresholdAge11,"&lt;"&amp;BS9,WeightedRevAge11)-SUMIF(ThresholdAge11,"&lt;"&amp;BS9,WeightedMinAge11),MAX(CapacityAge11*АбонементНовых*BS9,MeanMinAge11)))</f>
        <v/>
      </c>
      <c r="BT58" s="87">
        <f>IF(OR(BT31=0,11&lt;=КаникулыРоялти),0,BT31*IF(РоялтиПоГруппам="Да",MeanMinAge11+BT9*SUMIF(ThresholdAge11,"&lt;"&amp;BT9,WeightedRevAge11)-SUMIF(ThresholdAge11,"&lt;"&amp;BT9,WeightedMinAge11),MAX(CapacityAge11*АбонементНовых*BT9,MeanMinAge11)))</f>
        <v/>
      </c>
      <c r="BU58" s="87">
        <f>IF(OR(BU31=0,11&lt;=КаникулыРоялти),0,BU31*IF(РоялтиПоГруппам="Да",MeanMinAge11+BU9*SUMIF(ThresholdAge11,"&lt;"&amp;BU9,WeightedRevAge11)-SUMIF(ThresholdAge11,"&lt;"&amp;BU9,WeightedMinAge11),MAX(CapacityAge11*АбонементНовых*BU9,MeanMinAge11)))</f>
        <v/>
      </c>
      <c r="BV58" s="87">
        <f>IF(OR(BV31=0,11&lt;=КаникулыРоялти),0,BV31*IF(РоялтиПоГруппам="Да",MeanMinAge11+BV9*SUMIF(ThresholdAge11,"&lt;"&amp;BV9,WeightedRevAge11)-SUMIF(ThresholdAge11,"&lt;"&amp;BV9,WeightedMinAge11),MAX(CapacityAge11*АбонементНовых*BV9,MeanMinAge11)))</f>
        <v/>
      </c>
      <c r="BW58" s="87">
        <f>IF(OR(BW31=0,11&lt;=КаникулыРоялти),0,BW31*IF(РоялтиПоГруппам="Да",MeanMinAge11+BW9*SUMIF(ThresholdAge11,"&lt;"&amp;BW9,WeightedRevAge11)-SUMIF(ThresholdAge11,"&lt;"&amp;BW9,WeightedMinAge11),MAX(CapacityAge11*АбонементНовых*BW9,MeanMinAge11)))</f>
        <v/>
      </c>
      <c r="BX58" s="87">
        <f>IF(OR(BX31=0,11&lt;=КаникулыРоялти),0,BX31*IF(РоялтиПоГруппам="Да",MeanMinAge11+BX9*SUMIF(ThresholdAge11,"&lt;"&amp;BX9,WeightedRevAge11)-SUMIF(ThresholdAge11,"&lt;"&amp;BX9,WeightedMinAge11),MAX(CapacityAge11*АбонементНовых*BX9,MeanMinAge11)))</f>
        <v/>
      </c>
      <c r="BY58" s="87">
        <f>IF(OR(BY31=0,11&lt;=КаникулыРоялти),0,BY31*IF(РоялтиПоГруппам="Да",MeanMinAge11+BY9*SUMIF(ThresholdAge11,"&lt;"&amp;BY9,WeightedRevAge11)-SUMIF(ThresholdAge11,"&lt;"&amp;BY9,WeightedMinAge11),MAX(CapacityAge11*АбонементНовых*BY9,MeanMinAge11)))</f>
        <v/>
      </c>
    </row>
    <row r="59" ht="15.75" customHeight="1" s="194">
      <c r="B59" s="56" t="inlineStr">
        <is>
          <t>12 мес.</t>
        </is>
      </c>
      <c r="C59" s="56" t="inlineStr">
        <is>
          <t>₽</t>
        </is>
      </c>
      <c r="D59" s="57" t="n"/>
      <c r="E59" s="85">
        <f>SUM(L59:W59)</f>
        <v/>
      </c>
      <c r="F59" s="85">
        <f>SUM(X59:AI59)</f>
        <v/>
      </c>
      <c r="G59" s="85">
        <f>SUM(AJ59:AU59)</f>
        <v/>
      </c>
      <c r="H59" s="85">
        <f>SUM(AV59:BG59)</f>
        <v/>
      </c>
      <c r="I59" s="85">
        <f>SUM(BH59:BS59)</f>
        <v/>
      </c>
      <c r="J59" s="86">
        <f>SUM(L59:BS59)</f>
        <v/>
      </c>
      <c r="L59" s="87">
        <f>IF(OR(L32=0,12&lt;=КаникулыРоялти),0,L32*IF(РоялтиПоГруппам="Да",MeanMinAge12+L9*SUMIF(ThresholdAge12,"&lt;"&amp;L9,WeightedRevAge12)-SUMIF(ThresholdAge12,"&lt;"&amp;L9,WeightedMinAge12),MAX(CapacityAge12*АбонементНовых*L9,MeanMinAge12)))</f>
        <v/>
      </c>
      <c r="M59" s="87">
        <f>IF(OR(M32=0,12&lt;=КаникулыРоялти),0,M32*IF(РоялтиПоГруппам="Да",MeanMinAge12+M9*SUMIF(ThresholdAge12,"&lt;"&amp;M9,WeightedRevAge12)-SUMIF(ThresholdAge12,"&lt;"&amp;M9,WeightedMinAge12),MAX(CapacityAge12*АбонементНовых*M9,MeanMinAge12)))</f>
        <v/>
      </c>
      <c r="N59" s="87">
        <f>IF(OR(N32=0,12&lt;=КаникулыРоялти),0,N32*IF(РоялтиПоГруппам="Да",MeanMinAge12+N9*SUMIF(ThresholdAge12,"&lt;"&amp;N9,WeightedRevAge12)-SUMIF(ThresholdAge12,"&lt;"&amp;N9,WeightedMinAge12),MAX(CapacityAge12*АбонементНовых*N9,MeanMinAge12)))</f>
        <v/>
      </c>
      <c r="O59" s="87">
        <f>IF(OR(O32=0,12&lt;=КаникулыРоялти),0,O32*IF(РоялтиПоГруппам="Да",MeanMinAge12+O9*SUMIF(ThresholdAge12,"&lt;"&amp;O9,WeightedRevAge12)-SUMIF(ThresholdAge12,"&lt;"&amp;O9,WeightedMinAge12),MAX(CapacityAge12*АбонементНовых*O9,MeanMinAge12)))</f>
        <v/>
      </c>
      <c r="P59" s="87">
        <f>IF(OR(P32=0,12&lt;=КаникулыРоялти),0,P32*IF(РоялтиПоГруппам="Да",MeanMinAge12+P9*SUMIF(ThresholdAge12,"&lt;"&amp;P9,WeightedRevAge12)-SUMIF(ThresholdAge12,"&lt;"&amp;P9,WeightedMinAge12),MAX(CapacityAge12*АбонементНовых*P9,MeanMinAge12)))</f>
        <v/>
      </c>
      <c r="Q59" s="87">
        <f>IF(OR(Q32=0,12&lt;=КаникулыРоялти),0,Q32*IF(РоялтиПоГруппам="Да",MeanMinAge12+Q9*SUMIF(ThresholdAge12,"&lt;"&amp;Q9,WeightedRevAge12)-SUMIF(ThresholdAge12,"&lt;"&amp;Q9,WeightedMinAge12),MAX(CapacityAge12*АбонементНовых*Q9,MeanMinAge12)))</f>
        <v/>
      </c>
      <c r="R59" s="87">
        <f>IF(OR(R32=0,12&lt;=КаникулыРоялти),0,R32*IF(РоялтиПоГруппам="Да",MeanMinAge12+R9*SUMIF(ThresholdAge12,"&lt;"&amp;R9,WeightedRevAge12)-SUMIF(ThresholdAge12,"&lt;"&amp;R9,WeightedMinAge12),MAX(CapacityAge12*АбонементНовых*R9,MeanMinAge12)))</f>
        <v/>
      </c>
      <c r="S59" s="87">
        <f>IF(OR(S32=0,12&lt;=КаникулыРоялти),0,S32*IF(РоялтиПоГруппам="Да",MeanMinAge12+S9*SUMIF(ThresholdAge12,"&lt;"&amp;S9,WeightedRevAge12)-SUMIF(ThresholdAge12,"&lt;"&amp;S9,WeightedMinAge12),MAX(CapacityAge12*АбонементНовых*S9,MeanMinAge12)))</f>
        <v/>
      </c>
      <c r="T59" s="87">
        <f>IF(OR(T32=0,12&lt;=КаникулыРоялти),0,T32*IF(РоялтиПоГруппам="Да",MeanMinAge12+T9*SUMIF(ThresholdAge12,"&lt;"&amp;T9,WeightedRevAge12)-SUMIF(ThresholdAge12,"&lt;"&amp;T9,WeightedMinAge12),MAX(CapacityAge12*АбонементНовых*T9,MeanMinAge12)))</f>
        <v/>
      </c>
      <c r="U59" s="87">
        <f>IF(OR(U32=0,12&lt;=КаникулыРоялти),0,U32*IF(РоялтиПоГруппам="Да",MeanMinAge12+U9*SUMIF(ThresholdAge12,"&lt;"&amp;U9,WeightedRevAge12)-SUMIF(ThresholdAge12,"&lt;"&amp;U9,WeightedMinAge12),MAX(CapacityAge12*АбонементНовых*U9,MeanMinAge12)))</f>
        <v/>
      </c>
      <c r="V59" s="87">
        <f>IF(OR(V32=0,12&lt;=КаникулыРоялти),0,V32*IF(РоялтиПоГруппам="Да",MeanMinAge12+V9*SUMIF(ThresholdAge12,"&lt;"&amp;V9,WeightedRevAge12)-SUMIF(ThresholdAge12,"&lt;"&amp;V9,WeightedMinAge12),MAX(CapacityAge12*АбонементНовых*V9,MeanMinAge12)))</f>
        <v/>
      </c>
      <c r="W59" s="87">
        <f>IF(OR(W32=0,12&lt;=КаникулыРоялти),0,W32*IF(РоялтиПоГруппам="Да",MeanMinAge12+W9*SUMIF(ThresholdAge12,"&lt;"&amp;W9,WeightedRevAge12)-SUMIF(ThresholdAge12,"&lt;"&amp;W9,WeightedMinAge12),MAX(CapacityAge12*АбонементНовых*W9,MeanMinAge12)))</f>
        <v/>
      </c>
      <c r="X59" s="87">
        <f>IF(OR(X32=0,12&lt;=КаникулыРоялти),0,X32*IF(РоялтиПоГруппам="Да",MeanMinAge12+X9*SUMIF(ThresholdAge12,"&lt;"&amp;X9,WeightedRevAge12)-SUMIF(ThresholdAge12,"&lt;"&amp;X9,WeightedMinAge12),MAX(CapacityAge12*АбонементНовых*X9,MeanMinAge12)))</f>
        <v/>
      </c>
      <c r="Y59" s="87">
        <f>IF(OR(Y32=0,12&lt;=КаникулыРоялти),0,Y32*IF(РоялтиПоГруппам="Да",MeanMinAge12+Y9*SUMIF(ThresholdAge12,"&lt;"&amp;Y9,WeightedRevAge12)-SUMIF(ThresholdAge12,"&lt;"&amp;Y9,WeightedMinAge12),MAX(CapacityAge12*АбонементНовых*Y9,MeanMinAge12)))</f>
        <v/>
      </c>
      <c r="Z59" s="87">
        <f>IF(OR(Z32=0,12&lt;=КаникулыРоялти),0,Z32*IF(РоялтиПоГруппам="Да",MeanMinAge12+Z9*SUMIF(ThresholdAge12,"&lt;"&amp;Z9,WeightedRevAge12)-SUMIF(ThresholdAge12,"&lt;"&amp;Z9,WeightedMinAge12),MAX(CapacityAge12*АбонементНовых*Z9,MeanMinAge12)))</f>
        <v/>
      </c>
      <c r="AA59" s="87">
        <f>IF(OR(AA32=0,12&lt;=КаникулыРоялти),0,AA32*IF(РоялтиПоГруппам="Да",MeanMinAge12+AA9*SUMIF(ThresholdAge12,"&lt;"&amp;AA9,WeightedRevAge12)-SUMIF(ThresholdAge12,"&lt;"&amp;AA9,WeightedMinAge12),MAX(CapacityAge12*АбонементНовых*AA9,MeanMinAge12)))</f>
        <v/>
      </c>
      <c r="AB59" s="87">
        <f>IF(OR(AB32=0,12&lt;=КаникулыРоялти),0,AB32*IF(РоялтиПоГруппам="Да",MeanMinAge12+AB9*SUMIF(ThresholdAge12,"&lt;"&amp;AB9,WeightedRevAge12)-SUMIF(ThresholdAge12,"&lt;"&amp;AB9,WeightedMinAge12),MAX(CapacityAge12*АбонементНовых*AB9,MeanMinAge12)))</f>
        <v/>
      </c>
      <c r="AC59" s="87">
        <f>IF(OR(AC32=0,12&lt;=КаникулыРоялти),0,AC32*IF(РоялтиПоГруппам="Да",MeanMinAge12+AC9*SUMIF(ThresholdAge12,"&lt;"&amp;AC9,WeightedRevAge12)-SUMIF(ThresholdAge12,"&lt;"&amp;AC9,WeightedMinAge12),MAX(CapacityAge12*АбонементНовых*AC9,MeanMinAge12)))</f>
        <v/>
      </c>
      <c r="AD59" s="87">
        <f>IF(OR(AD32=0,12&lt;=КаникулыРоялти),0,AD32*IF(РоялтиПоГруппам="Да",MeanMinAge12+AD9*SUMIF(ThresholdAge12,"&lt;"&amp;AD9,WeightedRevAge12)-SUMIF(ThresholdAge12,"&lt;"&amp;AD9,WeightedMinAge12),MAX(CapacityAge12*АбонементНовых*AD9,MeanMinAge12)))</f>
        <v/>
      </c>
      <c r="AE59" s="87">
        <f>IF(OR(AE32=0,12&lt;=КаникулыРоялти),0,AE32*IF(РоялтиПоГруппам="Да",MeanMinAge12+AE9*SUMIF(ThresholdAge12,"&lt;"&amp;AE9,WeightedRevAge12)-SUMIF(ThresholdAge12,"&lt;"&amp;AE9,WeightedMinAge12),MAX(CapacityAge12*АбонементНовых*AE9,MeanMinAge12)))</f>
        <v/>
      </c>
      <c r="AF59" s="87">
        <f>IF(OR(AF32=0,12&lt;=КаникулыРоялти),0,AF32*IF(РоялтиПоГруппам="Да",MeanMinAge12+AF9*SUMIF(ThresholdAge12,"&lt;"&amp;AF9,WeightedRevAge12)-SUMIF(ThresholdAge12,"&lt;"&amp;AF9,WeightedMinAge12),MAX(CapacityAge12*АбонементНовых*AF9,MeanMinAge12)))</f>
        <v/>
      </c>
      <c r="AG59" s="87">
        <f>IF(OR(AG32=0,12&lt;=КаникулыРоялти),0,AG32*IF(РоялтиПоГруппам="Да",MeanMinAge12+AG9*SUMIF(ThresholdAge12,"&lt;"&amp;AG9,WeightedRevAge12)-SUMIF(ThresholdAge12,"&lt;"&amp;AG9,WeightedMinAge12),MAX(CapacityAge12*АбонементНовых*AG9,MeanMinAge12)))</f>
        <v/>
      </c>
      <c r="AH59" s="87">
        <f>IF(OR(AH32=0,12&lt;=КаникулыРоялти),0,AH32*IF(РоялтиПоГруппам="Да",MeanMinAge12+AH9*SUMIF(ThresholdAge12,"&lt;"&amp;AH9,WeightedRevAge12)-SUMIF(ThresholdAge12,"&lt;"&amp;AH9,WeightedMinAge12),MAX(CapacityAge12*АбонементНовых*AH9,MeanMinAge12)))</f>
        <v/>
      </c>
      <c r="AI59" s="87">
        <f>IF(OR(AI32=0,12&lt;=КаникулыРоялти),0,AI32*IF(РоялтиПоГруппам="Да",MeanMinAge12+AI9*SUMIF(ThresholdAge12,"&lt;"&amp;AI9,WeightedRevAge12)-SUMIF(ThresholdAge12,"&lt;"&amp;AI9,WeightedMinAge12),MAX(CapacityAge12*АбонементНовых*AI9,MeanMinAge12)))</f>
        <v/>
      </c>
      <c r="AJ59" s="87">
        <f>IF(OR(AJ32=0,12&lt;=КаникулыРоялти),0,AJ32*IF(РоялтиПоГруппам="Да",MeanMinAge12+AJ9*SUMIF(ThresholdAge12,"&lt;"&amp;AJ9,WeightedRevAge12)-SUMIF(ThresholdAge12,"&lt;"&amp;AJ9,WeightedMinAge12),MAX(CapacityAge12*АбонементНовых*AJ9,MeanMinAge12)))</f>
        <v/>
      </c>
      <c r="AK59" s="87">
        <f>IF(OR(AK32=0,12&lt;=КаникулыРоялти),0,AK32*IF(РоялтиПоГруппам="Да",MeanMinAge12+AK9*SUMIF(ThresholdAge12,"&lt;"&amp;AK9,WeightedRevAge12)-SUMIF(ThresholdAge12,"&lt;"&amp;AK9,WeightedMinAge12),MAX(CapacityAge12*АбонементНовых*AK9,MeanMinAge12)))</f>
        <v/>
      </c>
      <c r="AL59" s="87">
        <f>IF(OR(AL32=0,12&lt;=КаникулыРоялти),0,AL32*IF(РоялтиПоГруппам="Да",MeanMinAge12+AL9*SUMIF(ThresholdAge12,"&lt;"&amp;AL9,WeightedRevAge12)-SUMIF(ThresholdAge12,"&lt;"&amp;AL9,WeightedMinAge12),MAX(CapacityAge12*АбонементНовых*AL9,MeanMinAge12)))</f>
        <v/>
      </c>
      <c r="AM59" s="87">
        <f>IF(OR(AM32=0,12&lt;=КаникулыРоялти),0,AM32*IF(РоялтиПоГруппам="Да",MeanMinAge12+AM9*SUMIF(ThresholdAge12,"&lt;"&amp;AM9,WeightedRevAge12)-SUMIF(ThresholdAge12,"&lt;"&amp;AM9,WeightedMinAge12),MAX(CapacityAge12*АбонементНовых*AM9,MeanMinAge12)))</f>
        <v/>
      </c>
      <c r="AN59" s="87">
        <f>IF(OR(AN32=0,12&lt;=КаникулыРоялти),0,AN32*IF(РоялтиПоГруппам="Да",MeanMinAge12+AN9*SUMIF(ThresholdAge12,"&lt;"&amp;AN9,WeightedRevAge12)-SUMIF(ThresholdAge12,"&lt;"&amp;AN9,WeightedMinAge12),MAX(CapacityAge12*АбонементНовых*AN9,MeanMinAge12)))</f>
        <v/>
      </c>
      <c r="AO59" s="87">
        <f>IF(OR(AO32=0,12&lt;=КаникулыРоялти),0,AO32*IF(РоялтиПоГруппам="Да",MeanMinAge12+AO9*SUMIF(ThresholdAge12,"&lt;"&amp;AO9,WeightedRevAge12)-SUMIF(ThresholdAge12,"&lt;"&amp;AO9,WeightedMinAge12),MAX(CapacityAge12*АбонементНовых*AO9,MeanMinAge12)))</f>
        <v/>
      </c>
      <c r="AP59" s="87">
        <f>IF(OR(AP32=0,12&lt;=КаникулыРоялти),0,AP32*IF(РоялтиПоГруппам="Да",MeanMinAge12+AP9*SUMIF(ThresholdAge12,"&lt;"&amp;AP9,WeightedRevAge12)-SUMIF(ThresholdAge12,"&lt;"&amp;AP9,WeightedMinAge12),MAX(CapacityAge12*АбонементНовых*AP9,MeanMinAge12)))</f>
        <v/>
      </c>
      <c r="AQ59" s="87">
        <f>IF(OR(AQ32=0,12&lt;=КаникулыРоялти),0,AQ32*IF(РоялтиПоГруппам="Да",MeanMinAge12+AQ9*SUMIF(ThresholdAge12,"&lt;"&amp;AQ9,WeightedRevAge12)-SUMIF(ThresholdAge12,"&lt;"&amp;AQ9,WeightedMinAge12),MAX(CapacityAge12*АбонементНовых*AQ9,MeanMinAge12)))</f>
        <v/>
      </c>
      <c r="AR59" s="87">
        <f>IF(OR(AR32=0,12&lt;=КаникулыРоялти),0,AR32*IF(РоялтиПоГруппам="Да",MeanMinAge12+AR9*SUMIF(ThresholdAge12,"&lt;"&amp;AR9,WeightedRevAge12)-SUMIF(ThresholdAge12,"&lt;"&amp;AR9,WeightedMinAge12),MAX(CapacityAge12*АбонементНовых*AR9,MeanMinAge12)))</f>
        <v/>
      </c>
      <c r="AS59" s="87">
        <f>IF(OR(AS32=0,12&lt;=КаникулыРоялти),0,AS32*IF(РоялтиПоГруппам="Да",MeanMinAge12+AS9*SUMIF(ThresholdAge12,"&lt;"&amp;AS9,WeightedRevAge12)-SUMIF(ThresholdAge12,"&lt;"&amp;AS9,WeightedMinAge12),MAX(CapacityAge12*АбонементНовых*AS9,MeanMinAge12)))</f>
        <v/>
      </c>
      <c r="AT59" s="87">
        <f>IF(OR(AT32=0,12&lt;=КаникулыРоялти),0,AT32*IF(РоялтиПоГруппам="Да",MeanMinAge12+AT9*SUMIF(ThresholdAge12,"&lt;"&amp;AT9,WeightedRevAge12)-SUMIF(ThresholdAge12,"&lt;"&amp;AT9,WeightedMinAge12),MAX(CapacityAge12*АбонементНовых*AT9,MeanMinAge12)))</f>
        <v/>
      </c>
      <c r="AU59" s="87">
        <f>IF(OR(AU32=0,12&lt;=КаникулыРоялти),0,AU32*IF(РоялтиПоГруппам="Да",MeanMinAge12+AU9*SUMIF(ThresholdAge12,"&lt;"&amp;AU9,WeightedRevAge12)-SUMIF(ThresholdAge12,"&lt;"&amp;AU9,WeightedMinAge12),MAX(CapacityAge12*АбонементНовых*AU9,MeanMinAge12)))</f>
        <v/>
      </c>
      <c r="AV59" s="87">
        <f>IF(OR(AV32=0,12&lt;=КаникулыРоялти),0,AV32*IF(РоялтиПоГруппам="Да",MeanMinAge12+AV9*SUMIF(ThresholdAge12,"&lt;"&amp;AV9,WeightedRevAge12)-SUMIF(ThresholdAge12,"&lt;"&amp;AV9,WeightedMinAge12),MAX(CapacityAge12*АбонементНовых*AV9,MeanMinAge12)))</f>
        <v/>
      </c>
      <c r="AW59" s="87">
        <f>IF(OR(AW32=0,12&lt;=КаникулыРоялти),0,AW32*IF(РоялтиПоГруппам="Да",MeanMinAge12+AW9*SUMIF(ThresholdAge12,"&lt;"&amp;AW9,WeightedRevAge12)-SUMIF(ThresholdAge12,"&lt;"&amp;AW9,WeightedMinAge12),MAX(CapacityAge12*АбонементНовых*AW9,MeanMinAge12)))</f>
        <v/>
      </c>
      <c r="AX59" s="87">
        <f>IF(OR(AX32=0,12&lt;=КаникулыРоялти),0,AX32*IF(РоялтиПоГруппам="Да",MeanMinAge12+AX9*SUMIF(ThresholdAge12,"&lt;"&amp;AX9,WeightedRevAge12)-SUMIF(ThresholdAge12,"&lt;"&amp;AX9,WeightedMinAge12),MAX(CapacityAge12*АбонементНовых*AX9,MeanMinAge12)))</f>
        <v/>
      </c>
      <c r="AY59" s="87">
        <f>IF(OR(AY32=0,12&lt;=КаникулыРоялти),0,AY32*IF(РоялтиПоГруппам="Да",MeanMinAge12+AY9*SUMIF(ThresholdAge12,"&lt;"&amp;AY9,WeightedRevAge12)-SUMIF(ThresholdAge12,"&lt;"&amp;AY9,WeightedMinAge12),MAX(CapacityAge12*АбонементНовых*AY9,MeanMinAge12)))</f>
        <v/>
      </c>
      <c r="AZ59" s="87">
        <f>IF(OR(AZ32=0,12&lt;=КаникулыРоялти),0,AZ32*IF(РоялтиПоГруппам="Да",MeanMinAge12+AZ9*SUMIF(ThresholdAge12,"&lt;"&amp;AZ9,WeightedRevAge12)-SUMIF(ThresholdAge12,"&lt;"&amp;AZ9,WeightedMinAge12),MAX(CapacityAge12*АбонементНовых*AZ9,MeanMinAge12)))</f>
        <v/>
      </c>
      <c r="BA59" s="87">
        <f>IF(OR(BA32=0,12&lt;=КаникулыРоялти),0,BA32*IF(РоялтиПоГруппам="Да",MeanMinAge12+BA9*SUMIF(ThresholdAge12,"&lt;"&amp;BA9,WeightedRevAge12)-SUMIF(ThresholdAge12,"&lt;"&amp;BA9,WeightedMinAge12),MAX(CapacityAge12*АбонементНовых*BA9,MeanMinAge12)))</f>
        <v/>
      </c>
      <c r="BB59" s="87">
        <f>IF(OR(BB32=0,12&lt;=КаникулыРоялти),0,BB32*IF(РоялтиПоГруппам="Да",MeanMinAge12+BB9*SUMIF(ThresholdAge12,"&lt;"&amp;BB9,WeightedRevAge12)-SUMIF(ThresholdAge12,"&lt;"&amp;BB9,WeightedMinAge12),MAX(CapacityAge12*АбонементНовых*BB9,MeanMinAge12)))</f>
        <v/>
      </c>
      <c r="BC59" s="87">
        <f>IF(OR(BC32=0,12&lt;=КаникулыРоялти),0,BC32*IF(РоялтиПоГруппам="Да",MeanMinAge12+BC9*SUMIF(ThresholdAge12,"&lt;"&amp;BC9,WeightedRevAge12)-SUMIF(ThresholdAge12,"&lt;"&amp;BC9,WeightedMinAge12),MAX(CapacityAge12*АбонементНовых*BC9,MeanMinAge12)))</f>
        <v/>
      </c>
      <c r="BD59" s="87">
        <f>IF(OR(BD32=0,12&lt;=КаникулыРоялти),0,BD32*IF(РоялтиПоГруппам="Да",MeanMinAge12+BD9*SUMIF(ThresholdAge12,"&lt;"&amp;BD9,WeightedRevAge12)-SUMIF(ThresholdAge12,"&lt;"&amp;BD9,WeightedMinAge12),MAX(CapacityAge12*АбонементНовых*BD9,MeanMinAge12)))</f>
        <v/>
      </c>
      <c r="BE59" s="87">
        <f>IF(OR(BE32=0,12&lt;=КаникулыРоялти),0,BE32*IF(РоялтиПоГруппам="Да",MeanMinAge12+BE9*SUMIF(ThresholdAge12,"&lt;"&amp;BE9,WeightedRevAge12)-SUMIF(ThresholdAge12,"&lt;"&amp;BE9,WeightedMinAge12),MAX(CapacityAge12*АбонементНовых*BE9,MeanMinAge12)))</f>
        <v/>
      </c>
      <c r="BF59" s="87">
        <f>IF(OR(BF32=0,12&lt;=КаникулыРоялти),0,BF32*IF(РоялтиПоГруппам="Да",MeanMinAge12+BF9*SUMIF(ThresholdAge12,"&lt;"&amp;BF9,WeightedRevAge12)-SUMIF(ThresholdAge12,"&lt;"&amp;BF9,WeightedMinAge12),MAX(CapacityAge12*АбонементНовых*BF9,MeanMinAge12)))</f>
        <v/>
      </c>
      <c r="BG59" s="87">
        <f>IF(OR(BG32=0,12&lt;=КаникулыРоялти),0,BG32*IF(РоялтиПоГруппам="Да",MeanMinAge12+BG9*SUMIF(ThresholdAge12,"&lt;"&amp;BG9,WeightedRevAge12)-SUMIF(ThresholdAge12,"&lt;"&amp;BG9,WeightedMinAge12),MAX(CapacityAge12*АбонементНовых*BG9,MeanMinAge12)))</f>
        <v/>
      </c>
      <c r="BH59" s="87">
        <f>IF(OR(BH32=0,12&lt;=КаникулыРоялти),0,BH32*IF(РоялтиПоГруппам="Да",MeanMinAge12+BH9*SUMIF(ThresholdAge12,"&lt;"&amp;BH9,WeightedRevAge12)-SUMIF(ThresholdAge12,"&lt;"&amp;BH9,WeightedMinAge12),MAX(CapacityAge12*АбонементНовых*BH9,MeanMinAge12)))</f>
        <v/>
      </c>
      <c r="BI59" s="87">
        <f>IF(OR(BI32=0,12&lt;=КаникулыРоялти),0,BI32*IF(РоялтиПоГруппам="Да",MeanMinAge12+BI9*SUMIF(ThresholdAge12,"&lt;"&amp;BI9,WeightedRevAge12)-SUMIF(ThresholdAge12,"&lt;"&amp;BI9,WeightedMinAge12),MAX(CapacityAge12*АбонементНовых*BI9,MeanMinAge12)))</f>
        <v/>
      </c>
      <c r="BJ59" s="87">
        <f>IF(OR(BJ32=0,12&lt;=КаникулыРоялти),0,BJ32*IF(РоялтиПоГруппам="Да",MeanMinAge12+BJ9*SUMIF(ThresholdAge12,"&lt;"&amp;BJ9,WeightedRevAge12)-SUMIF(ThresholdAge12,"&lt;"&amp;BJ9,WeightedMinAge12),MAX(CapacityAge12*АбонементНовых*BJ9,MeanMinAge12)))</f>
        <v/>
      </c>
      <c r="BK59" s="87">
        <f>IF(OR(BK32=0,12&lt;=КаникулыРоялти),0,BK32*IF(РоялтиПоГруппам="Да",MeanMinAge12+BK9*SUMIF(ThresholdAge12,"&lt;"&amp;BK9,WeightedRevAge12)-SUMIF(ThresholdAge12,"&lt;"&amp;BK9,WeightedMinAge12),MAX(CapacityAge12*АбонементНовых*BK9,MeanMinAge12)))</f>
        <v/>
      </c>
      <c r="BL59" s="87">
        <f>IF(OR(BL32=0,12&lt;=КаникулыРоялти),0,BL32*IF(РоялтиПоГруппам="Да",MeanMinAge12+BL9*SUMIF(ThresholdAge12,"&lt;"&amp;BL9,WeightedRevAge12)-SUMIF(ThresholdAge12,"&lt;"&amp;BL9,WeightedMinAge12),MAX(CapacityAge12*АбонементНовых*BL9,MeanMinAge12)))</f>
        <v/>
      </c>
      <c r="BM59" s="87">
        <f>IF(OR(BM32=0,12&lt;=КаникулыРоялти),0,BM32*IF(РоялтиПоГруппам="Да",MeanMinAge12+BM9*SUMIF(ThresholdAge12,"&lt;"&amp;BM9,WeightedRevAge12)-SUMIF(ThresholdAge12,"&lt;"&amp;BM9,WeightedMinAge12),MAX(CapacityAge12*АбонементНовых*BM9,MeanMinAge12)))</f>
        <v/>
      </c>
      <c r="BN59" s="87">
        <f>IF(OR(BN32=0,12&lt;=КаникулыРоялти),0,BN32*IF(РоялтиПоГруппам="Да",MeanMinAge12+BN9*SUMIF(ThresholdAge12,"&lt;"&amp;BN9,WeightedRevAge12)-SUMIF(ThresholdAge12,"&lt;"&amp;BN9,WeightedMinAge12),MAX(CapacityAge12*АбонементНовых*BN9,MeanMinAge12)))</f>
        <v/>
      </c>
      <c r="BO59" s="87">
        <f>IF(OR(BO32=0,12&lt;=КаникулыРоялти),0,BO32*IF(РоялтиПоГруппам="Да",MeanMinAge12+BO9*SUMIF(ThresholdAge12,"&lt;"&amp;BO9,WeightedRevAge12)-SUMIF(ThresholdAge12,"&lt;"&amp;BO9,WeightedMinAge12),MAX(CapacityAge12*АбонементНовых*BO9,MeanMinAge12)))</f>
        <v/>
      </c>
      <c r="BP59" s="87">
        <f>IF(OR(BP32=0,12&lt;=КаникулыРоялти),0,BP32*IF(РоялтиПоГруппам="Да",MeanMinAge12+BP9*SUMIF(ThresholdAge12,"&lt;"&amp;BP9,WeightedRevAge12)-SUMIF(ThresholdAge12,"&lt;"&amp;BP9,WeightedMinAge12),MAX(CapacityAge12*АбонементНовых*BP9,MeanMinAge12)))</f>
        <v/>
      </c>
      <c r="BQ59" s="87">
        <f>IF(OR(BQ32=0,12&lt;=КаникулыРоялти),0,BQ32*IF(РоялтиПоГруппам="Да",MeanMinAge12+BQ9*SUMIF(ThresholdAge12,"&lt;"&amp;BQ9,WeightedRevAge12)-SUMIF(ThresholdAge12,"&lt;"&amp;BQ9,WeightedMinAge12),MAX(CapacityAge12*АбонементНовых*BQ9,MeanMinAge12)))</f>
        <v/>
      </c>
      <c r="BR59" s="87">
        <f>IF(OR(BR32=0,12&lt;=КаникулыРоялти),0,BR32*IF(РоялтиПоГруппам="Да",MeanMinAge12+BR9*SUMIF(ThresholdAge12,"&lt;"&amp;BR9,WeightedRevAge12)-SUMIF(ThresholdAge12,"&lt;"&amp;BR9,WeightedMinAge12),MAX(CapacityAge12*АбонементНовых*BR9,MeanMinAge12)))</f>
        <v/>
      </c>
      <c r="BS59" s="87">
        <f>IF(OR(BS32=0,12&lt;=КаникулыРоялти),0,BS32*IF(РоялтиПоГруппам="Да",MeanMinAge12+BS9*SUMIF(ThresholdAge12,"&lt;"&amp;BS9,WeightedRevAge12)-SUMIF(ThresholdAge12,"&lt;"&amp;BS9,WeightedMinAge12),MAX(CapacityAge12*АбонементНовых*BS9,MeanMinAge12)))</f>
        <v/>
      </c>
      <c r="BT59" s="87">
        <f>IF(OR(BT32=0,12&lt;=КаникулыРоялти),0,BT32*IF(РоялтиПоГруппам="Да",MeanMinAge12+BT9*SUMIF(ThresholdAge12,"&lt;"&amp;BT9,WeightedRevAge12)-SUMIF(ThresholdAge12,"&lt;"&amp;BT9,WeightedMinAge12),MAX(CapacityAge12*АбонементНовых*BT9,MeanMinAge12)))</f>
        <v/>
      </c>
      <c r="BU59" s="87">
        <f>IF(OR(BU32=0,12&lt;=КаникулыРоялти),0,BU32*IF(РоялтиПоГруппам="Да",MeanMinAge12+BU9*SUMIF(ThresholdAge12,"&lt;"&amp;BU9,WeightedRevAge12)-SUMIF(ThresholdAge12,"&lt;"&amp;BU9,WeightedMinAge12),MAX(CapacityAge12*АбонементНовых*BU9,MeanMinAge12)))</f>
        <v/>
      </c>
      <c r="BV59" s="87">
        <f>IF(OR(BV32=0,12&lt;=КаникулыРоялти),0,BV32*IF(РоялтиПоГруппам="Да",MeanMinAge12+BV9*SUMIF(ThresholdAge12,"&lt;"&amp;BV9,WeightedRevAge12)-SUMIF(ThresholdAge12,"&lt;"&amp;BV9,WeightedMinAge12),MAX(CapacityAge12*АбонементНовых*BV9,MeanMinAge12)))</f>
        <v/>
      </c>
      <c r="BW59" s="87">
        <f>IF(OR(BW32=0,12&lt;=КаникулыРоялти),0,BW32*IF(РоялтиПоГруппам="Да",MeanMinAge12+BW9*SUMIF(ThresholdAge12,"&lt;"&amp;BW9,WeightedRevAge12)-SUMIF(ThresholdAge12,"&lt;"&amp;BW9,WeightedMinAge12),MAX(CapacityAge12*АбонементНовых*BW9,MeanMinAge12)))</f>
        <v/>
      </c>
      <c r="BX59" s="87">
        <f>IF(OR(BX32=0,12&lt;=КаникулыРоялти),0,BX32*IF(РоялтиПоГруппам="Да",MeanMinAge12+BX9*SUMIF(ThresholdAge12,"&lt;"&amp;BX9,WeightedRevAge12)-SUMIF(ThresholdAge12,"&lt;"&amp;BX9,WeightedMinAge12),MAX(CapacityAge12*АбонементНовых*BX9,MeanMinAge12)))</f>
        <v/>
      </c>
      <c r="BY59" s="87">
        <f>IF(OR(BY32=0,12&lt;=КаникулыРоялти),0,BY32*IF(РоялтиПоГруппам="Да",MeanMinAge12+BY9*SUMIF(ThresholdAge12,"&lt;"&amp;BY9,WeightedRevAge12)-SUMIF(ThresholdAge12,"&lt;"&amp;BY9,WeightedMinAge12),MAX(CapacityAge12*АбонементНовых*BY9,MeanMinAge12)))</f>
        <v/>
      </c>
    </row>
    <row r="60" ht="15.75" customHeight="1" s="194">
      <c r="B60" s="56" t="inlineStr">
        <is>
          <t>13 мес.</t>
        </is>
      </c>
      <c r="C60" s="56" t="inlineStr">
        <is>
          <t>₽</t>
        </is>
      </c>
      <c r="D60" s="57" t="n"/>
      <c r="E60" s="85">
        <f>SUM(L60:W60)</f>
        <v/>
      </c>
      <c r="F60" s="85">
        <f>SUM(X60:AI60)</f>
        <v/>
      </c>
      <c r="G60" s="85">
        <f>SUM(AJ60:AU60)</f>
        <v/>
      </c>
      <c r="H60" s="85">
        <f>SUM(AV60:BG60)</f>
        <v/>
      </c>
      <c r="I60" s="85">
        <f>SUM(BH60:BS60)</f>
        <v/>
      </c>
      <c r="J60" s="86">
        <f>SUM(L60:BS60)</f>
        <v/>
      </c>
      <c r="L60" s="87">
        <f>IF(OR(L33=0,13&lt;=КаникулыРоялти),0,L33*IF(РоялтиПоГруппам="Да",MeanMinAge13+L9*SUMIF(ThresholdAge13,"&lt;"&amp;L9,WeightedRevAge13)-SUMIF(ThresholdAge13,"&lt;"&amp;L9,WeightedMinAge13),MAX(CapacityAge13*АбонементНовых*L9,MeanMinAge13)))</f>
        <v/>
      </c>
      <c r="M60" s="87">
        <f>IF(OR(M33=0,13&lt;=КаникулыРоялти),0,M33*IF(РоялтиПоГруппам="Да",MeanMinAge13+M9*SUMIF(ThresholdAge13,"&lt;"&amp;M9,WeightedRevAge13)-SUMIF(ThresholdAge13,"&lt;"&amp;M9,WeightedMinAge13),MAX(CapacityAge13*АбонементНовых*M9,MeanMinAge13)))</f>
        <v/>
      </c>
      <c r="N60" s="87">
        <f>IF(OR(N33=0,13&lt;=КаникулыРоялти),0,N33*IF(РоялтиПоГруппам="Да",MeanMinAge13+N9*SUMIF(ThresholdAge13,"&lt;"&amp;N9,WeightedRevAge13)-SUMIF(ThresholdAge13,"&lt;"&amp;N9,WeightedMinAge13),MAX(CapacityAge13*АбонементНовых*N9,MeanMinAge13)))</f>
        <v/>
      </c>
      <c r="O60" s="87">
        <f>IF(OR(O33=0,13&lt;=КаникулыРоялти),0,O33*IF(РоялтиПоГруппам="Да",MeanMinAge13+O9*SUMIF(ThresholdAge13,"&lt;"&amp;O9,WeightedRevAge13)-SUMIF(ThresholdAge13,"&lt;"&amp;O9,WeightedMinAge13),MAX(CapacityAge13*АбонементНовых*O9,MeanMinAge13)))</f>
        <v/>
      </c>
      <c r="P60" s="87">
        <f>IF(OR(P33=0,13&lt;=КаникулыРоялти),0,P33*IF(РоялтиПоГруппам="Да",MeanMinAge13+P9*SUMIF(ThresholdAge13,"&lt;"&amp;P9,WeightedRevAge13)-SUMIF(ThresholdAge13,"&lt;"&amp;P9,WeightedMinAge13),MAX(CapacityAge13*АбонементНовых*P9,MeanMinAge13)))</f>
        <v/>
      </c>
      <c r="Q60" s="87">
        <f>IF(OR(Q33=0,13&lt;=КаникулыРоялти),0,Q33*IF(РоялтиПоГруппам="Да",MeanMinAge13+Q9*SUMIF(ThresholdAge13,"&lt;"&amp;Q9,WeightedRevAge13)-SUMIF(ThresholdAge13,"&lt;"&amp;Q9,WeightedMinAge13),MAX(CapacityAge13*АбонементНовых*Q9,MeanMinAge13)))</f>
        <v/>
      </c>
      <c r="R60" s="87">
        <f>IF(OR(R33=0,13&lt;=КаникулыРоялти),0,R33*IF(РоялтиПоГруппам="Да",MeanMinAge13+R9*SUMIF(ThresholdAge13,"&lt;"&amp;R9,WeightedRevAge13)-SUMIF(ThresholdAge13,"&lt;"&amp;R9,WeightedMinAge13),MAX(CapacityAge13*АбонементНовых*R9,MeanMinAge13)))</f>
        <v/>
      </c>
      <c r="S60" s="87">
        <f>IF(OR(S33=0,13&lt;=КаникулыРоялти),0,S33*IF(РоялтиПоГруппам="Да",MeanMinAge13+S9*SUMIF(ThresholdAge13,"&lt;"&amp;S9,WeightedRevAge13)-SUMIF(ThresholdAge13,"&lt;"&amp;S9,WeightedMinAge13),MAX(CapacityAge13*АбонементНовых*S9,MeanMinAge13)))</f>
        <v/>
      </c>
      <c r="T60" s="87">
        <f>IF(OR(T33=0,13&lt;=КаникулыРоялти),0,T33*IF(РоялтиПоГруппам="Да",MeanMinAge13+T9*SUMIF(ThresholdAge13,"&lt;"&amp;T9,WeightedRevAge13)-SUMIF(ThresholdAge13,"&lt;"&amp;T9,WeightedMinAge13),MAX(CapacityAge13*АбонементНовых*T9,MeanMinAge13)))</f>
        <v/>
      </c>
      <c r="U60" s="87">
        <f>IF(OR(U33=0,13&lt;=КаникулыРоялти),0,U33*IF(РоялтиПоГруппам="Да",MeanMinAge13+U9*SUMIF(ThresholdAge13,"&lt;"&amp;U9,WeightedRevAge13)-SUMIF(ThresholdAge13,"&lt;"&amp;U9,WeightedMinAge13),MAX(CapacityAge13*АбонементНовых*U9,MeanMinAge13)))</f>
        <v/>
      </c>
      <c r="V60" s="87">
        <f>IF(OR(V33=0,13&lt;=КаникулыРоялти),0,V33*IF(РоялтиПоГруппам="Да",MeanMinAge13+V9*SUMIF(ThresholdAge13,"&lt;"&amp;V9,WeightedRevAge13)-SUMIF(ThresholdAge13,"&lt;"&amp;V9,WeightedMinAge13),MAX(CapacityAge13*АбонементНовых*V9,MeanMinAge13)))</f>
        <v/>
      </c>
      <c r="W60" s="87">
        <f>IF(OR(W33=0,13&lt;=КаникулыРоялти),0,W33*IF(РоялтиПоГруппам="Да",MeanMinAge13+W9*SUMIF(ThresholdAge13,"&lt;"&amp;W9,WeightedRevAge13)-SUMIF(ThresholdAge13,"&lt;"&amp;W9,WeightedMinAge13),MAX(CapacityAge13*АбонементНовых*W9,MeanMinAge13)))</f>
        <v/>
      </c>
      <c r="X60" s="87">
        <f>IF(OR(X33=0,13&lt;=КаникулыРоялти),0,X33*IF(РоялтиПоГруппам="Да",MeanMinAge13+X9*SUMIF(ThresholdAge13,"&lt;"&amp;X9,WeightedRevAge13)-SUMIF(ThresholdAge13,"&lt;"&amp;X9,WeightedMinAge13),MAX(CapacityAge13*АбонементНовых*X9,MeanMinAge13)))</f>
        <v/>
      </c>
      <c r="Y60" s="87">
        <f>IF(OR(Y33=0,13&lt;=КаникулыРоялти),0,Y33*IF(РоялтиПоГруппам="Да",MeanMinAge13+Y9*SUMIF(ThresholdAge13,"&lt;"&amp;Y9,WeightedRevAge13)-SUMIF(ThresholdAge13,"&lt;"&amp;Y9,WeightedMinAge13),MAX(CapacityAge13*АбонементНовых*Y9,MeanMinAge13)))</f>
        <v/>
      </c>
      <c r="Z60" s="87">
        <f>IF(OR(Z33=0,13&lt;=КаникулыРоялти),0,Z33*IF(РоялтиПоГруппам="Да",MeanMinAge13+Z9*SUMIF(ThresholdAge13,"&lt;"&amp;Z9,WeightedRevAge13)-SUMIF(ThresholdAge13,"&lt;"&amp;Z9,WeightedMinAge13),MAX(CapacityAge13*АбонементНовых*Z9,MeanMinAge13)))</f>
        <v/>
      </c>
      <c r="AA60" s="87">
        <f>IF(OR(AA33=0,13&lt;=КаникулыРоялти),0,AA33*IF(РоялтиПоГруппам="Да",MeanMinAge13+AA9*SUMIF(ThresholdAge13,"&lt;"&amp;AA9,WeightedRevAge13)-SUMIF(ThresholdAge13,"&lt;"&amp;AA9,WeightedMinAge13),MAX(CapacityAge13*АбонементНовых*AA9,MeanMinAge13)))</f>
        <v/>
      </c>
      <c r="AB60" s="87">
        <f>IF(OR(AB33=0,13&lt;=КаникулыРоялти),0,AB33*IF(РоялтиПоГруппам="Да",MeanMinAge13+AB9*SUMIF(ThresholdAge13,"&lt;"&amp;AB9,WeightedRevAge13)-SUMIF(ThresholdAge13,"&lt;"&amp;AB9,WeightedMinAge13),MAX(CapacityAge13*АбонементНовых*AB9,MeanMinAge13)))</f>
        <v/>
      </c>
      <c r="AC60" s="87">
        <f>IF(OR(AC33=0,13&lt;=КаникулыРоялти),0,AC33*IF(РоялтиПоГруппам="Да",MeanMinAge13+AC9*SUMIF(ThresholdAge13,"&lt;"&amp;AC9,WeightedRevAge13)-SUMIF(ThresholdAge13,"&lt;"&amp;AC9,WeightedMinAge13),MAX(CapacityAge13*АбонементНовых*AC9,MeanMinAge13)))</f>
        <v/>
      </c>
      <c r="AD60" s="87">
        <f>IF(OR(AD33=0,13&lt;=КаникулыРоялти),0,AD33*IF(РоялтиПоГруппам="Да",MeanMinAge13+AD9*SUMIF(ThresholdAge13,"&lt;"&amp;AD9,WeightedRevAge13)-SUMIF(ThresholdAge13,"&lt;"&amp;AD9,WeightedMinAge13),MAX(CapacityAge13*АбонементНовых*AD9,MeanMinAge13)))</f>
        <v/>
      </c>
      <c r="AE60" s="87">
        <f>IF(OR(AE33=0,13&lt;=КаникулыРоялти),0,AE33*IF(РоялтиПоГруппам="Да",MeanMinAge13+AE9*SUMIF(ThresholdAge13,"&lt;"&amp;AE9,WeightedRevAge13)-SUMIF(ThresholdAge13,"&lt;"&amp;AE9,WeightedMinAge13),MAX(CapacityAge13*АбонементНовых*AE9,MeanMinAge13)))</f>
        <v/>
      </c>
      <c r="AF60" s="87">
        <f>IF(OR(AF33=0,13&lt;=КаникулыРоялти),0,AF33*IF(РоялтиПоГруппам="Да",MeanMinAge13+AF9*SUMIF(ThresholdAge13,"&lt;"&amp;AF9,WeightedRevAge13)-SUMIF(ThresholdAge13,"&lt;"&amp;AF9,WeightedMinAge13),MAX(CapacityAge13*АбонементНовых*AF9,MeanMinAge13)))</f>
        <v/>
      </c>
      <c r="AG60" s="87">
        <f>IF(OR(AG33=0,13&lt;=КаникулыРоялти),0,AG33*IF(РоялтиПоГруппам="Да",MeanMinAge13+AG9*SUMIF(ThresholdAge13,"&lt;"&amp;AG9,WeightedRevAge13)-SUMIF(ThresholdAge13,"&lt;"&amp;AG9,WeightedMinAge13),MAX(CapacityAge13*АбонементНовых*AG9,MeanMinAge13)))</f>
        <v/>
      </c>
      <c r="AH60" s="87">
        <f>IF(OR(AH33=0,13&lt;=КаникулыРоялти),0,AH33*IF(РоялтиПоГруппам="Да",MeanMinAge13+AH9*SUMIF(ThresholdAge13,"&lt;"&amp;AH9,WeightedRevAge13)-SUMIF(ThresholdAge13,"&lt;"&amp;AH9,WeightedMinAge13),MAX(CapacityAge13*АбонементНовых*AH9,MeanMinAge13)))</f>
        <v/>
      </c>
      <c r="AI60" s="87">
        <f>IF(OR(AI33=0,13&lt;=КаникулыРоялти),0,AI33*IF(РоялтиПоГруппам="Да",MeanMinAge13+AI9*SUMIF(ThresholdAge13,"&lt;"&amp;AI9,WeightedRevAge13)-SUMIF(ThresholdAge13,"&lt;"&amp;AI9,WeightedMinAge13),MAX(CapacityAge13*АбонементНовых*AI9,MeanMinAge13)))</f>
        <v/>
      </c>
      <c r="AJ60" s="87">
        <f>IF(OR(AJ33=0,13&lt;=КаникулыРоялти),0,AJ33*IF(РоялтиПоГруппам="Да",MeanMinAge13+AJ9*SUMIF(ThresholdAge13,"&lt;"&amp;AJ9,WeightedRevAge13)-SUMIF(ThresholdAge13,"&lt;"&amp;AJ9,WeightedMinAge13),MAX(CapacityAge13*АбонементНовых*AJ9,MeanMinAge13)))</f>
        <v/>
      </c>
      <c r="AK60" s="87">
        <f>IF(OR(AK33=0,13&lt;=КаникулыРоялти),0,AK33*IF(РоялтиПоГруппам="Да",MeanMinAge13+AK9*SUMIF(ThresholdAge13,"&lt;"&amp;AK9,WeightedRevAge13)-SUMIF(ThresholdAge13,"&lt;"&amp;AK9,WeightedMinAge13),MAX(CapacityAge13*АбонементНовых*AK9,MeanMinAge13)))</f>
        <v/>
      </c>
      <c r="AL60" s="87">
        <f>IF(OR(AL33=0,13&lt;=КаникулыРоялти),0,AL33*IF(РоялтиПоГруппам="Да",MeanMinAge13+AL9*SUMIF(ThresholdAge13,"&lt;"&amp;AL9,WeightedRevAge13)-SUMIF(ThresholdAge13,"&lt;"&amp;AL9,WeightedMinAge13),MAX(CapacityAge13*АбонементНовых*AL9,MeanMinAge13)))</f>
        <v/>
      </c>
      <c r="AM60" s="87">
        <f>IF(OR(AM33=0,13&lt;=КаникулыРоялти),0,AM33*IF(РоялтиПоГруппам="Да",MeanMinAge13+AM9*SUMIF(ThresholdAge13,"&lt;"&amp;AM9,WeightedRevAge13)-SUMIF(ThresholdAge13,"&lt;"&amp;AM9,WeightedMinAge13),MAX(CapacityAge13*АбонементНовых*AM9,MeanMinAge13)))</f>
        <v/>
      </c>
      <c r="AN60" s="87">
        <f>IF(OR(AN33=0,13&lt;=КаникулыРоялти),0,AN33*IF(РоялтиПоГруппам="Да",MeanMinAge13+AN9*SUMIF(ThresholdAge13,"&lt;"&amp;AN9,WeightedRevAge13)-SUMIF(ThresholdAge13,"&lt;"&amp;AN9,WeightedMinAge13),MAX(CapacityAge13*АбонементНовых*AN9,MeanMinAge13)))</f>
        <v/>
      </c>
      <c r="AO60" s="87">
        <f>IF(OR(AO33=0,13&lt;=КаникулыРоялти),0,AO33*IF(РоялтиПоГруппам="Да",MeanMinAge13+AO9*SUMIF(ThresholdAge13,"&lt;"&amp;AO9,WeightedRevAge13)-SUMIF(ThresholdAge13,"&lt;"&amp;AO9,WeightedMinAge13),MAX(CapacityAge13*АбонементНовых*AO9,MeanMinAge13)))</f>
        <v/>
      </c>
      <c r="AP60" s="87">
        <f>IF(OR(AP33=0,13&lt;=КаникулыРоялти),0,AP33*IF(РоялтиПоГруппам="Да",MeanMinAge13+AP9*SUMIF(ThresholdAge13,"&lt;"&amp;AP9,WeightedRevAge13)-SUMIF(ThresholdAge13,"&lt;"&amp;AP9,WeightedMinAge13),MAX(CapacityAge13*АбонементНовых*AP9,MeanMinAge13)))</f>
        <v/>
      </c>
      <c r="AQ60" s="87">
        <f>IF(OR(AQ33=0,13&lt;=КаникулыРоялти),0,AQ33*IF(РоялтиПоГруппам="Да",MeanMinAge13+AQ9*SUMIF(ThresholdAge13,"&lt;"&amp;AQ9,WeightedRevAge13)-SUMIF(ThresholdAge13,"&lt;"&amp;AQ9,WeightedMinAge13),MAX(CapacityAge13*АбонементНовых*AQ9,MeanMinAge13)))</f>
        <v/>
      </c>
      <c r="AR60" s="87">
        <f>IF(OR(AR33=0,13&lt;=КаникулыРоялти),0,AR33*IF(РоялтиПоГруппам="Да",MeanMinAge13+AR9*SUMIF(ThresholdAge13,"&lt;"&amp;AR9,WeightedRevAge13)-SUMIF(ThresholdAge13,"&lt;"&amp;AR9,WeightedMinAge13),MAX(CapacityAge13*АбонементНовых*AR9,MeanMinAge13)))</f>
        <v/>
      </c>
      <c r="AS60" s="87">
        <f>IF(OR(AS33=0,13&lt;=КаникулыРоялти),0,AS33*IF(РоялтиПоГруппам="Да",MeanMinAge13+AS9*SUMIF(ThresholdAge13,"&lt;"&amp;AS9,WeightedRevAge13)-SUMIF(ThresholdAge13,"&lt;"&amp;AS9,WeightedMinAge13),MAX(CapacityAge13*АбонементНовых*AS9,MeanMinAge13)))</f>
        <v/>
      </c>
      <c r="AT60" s="87">
        <f>IF(OR(AT33=0,13&lt;=КаникулыРоялти),0,AT33*IF(РоялтиПоГруппам="Да",MeanMinAge13+AT9*SUMIF(ThresholdAge13,"&lt;"&amp;AT9,WeightedRevAge13)-SUMIF(ThresholdAge13,"&lt;"&amp;AT9,WeightedMinAge13),MAX(CapacityAge13*АбонементНовых*AT9,MeanMinAge13)))</f>
        <v/>
      </c>
      <c r="AU60" s="87">
        <f>IF(OR(AU33=0,13&lt;=КаникулыРоялти),0,AU33*IF(РоялтиПоГруппам="Да",MeanMinAge13+AU9*SUMIF(ThresholdAge13,"&lt;"&amp;AU9,WeightedRevAge13)-SUMIF(ThresholdAge13,"&lt;"&amp;AU9,WeightedMinAge13),MAX(CapacityAge13*АбонементНовых*AU9,MeanMinAge13)))</f>
        <v/>
      </c>
      <c r="AV60" s="87">
        <f>IF(OR(AV33=0,13&lt;=КаникулыРоялти),0,AV33*IF(РоялтиПоГруппам="Да",MeanMinAge13+AV9*SUMIF(ThresholdAge13,"&lt;"&amp;AV9,WeightedRevAge13)-SUMIF(ThresholdAge13,"&lt;"&amp;AV9,WeightedMinAge13),MAX(CapacityAge13*АбонементНовых*AV9,MeanMinAge13)))</f>
        <v/>
      </c>
      <c r="AW60" s="87">
        <f>IF(OR(AW33=0,13&lt;=КаникулыРоялти),0,AW33*IF(РоялтиПоГруппам="Да",MeanMinAge13+AW9*SUMIF(ThresholdAge13,"&lt;"&amp;AW9,WeightedRevAge13)-SUMIF(ThresholdAge13,"&lt;"&amp;AW9,WeightedMinAge13),MAX(CapacityAge13*АбонементНовых*AW9,MeanMinAge13)))</f>
        <v/>
      </c>
      <c r="AX60" s="87">
        <f>IF(OR(AX33=0,13&lt;=КаникулыРоялти),0,AX33*IF(РоялтиПоГруппам="Да",MeanMinAge13+AX9*SUMIF(ThresholdAge13,"&lt;"&amp;AX9,WeightedRevAge13)-SUMIF(ThresholdAge13,"&lt;"&amp;AX9,WeightedMinAge13),MAX(CapacityAge13*АбонементНовых*AX9,MeanMinAge13)))</f>
        <v/>
      </c>
      <c r="AY60" s="87">
        <f>IF(OR(AY33=0,13&lt;=КаникулыРоялти),0,AY33*IF(РоялтиПоГруппам="Да",MeanMinAge13+AY9*SUMIF(ThresholdAge13,"&lt;"&amp;AY9,WeightedRevAge13)-SUMIF(ThresholdAge13,"&lt;"&amp;AY9,WeightedMinAge13),MAX(CapacityAge13*АбонементНовых*AY9,MeanMinAge13)))</f>
        <v/>
      </c>
      <c r="AZ60" s="87">
        <f>IF(OR(AZ33=0,13&lt;=КаникулыРоялти),0,AZ33*IF(РоялтиПоГруппам="Да",MeanMinAge13+AZ9*SUMIF(ThresholdAge13,"&lt;"&amp;AZ9,WeightedRevAge13)-SUMIF(ThresholdAge13,"&lt;"&amp;AZ9,WeightedMinAge13),MAX(CapacityAge13*АбонементНовых*AZ9,MeanMinAge13)))</f>
        <v/>
      </c>
      <c r="BA60" s="87">
        <f>IF(OR(BA33=0,13&lt;=КаникулыРоялти),0,BA33*IF(РоялтиПоГруппам="Да",MeanMinAge13+BA9*SUMIF(ThresholdAge13,"&lt;"&amp;BA9,WeightedRevAge13)-SUMIF(ThresholdAge13,"&lt;"&amp;BA9,WeightedMinAge13),MAX(CapacityAge13*АбонементНовых*BA9,MeanMinAge13)))</f>
        <v/>
      </c>
      <c r="BB60" s="87">
        <f>IF(OR(BB33=0,13&lt;=КаникулыРоялти),0,BB33*IF(РоялтиПоГруппам="Да",MeanMinAge13+BB9*SUMIF(ThresholdAge13,"&lt;"&amp;BB9,WeightedRevAge13)-SUMIF(ThresholdAge13,"&lt;"&amp;BB9,WeightedMinAge13),MAX(CapacityAge13*АбонементНовых*BB9,MeanMinAge13)))</f>
        <v/>
      </c>
      <c r="BC60" s="87">
        <f>IF(OR(BC33=0,13&lt;=КаникулыРоялти),0,BC33*IF(РоялтиПоГруппам="Да",MeanMinAge13+BC9*SUMIF(ThresholdAge13,"&lt;"&amp;BC9,WeightedRevAge13)-SUMIF(ThresholdAge13,"&lt;"&amp;BC9,WeightedMinAge13),MAX(CapacityAge13*АбонементНовых*BC9,MeanMinAge13)))</f>
        <v/>
      </c>
      <c r="BD60" s="87">
        <f>IF(OR(BD33=0,13&lt;=КаникулыРоялти),0,BD33*IF(РоялтиПоГруппам="Да",MeanMinAge13+BD9*SUMIF(ThresholdAge13,"&lt;"&amp;BD9,WeightedRevAge13)-SUMIF(ThresholdAge13,"&lt;"&amp;BD9,WeightedMinAge13),MAX(CapacityAge13*АбонементНовых*BD9,MeanMinAge13)))</f>
        <v/>
      </c>
      <c r="BE60" s="87">
        <f>IF(OR(BE33=0,13&lt;=КаникулыРоялти),0,BE33*IF(РоялтиПоГруппам="Да",MeanMinAge13+BE9*SUMIF(ThresholdAge13,"&lt;"&amp;BE9,WeightedRevAge13)-SUMIF(ThresholdAge13,"&lt;"&amp;BE9,WeightedMinAge13),MAX(CapacityAge13*АбонементНовых*BE9,MeanMinAge13)))</f>
        <v/>
      </c>
      <c r="BF60" s="87">
        <f>IF(OR(BF33=0,13&lt;=КаникулыРоялти),0,BF33*IF(РоялтиПоГруппам="Да",MeanMinAge13+BF9*SUMIF(ThresholdAge13,"&lt;"&amp;BF9,WeightedRevAge13)-SUMIF(ThresholdAge13,"&lt;"&amp;BF9,WeightedMinAge13),MAX(CapacityAge13*АбонементНовых*BF9,MeanMinAge13)))</f>
        <v/>
      </c>
      <c r="BG60" s="87">
        <f>IF(OR(BG33=0,13&lt;=КаникулыРоялти),0,BG33*IF(РоялтиПоГруппам="Да",MeanMinAge13+BG9*SUMIF(ThresholdAge13,"&lt;"&amp;BG9,WeightedRevAge13)-SUMIF(ThresholdAge13,"&lt;"&amp;BG9,WeightedMinAge13),MAX(CapacityAge13*АбонементНовых*BG9,MeanMinAge13)))</f>
        <v/>
      </c>
      <c r="BH60" s="87">
        <f>IF(OR(BH33=0,13&lt;=КаникулыРоялти),0,BH33*IF(РоялтиПоГруппам="Да",MeanMinAge13+BH9*SUMIF(ThresholdAge13,"&lt;"&amp;BH9,WeightedRevAge13)-SUMIF(ThresholdAge13,"&lt;"&amp;BH9,WeightedMinAge13),MAX(CapacityAge13*АбонементНовых*BH9,MeanMinAge13)))</f>
        <v/>
      </c>
      <c r="BI60" s="87">
        <f>IF(OR(BI33=0,13&lt;=КаникулыРоялти),0,BI33*IF(РоялтиПоГруппам="Да",MeanMinAge13+BI9*SUMIF(ThresholdAge13,"&lt;"&amp;BI9,WeightedRevAge13)-SUMIF(ThresholdAge13,"&lt;"&amp;BI9,WeightedMinAge13),MAX(CapacityAge13*АбонементНовых*BI9,MeanMinAge13)))</f>
        <v/>
      </c>
      <c r="BJ60" s="87">
        <f>IF(OR(BJ33=0,13&lt;=КаникулыРоялти),0,BJ33*IF(РоялтиПоГруппам="Да",MeanMinAge13+BJ9*SUMIF(ThresholdAge13,"&lt;"&amp;BJ9,WeightedRevAge13)-SUMIF(ThresholdAge13,"&lt;"&amp;BJ9,WeightedMinAge13),MAX(CapacityAge13*АбонементНовых*BJ9,MeanMinAge13)))</f>
        <v/>
      </c>
      <c r="BK60" s="87">
        <f>IF(OR(BK33=0,13&lt;=КаникулыРоялти),0,BK33*IF(РоялтиПоГруппам="Да",MeanMinAge13+BK9*SUMIF(ThresholdAge13,"&lt;"&amp;BK9,WeightedRevAge13)-SUMIF(ThresholdAge13,"&lt;"&amp;BK9,WeightedMinAge13),MAX(CapacityAge13*АбонементНовых*BK9,MeanMinAge13)))</f>
        <v/>
      </c>
      <c r="BL60" s="87">
        <f>IF(OR(BL33=0,13&lt;=КаникулыРоялти),0,BL33*IF(РоялтиПоГруппам="Да",MeanMinAge13+BL9*SUMIF(ThresholdAge13,"&lt;"&amp;BL9,WeightedRevAge13)-SUMIF(ThresholdAge13,"&lt;"&amp;BL9,WeightedMinAge13),MAX(CapacityAge13*АбонементНовых*BL9,MeanMinAge13)))</f>
        <v/>
      </c>
      <c r="BM60" s="87">
        <f>IF(OR(BM33=0,13&lt;=КаникулыРоялти),0,BM33*IF(РоялтиПоГруппам="Да",MeanMinAge13+BM9*SUMIF(ThresholdAge13,"&lt;"&amp;BM9,WeightedRevAge13)-SUMIF(ThresholdAge13,"&lt;"&amp;BM9,WeightedMinAge13),MAX(CapacityAge13*АбонементНовых*BM9,MeanMinAge13)))</f>
        <v/>
      </c>
      <c r="BN60" s="87">
        <f>IF(OR(BN33=0,13&lt;=КаникулыРоялти),0,BN33*IF(РоялтиПоГруппам="Да",MeanMinAge13+BN9*SUMIF(ThresholdAge13,"&lt;"&amp;BN9,WeightedRevAge13)-SUMIF(ThresholdAge13,"&lt;"&amp;BN9,WeightedMinAge13),MAX(CapacityAge13*АбонементНовых*BN9,MeanMinAge13)))</f>
        <v/>
      </c>
      <c r="BO60" s="87">
        <f>IF(OR(BO33=0,13&lt;=КаникулыРоялти),0,BO33*IF(РоялтиПоГруппам="Да",MeanMinAge13+BO9*SUMIF(ThresholdAge13,"&lt;"&amp;BO9,WeightedRevAge13)-SUMIF(ThresholdAge13,"&lt;"&amp;BO9,WeightedMinAge13),MAX(CapacityAge13*АбонементНовых*BO9,MeanMinAge13)))</f>
        <v/>
      </c>
      <c r="BP60" s="87">
        <f>IF(OR(BP33=0,13&lt;=КаникулыРоялти),0,BP33*IF(РоялтиПоГруппам="Да",MeanMinAge13+BP9*SUMIF(ThresholdAge13,"&lt;"&amp;BP9,WeightedRevAge13)-SUMIF(ThresholdAge13,"&lt;"&amp;BP9,WeightedMinAge13),MAX(CapacityAge13*АбонементНовых*BP9,MeanMinAge13)))</f>
        <v/>
      </c>
      <c r="BQ60" s="87">
        <f>IF(OR(BQ33=0,13&lt;=КаникулыРоялти),0,BQ33*IF(РоялтиПоГруппам="Да",MeanMinAge13+BQ9*SUMIF(ThresholdAge13,"&lt;"&amp;BQ9,WeightedRevAge13)-SUMIF(ThresholdAge13,"&lt;"&amp;BQ9,WeightedMinAge13),MAX(CapacityAge13*АбонементНовых*BQ9,MeanMinAge13)))</f>
        <v/>
      </c>
      <c r="BR60" s="87">
        <f>IF(OR(BR33=0,13&lt;=КаникулыРоялти),0,BR33*IF(РоялтиПоГруппам="Да",MeanMinAge13+BR9*SUMIF(ThresholdAge13,"&lt;"&amp;BR9,WeightedRevAge13)-SUMIF(ThresholdAge13,"&lt;"&amp;BR9,WeightedMinAge13),MAX(CapacityAge13*АбонементНовых*BR9,MeanMinAge13)))</f>
        <v/>
      </c>
      <c r="BS60" s="87">
        <f>IF(OR(BS33=0,13&lt;=КаникулыРоялти),0,BS33*IF(РоялтиПоГруппам="Да",MeanMinAge13+BS9*SUMIF(ThresholdAge13,"&lt;"&amp;BS9,WeightedRevAge13)-SUMIF(ThresholdAge13,"&lt;"&amp;BS9,WeightedMinAge13),MAX(CapacityAge13*АбонементНовых*BS9,MeanMinAge13)))</f>
        <v/>
      </c>
      <c r="BT60" s="87">
        <f>IF(OR(BT33=0,13&lt;=КаникулыРоялти),0,BT33*IF(РоялтиПоГруппам="Да",MeanMinAge13+BT9*SUMIF(ThresholdAge13,"&lt;"&amp;BT9,WeightedRevAge13)-SUMIF(ThresholdAge13,"&lt;"&amp;BT9,WeightedMinAge13),MAX(CapacityAge13*АбонементНовых*BT9,MeanMinAge13)))</f>
        <v/>
      </c>
      <c r="BU60" s="87">
        <f>IF(OR(BU33=0,13&lt;=КаникулыРоялти),0,BU33*IF(РоялтиПоГруппам="Да",MeanMinAge13+BU9*SUMIF(ThresholdAge13,"&lt;"&amp;BU9,WeightedRevAge13)-SUMIF(ThresholdAge13,"&lt;"&amp;BU9,WeightedMinAge13),MAX(CapacityAge13*АбонементНовых*BU9,MeanMinAge13)))</f>
        <v/>
      </c>
      <c r="BV60" s="87">
        <f>IF(OR(BV33=0,13&lt;=КаникулыРоялти),0,BV33*IF(РоялтиПоГруппам="Да",MeanMinAge13+BV9*SUMIF(ThresholdAge13,"&lt;"&amp;BV9,WeightedRevAge13)-SUMIF(ThresholdAge13,"&lt;"&amp;BV9,WeightedMinAge13),MAX(CapacityAge13*АбонементНовых*BV9,MeanMinAge13)))</f>
        <v/>
      </c>
      <c r="BW60" s="87">
        <f>IF(OR(BW33=0,13&lt;=КаникулыРоялти),0,BW33*IF(РоялтиПоГруппам="Да",MeanMinAge13+BW9*SUMIF(ThresholdAge13,"&lt;"&amp;BW9,WeightedRevAge13)-SUMIF(ThresholdAge13,"&lt;"&amp;BW9,WeightedMinAge13),MAX(CapacityAge13*АбонементНовых*BW9,MeanMinAge13)))</f>
        <v/>
      </c>
      <c r="BX60" s="87">
        <f>IF(OR(BX33=0,13&lt;=КаникулыРоялти),0,BX33*IF(РоялтиПоГруппам="Да",MeanMinAge13+BX9*SUMIF(ThresholdAge13,"&lt;"&amp;BX9,WeightedRevAge13)-SUMIF(ThresholdAge13,"&lt;"&amp;BX9,WeightedMinAge13),MAX(CapacityAge13*АбонементНовых*BX9,MeanMinAge13)))</f>
        <v/>
      </c>
      <c r="BY60" s="87">
        <f>IF(OR(BY33=0,13&lt;=КаникулыРоялти),0,BY33*IF(РоялтиПоГруппам="Да",MeanMinAge13+BY9*SUMIF(ThresholdAge13,"&lt;"&amp;BY9,WeightedRevAge13)-SUMIF(ThresholdAge13,"&lt;"&amp;BY9,WeightedMinAge13),MAX(CapacityAge13*АбонементНовых*BY9,MeanMinAge13)))</f>
        <v/>
      </c>
    </row>
    <row r="61" ht="15.75" customHeight="1" s="194">
      <c r="B61" s="56" t="inlineStr">
        <is>
          <t>14 мес.</t>
        </is>
      </c>
      <c r="C61" s="56" t="inlineStr">
        <is>
          <t>₽</t>
        </is>
      </c>
      <c r="D61" s="57" t="n"/>
      <c r="E61" s="85">
        <f>SUM(L61:W61)</f>
        <v/>
      </c>
      <c r="F61" s="85">
        <f>SUM(X61:AI61)</f>
        <v/>
      </c>
      <c r="G61" s="85">
        <f>SUM(AJ61:AU61)</f>
        <v/>
      </c>
      <c r="H61" s="85">
        <f>SUM(AV61:BG61)</f>
        <v/>
      </c>
      <c r="I61" s="85">
        <f>SUM(BH61:BS61)</f>
        <v/>
      </c>
      <c r="J61" s="86">
        <f>SUM(L61:BS61)</f>
        <v/>
      </c>
      <c r="L61" s="87">
        <f>IF(OR(L34=0,14&lt;=КаникулыРоялти),0,L34*IF(РоялтиПоГруппам="Да",MeanMinAge14+L9*SUMIF(ThresholdAge14,"&lt;"&amp;L9,WeightedRevAge14)-SUMIF(ThresholdAge14,"&lt;"&amp;L9,WeightedMinAge14),MAX(CapacityAge14*АбонементНовых*L9,MeanMinAge14)))</f>
        <v/>
      </c>
      <c r="M61" s="87">
        <f>IF(OR(M34=0,14&lt;=КаникулыРоялти),0,M34*IF(РоялтиПоГруппам="Да",MeanMinAge14+M9*SUMIF(ThresholdAge14,"&lt;"&amp;M9,WeightedRevAge14)-SUMIF(ThresholdAge14,"&lt;"&amp;M9,WeightedMinAge14),MAX(CapacityAge14*АбонементНовых*M9,MeanMinAge14)))</f>
        <v/>
      </c>
      <c r="N61" s="87">
        <f>IF(OR(N34=0,14&lt;=КаникулыРоялти),0,N34*IF(РоялтиПоГруппам="Да",MeanMinAge14+N9*SUMIF(ThresholdAge14,"&lt;"&amp;N9,WeightedRevAge14)-SUMIF(ThresholdAge14,"&lt;"&amp;N9,WeightedMinAge14),MAX(CapacityAge14*АбонементНовых*N9,MeanMinAge14)))</f>
        <v/>
      </c>
      <c r="O61" s="87">
        <f>IF(OR(O34=0,14&lt;=КаникулыРоялти),0,O34*IF(РоялтиПоГруппам="Да",MeanMinAge14+O9*SUMIF(ThresholdAge14,"&lt;"&amp;O9,WeightedRevAge14)-SUMIF(ThresholdAge14,"&lt;"&amp;O9,WeightedMinAge14),MAX(CapacityAge14*АбонементНовых*O9,MeanMinAge14)))</f>
        <v/>
      </c>
      <c r="P61" s="87">
        <f>IF(OR(P34=0,14&lt;=КаникулыРоялти),0,P34*IF(РоялтиПоГруппам="Да",MeanMinAge14+P9*SUMIF(ThresholdAge14,"&lt;"&amp;P9,WeightedRevAge14)-SUMIF(ThresholdAge14,"&lt;"&amp;P9,WeightedMinAge14),MAX(CapacityAge14*АбонементНовых*P9,MeanMinAge14)))</f>
        <v/>
      </c>
      <c r="Q61" s="87">
        <f>IF(OR(Q34=0,14&lt;=КаникулыРоялти),0,Q34*IF(РоялтиПоГруппам="Да",MeanMinAge14+Q9*SUMIF(ThresholdAge14,"&lt;"&amp;Q9,WeightedRevAge14)-SUMIF(ThresholdAge14,"&lt;"&amp;Q9,WeightedMinAge14),MAX(CapacityAge14*АбонементНовых*Q9,MeanMinAge14)))</f>
        <v/>
      </c>
      <c r="R61" s="87">
        <f>IF(OR(R34=0,14&lt;=КаникулыРоялти),0,R34*IF(РоялтиПоГруппам="Да",MeanMinAge14+R9*SUMIF(ThresholdAge14,"&lt;"&amp;R9,WeightedRevAge14)-SUMIF(ThresholdAge14,"&lt;"&amp;R9,WeightedMinAge14),MAX(CapacityAge14*АбонементНовых*R9,MeanMinAge14)))</f>
        <v/>
      </c>
      <c r="S61" s="87">
        <f>IF(OR(S34=0,14&lt;=КаникулыРоялти),0,S34*IF(РоялтиПоГруппам="Да",MeanMinAge14+S9*SUMIF(ThresholdAge14,"&lt;"&amp;S9,WeightedRevAge14)-SUMIF(ThresholdAge14,"&lt;"&amp;S9,WeightedMinAge14),MAX(CapacityAge14*АбонементНовых*S9,MeanMinAge14)))</f>
        <v/>
      </c>
      <c r="T61" s="87">
        <f>IF(OR(T34=0,14&lt;=КаникулыРоялти),0,T34*IF(РоялтиПоГруппам="Да",MeanMinAge14+T9*SUMIF(ThresholdAge14,"&lt;"&amp;T9,WeightedRevAge14)-SUMIF(ThresholdAge14,"&lt;"&amp;T9,WeightedMinAge14),MAX(CapacityAge14*АбонементНовых*T9,MeanMinAge14)))</f>
        <v/>
      </c>
      <c r="U61" s="87">
        <f>IF(OR(U34=0,14&lt;=КаникулыРоялти),0,U34*IF(РоялтиПоГруппам="Да",MeanMinAge14+U9*SUMIF(ThresholdAge14,"&lt;"&amp;U9,WeightedRevAge14)-SUMIF(ThresholdAge14,"&lt;"&amp;U9,WeightedMinAge14),MAX(CapacityAge14*АбонементНовых*U9,MeanMinAge14)))</f>
        <v/>
      </c>
      <c r="V61" s="87">
        <f>IF(OR(V34=0,14&lt;=КаникулыРоялти),0,V34*IF(РоялтиПоГруппам="Да",MeanMinAge14+V9*SUMIF(ThresholdAge14,"&lt;"&amp;V9,WeightedRevAge14)-SUMIF(ThresholdAge14,"&lt;"&amp;V9,WeightedMinAge14),MAX(CapacityAge14*АбонементНовых*V9,MeanMinAge14)))</f>
        <v/>
      </c>
      <c r="W61" s="87">
        <f>IF(OR(W34=0,14&lt;=КаникулыРоялти),0,W34*IF(РоялтиПоГруппам="Да",MeanMinAge14+W9*SUMIF(ThresholdAge14,"&lt;"&amp;W9,WeightedRevAge14)-SUMIF(ThresholdAge14,"&lt;"&amp;W9,WeightedMinAge14),MAX(CapacityAge14*АбонементНовых*W9,MeanMinAge14)))</f>
        <v/>
      </c>
      <c r="X61" s="87">
        <f>IF(OR(X34=0,14&lt;=КаникулыРоялти),0,X34*IF(РоялтиПоГруппам="Да",MeanMinAge14+X9*SUMIF(ThresholdAge14,"&lt;"&amp;X9,WeightedRevAge14)-SUMIF(ThresholdAge14,"&lt;"&amp;X9,WeightedMinAge14),MAX(CapacityAge14*АбонементНовых*X9,MeanMinAge14)))</f>
        <v/>
      </c>
      <c r="Y61" s="87">
        <f>IF(OR(Y34=0,14&lt;=КаникулыРоялти),0,Y34*IF(РоялтиПоГруппам="Да",MeanMinAge14+Y9*SUMIF(ThresholdAge14,"&lt;"&amp;Y9,WeightedRevAge14)-SUMIF(ThresholdAge14,"&lt;"&amp;Y9,WeightedMinAge14),MAX(CapacityAge14*АбонементНовых*Y9,MeanMinAge14)))</f>
        <v/>
      </c>
      <c r="Z61" s="87">
        <f>IF(OR(Z34=0,14&lt;=КаникулыРоялти),0,Z34*IF(РоялтиПоГруппам="Да",MeanMinAge14+Z9*SUMIF(ThresholdAge14,"&lt;"&amp;Z9,WeightedRevAge14)-SUMIF(ThresholdAge14,"&lt;"&amp;Z9,WeightedMinAge14),MAX(CapacityAge14*АбонементНовых*Z9,MeanMinAge14)))</f>
        <v/>
      </c>
      <c r="AA61" s="87">
        <f>IF(OR(AA34=0,14&lt;=КаникулыРоялти),0,AA34*IF(РоялтиПоГруппам="Да",MeanMinAge14+AA9*SUMIF(ThresholdAge14,"&lt;"&amp;AA9,WeightedRevAge14)-SUMIF(ThresholdAge14,"&lt;"&amp;AA9,WeightedMinAge14),MAX(CapacityAge14*АбонементНовых*AA9,MeanMinAge14)))</f>
        <v/>
      </c>
      <c r="AB61" s="87">
        <f>IF(OR(AB34=0,14&lt;=КаникулыРоялти),0,AB34*IF(РоялтиПоГруппам="Да",MeanMinAge14+AB9*SUMIF(ThresholdAge14,"&lt;"&amp;AB9,WeightedRevAge14)-SUMIF(ThresholdAge14,"&lt;"&amp;AB9,WeightedMinAge14),MAX(CapacityAge14*АбонементНовых*AB9,MeanMinAge14)))</f>
        <v/>
      </c>
      <c r="AC61" s="87">
        <f>IF(OR(AC34=0,14&lt;=КаникулыРоялти),0,AC34*IF(РоялтиПоГруппам="Да",MeanMinAge14+AC9*SUMIF(ThresholdAge14,"&lt;"&amp;AC9,WeightedRevAge14)-SUMIF(ThresholdAge14,"&lt;"&amp;AC9,WeightedMinAge14),MAX(CapacityAge14*АбонементНовых*AC9,MeanMinAge14)))</f>
        <v/>
      </c>
      <c r="AD61" s="87">
        <f>IF(OR(AD34=0,14&lt;=КаникулыРоялти),0,AD34*IF(РоялтиПоГруппам="Да",MeanMinAge14+AD9*SUMIF(ThresholdAge14,"&lt;"&amp;AD9,WeightedRevAge14)-SUMIF(ThresholdAge14,"&lt;"&amp;AD9,WeightedMinAge14),MAX(CapacityAge14*АбонементНовых*AD9,MeanMinAge14)))</f>
        <v/>
      </c>
      <c r="AE61" s="87">
        <f>IF(OR(AE34=0,14&lt;=КаникулыРоялти),0,AE34*IF(РоялтиПоГруппам="Да",MeanMinAge14+AE9*SUMIF(ThresholdAge14,"&lt;"&amp;AE9,WeightedRevAge14)-SUMIF(ThresholdAge14,"&lt;"&amp;AE9,WeightedMinAge14),MAX(CapacityAge14*АбонементНовых*AE9,MeanMinAge14)))</f>
        <v/>
      </c>
      <c r="AF61" s="87">
        <f>IF(OR(AF34=0,14&lt;=КаникулыРоялти),0,AF34*IF(РоялтиПоГруппам="Да",MeanMinAge14+AF9*SUMIF(ThresholdAge14,"&lt;"&amp;AF9,WeightedRevAge14)-SUMIF(ThresholdAge14,"&lt;"&amp;AF9,WeightedMinAge14),MAX(CapacityAge14*АбонементНовых*AF9,MeanMinAge14)))</f>
        <v/>
      </c>
      <c r="AG61" s="87">
        <f>IF(OR(AG34=0,14&lt;=КаникулыРоялти),0,AG34*IF(РоялтиПоГруппам="Да",MeanMinAge14+AG9*SUMIF(ThresholdAge14,"&lt;"&amp;AG9,WeightedRevAge14)-SUMIF(ThresholdAge14,"&lt;"&amp;AG9,WeightedMinAge14),MAX(CapacityAge14*АбонементНовых*AG9,MeanMinAge14)))</f>
        <v/>
      </c>
      <c r="AH61" s="87">
        <f>IF(OR(AH34=0,14&lt;=КаникулыРоялти),0,AH34*IF(РоялтиПоГруппам="Да",MeanMinAge14+AH9*SUMIF(ThresholdAge14,"&lt;"&amp;AH9,WeightedRevAge14)-SUMIF(ThresholdAge14,"&lt;"&amp;AH9,WeightedMinAge14),MAX(CapacityAge14*АбонементНовых*AH9,MeanMinAge14)))</f>
        <v/>
      </c>
      <c r="AI61" s="87">
        <f>IF(OR(AI34=0,14&lt;=КаникулыРоялти),0,AI34*IF(РоялтиПоГруппам="Да",MeanMinAge14+AI9*SUMIF(ThresholdAge14,"&lt;"&amp;AI9,WeightedRevAge14)-SUMIF(ThresholdAge14,"&lt;"&amp;AI9,WeightedMinAge14),MAX(CapacityAge14*АбонементНовых*AI9,MeanMinAge14)))</f>
        <v/>
      </c>
      <c r="AJ61" s="87">
        <f>IF(OR(AJ34=0,14&lt;=КаникулыРоялти),0,AJ34*IF(РоялтиПоГруппам="Да",MeanMinAge14+AJ9*SUMIF(ThresholdAge14,"&lt;"&amp;AJ9,WeightedRevAge14)-SUMIF(ThresholdAge14,"&lt;"&amp;AJ9,WeightedMinAge14),MAX(CapacityAge14*АбонементНовых*AJ9,MeanMinAge14)))</f>
        <v/>
      </c>
      <c r="AK61" s="87">
        <f>IF(OR(AK34=0,14&lt;=КаникулыРоялти),0,AK34*IF(РоялтиПоГруппам="Да",MeanMinAge14+AK9*SUMIF(ThresholdAge14,"&lt;"&amp;AK9,WeightedRevAge14)-SUMIF(ThresholdAge14,"&lt;"&amp;AK9,WeightedMinAge14),MAX(CapacityAge14*АбонементНовых*AK9,MeanMinAge14)))</f>
        <v/>
      </c>
      <c r="AL61" s="87">
        <f>IF(OR(AL34=0,14&lt;=КаникулыРоялти),0,AL34*IF(РоялтиПоГруппам="Да",MeanMinAge14+AL9*SUMIF(ThresholdAge14,"&lt;"&amp;AL9,WeightedRevAge14)-SUMIF(ThresholdAge14,"&lt;"&amp;AL9,WeightedMinAge14),MAX(CapacityAge14*АбонементНовых*AL9,MeanMinAge14)))</f>
        <v/>
      </c>
      <c r="AM61" s="87">
        <f>IF(OR(AM34=0,14&lt;=КаникулыРоялти),0,AM34*IF(РоялтиПоГруппам="Да",MeanMinAge14+AM9*SUMIF(ThresholdAge14,"&lt;"&amp;AM9,WeightedRevAge14)-SUMIF(ThresholdAge14,"&lt;"&amp;AM9,WeightedMinAge14),MAX(CapacityAge14*АбонементНовых*AM9,MeanMinAge14)))</f>
        <v/>
      </c>
      <c r="AN61" s="87">
        <f>IF(OR(AN34=0,14&lt;=КаникулыРоялти),0,AN34*IF(РоялтиПоГруппам="Да",MeanMinAge14+AN9*SUMIF(ThresholdAge14,"&lt;"&amp;AN9,WeightedRevAge14)-SUMIF(ThresholdAge14,"&lt;"&amp;AN9,WeightedMinAge14),MAX(CapacityAge14*АбонементНовых*AN9,MeanMinAge14)))</f>
        <v/>
      </c>
      <c r="AO61" s="87">
        <f>IF(OR(AO34=0,14&lt;=КаникулыРоялти),0,AO34*IF(РоялтиПоГруппам="Да",MeanMinAge14+AO9*SUMIF(ThresholdAge14,"&lt;"&amp;AO9,WeightedRevAge14)-SUMIF(ThresholdAge14,"&lt;"&amp;AO9,WeightedMinAge14),MAX(CapacityAge14*АбонементНовых*AO9,MeanMinAge14)))</f>
        <v/>
      </c>
      <c r="AP61" s="87">
        <f>IF(OR(AP34=0,14&lt;=КаникулыРоялти),0,AP34*IF(РоялтиПоГруппам="Да",MeanMinAge14+AP9*SUMIF(ThresholdAge14,"&lt;"&amp;AP9,WeightedRevAge14)-SUMIF(ThresholdAge14,"&lt;"&amp;AP9,WeightedMinAge14),MAX(CapacityAge14*АбонементНовых*AP9,MeanMinAge14)))</f>
        <v/>
      </c>
      <c r="AQ61" s="87">
        <f>IF(OR(AQ34=0,14&lt;=КаникулыРоялти),0,AQ34*IF(РоялтиПоГруппам="Да",MeanMinAge14+AQ9*SUMIF(ThresholdAge14,"&lt;"&amp;AQ9,WeightedRevAge14)-SUMIF(ThresholdAge14,"&lt;"&amp;AQ9,WeightedMinAge14),MAX(CapacityAge14*АбонементНовых*AQ9,MeanMinAge14)))</f>
        <v/>
      </c>
      <c r="AR61" s="87">
        <f>IF(OR(AR34=0,14&lt;=КаникулыРоялти),0,AR34*IF(РоялтиПоГруппам="Да",MeanMinAge14+AR9*SUMIF(ThresholdAge14,"&lt;"&amp;AR9,WeightedRevAge14)-SUMIF(ThresholdAge14,"&lt;"&amp;AR9,WeightedMinAge14),MAX(CapacityAge14*АбонементНовых*AR9,MeanMinAge14)))</f>
        <v/>
      </c>
      <c r="AS61" s="87">
        <f>IF(OR(AS34=0,14&lt;=КаникулыРоялти),0,AS34*IF(РоялтиПоГруппам="Да",MeanMinAge14+AS9*SUMIF(ThresholdAge14,"&lt;"&amp;AS9,WeightedRevAge14)-SUMIF(ThresholdAge14,"&lt;"&amp;AS9,WeightedMinAge14),MAX(CapacityAge14*АбонементНовых*AS9,MeanMinAge14)))</f>
        <v/>
      </c>
      <c r="AT61" s="87">
        <f>IF(OR(AT34=0,14&lt;=КаникулыРоялти),0,AT34*IF(РоялтиПоГруппам="Да",MeanMinAge14+AT9*SUMIF(ThresholdAge14,"&lt;"&amp;AT9,WeightedRevAge14)-SUMIF(ThresholdAge14,"&lt;"&amp;AT9,WeightedMinAge14),MAX(CapacityAge14*АбонементНовых*AT9,MeanMinAge14)))</f>
        <v/>
      </c>
      <c r="AU61" s="87">
        <f>IF(OR(AU34=0,14&lt;=КаникулыРоялти),0,AU34*IF(РоялтиПоГруппам="Да",MeanMinAge14+AU9*SUMIF(ThresholdAge14,"&lt;"&amp;AU9,WeightedRevAge14)-SUMIF(ThresholdAge14,"&lt;"&amp;AU9,WeightedMinAge14),MAX(CapacityAge14*АбонементНовых*AU9,MeanMinAge14)))</f>
        <v/>
      </c>
      <c r="AV61" s="87">
        <f>IF(OR(AV34=0,14&lt;=КаникулыРоялти),0,AV34*IF(РоялтиПоГруппам="Да",MeanMinAge14+AV9*SUMIF(ThresholdAge14,"&lt;"&amp;AV9,WeightedRevAge14)-SUMIF(ThresholdAge14,"&lt;"&amp;AV9,WeightedMinAge14),MAX(CapacityAge14*АбонементНовых*AV9,MeanMinAge14)))</f>
        <v/>
      </c>
      <c r="AW61" s="87">
        <f>IF(OR(AW34=0,14&lt;=КаникулыРоялти),0,AW34*IF(РоялтиПоГруппам="Да",MeanMinAge14+AW9*SUMIF(ThresholdAge14,"&lt;"&amp;AW9,WeightedRevAge14)-SUMIF(ThresholdAge14,"&lt;"&amp;AW9,WeightedMinAge14),MAX(CapacityAge14*АбонементНовых*AW9,MeanMinAge14)))</f>
        <v/>
      </c>
      <c r="AX61" s="87">
        <f>IF(OR(AX34=0,14&lt;=КаникулыРоялти),0,AX34*IF(РоялтиПоГруппам="Да",MeanMinAge14+AX9*SUMIF(ThresholdAge14,"&lt;"&amp;AX9,WeightedRevAge14)-SUMIF(ThresholdAge14,"&lt;"&amp;AX9,WeightedMinAge14),MAX(CapacityAge14*АбонементНовых*AX9,MeanMinAge14)))</f>
        <v/>
      </c>
      <c r="AY61" s="87">
        <f>IF(OR(AY34=0,14&lt;=КаникулыРоялти),0,AY34*IF(РоялтиПоГруппам="Да",MeanMinAge14+AY9*SUMIF(ThresholdAge14,"&lt;"&amp;AY9,WeightedRevAge14)-SUMIF(ThresholdAge14,"&lt;"&amp;AY9,WeightedMinAge14),MAX(CapacityAge14*АбонементНовых*AY9,MeanMinAge14)))</f>
        <v/>
      </c>
      <c r="AZ61" s="87">
        <f>IF(OR(AZ34=0,14&lt;=КаникулыРоялти),0,AZ34*IF(РоялтиПоГруппам="Да",MeanMinAge14+AZ9*SUMIF(ThresholdAge14,"&lt;"&amp;AZ9,WeightedRevAge14)-SUMIF(ThresholdAge14,"&lt;"&amp;AZ9,WeightedMinAge14),MAX(CapacityAge14*АбонементНовых*AZ9,MeanMinAge14)))</f>
        <v/>
      </c>
      <c r="BA61" s="87">
        <f>IF(OR(BA34=0,14&lt;=КаникулыРоялти),0,BA34*IF(РоялтиПоГруппам="Да",MeanMinAge14+BA9*SUMIF(ThresholdAge14,"&lt;"&amp;BA9,WeightedRevAge14)-SUMIF(ThresholdAge14,"&lt;"&amp;BA9,WeightedMinAge14),MAX(CapacityAge14*АбонементНовых*BA9,MeanMinAge14)))</f>
        <v/>
      </c>
      <c r="BB61" s="87">
        <f>IF(OR(BB34=0,14&lt;=КаникулыРоялти),0,BB34*IF(РоялтиПоГруппам="Да",MeanMinAge14+BB9*SUMIF(ThresholdAge14,"&lt;"&amp;BB9,WeightedRevAge14)-SUMIF(ThresholdAge14,"&lt;"&amp;BB9,WeightedMinAge14),MAX(CapacityAge14*АбонементНовых*BB9,MeanMinAge14)))</f>
        <v/>
      </c>
      <c r="BC61" s="87">
        <f>IF(OR(BC34=0,14&lt;=КаникулыРоялти),0,BC34*IF(РоялтиПоГруппам="Да",MeanMinAge14+BC9*SUMIF(ThresholdAge14,"&lt;"&amp;BC9,WeightedRevAge14)-SUMIF(ThresholdAge14,"&lt;"&amp;BC9,WeightedMinAge14),MAX(CapacityAge14*АбонементНовых*BC9,MeanMinAge14)))</f>
        <v/>
      </c>
      <c r="BD61" s="87">
        <f>IF(OR(BD34=0,14&lt;=КаникулыРоялти),0,BD34*IF(РоялтиПоГруппам="Да",MeanMinAge14+BD9*SUMIF(ThresholdAge14,"&lt;"&amp;BD9,WeightedRevAge14)-SUMIF(ThresholdAge14,"&lt;"&amp;BD9,WeightedMinAge14),MAX(CapacityAge14*АбонементНовых*BD9,MeanMinAge14)))</f>
        <v/>
      </c>
      <c r="BE61" s="87">
        <f>IF(OR(BE34=0,14&lt;=КаникулыРоялти),0,BE34*IF(РоялтиПоГруппам="Да",MeanMinAge14+BE9*SUMIF(ThresholdAge14,"&lt;"&amp;BE9,WeightedRevAge14)-SUMIF(ThresholdAge14,"&lt;"&amp;BE9,WeightedMinAge14),MAX(CapacityAge14*АбонементНовых*BE9,MeanMinAge14)))</f>
        <v/>
      </c>
      <c r="BF61" s="87">
        <f>IF(OR(BF34=0,14&lt;=КаникулыРоялти),0,BF34*IF(РоялтиПоГруппам="Да",MeanMinAge14+BF9*SUMIF(ThresholdAge14,"&lt;"&amp;BF9,WeightedRevAge14)-SUMIF(ThresholdAge14,"&lt;"&amp;BF9,WeightedMinAge14),MAX(CapacityAge14*АбонементНовых*BF9,MeanMinAge14)))</f>
        <v/>
      </c>
      <c r="BG61" s="87">
        <f>IF(OR(BG34=0,14&lt;=КаникулыРоялти),0,BG34*IF(РоялтиПоГруппам="Да",MeanMinAge14+BG9*SUMIF(ThresholdAge14,"&lt;"&amp;BG9,WeightedRevAge14)-SUMIF(ThresholdAge14,"&lt;"&amp;BG9,WeightedMinAge14),MAX(CapacityAge14*АбонементНовых*BG9,MeanMinAge14)))</f>
        <v/>
      </c>
      <c r="BH61" s="87">
        <f>IF(OR(BH34=0,14&lt;=КаникулыРоялти),0,BH34*IF(РоялтиПоГруппам="Да",MeanMinAge14+BH9*SUMIF(ThresholdAge14,"&lt;"&amp;BH9,WeightedRevAge14)-SUMIF(ThresholdAge14,"&lt;"&amp;BH9,WeightedMinAge14),MAX(CapacityAge14*АбонементНовых*BH9,MeanMinAge14)))</f>
        <v/>
      </c>
      <c r="BI61" s="87">
        <f>IF(OR(BI34=0,14&lt;=КаникулыРоялти),0,BI34*IF(РоялтиПоГруппам="Да",MeanMinAge14+BI9*SUMIF(ThresholdAge14,"&lt;"&amp;BI9,WeightedRevAge14)-SUMIF(ThresholdAge14,"&lt;"&amp;BI9,WeightedMinAge14),MAX(CapacityAge14*АбонементНовых*BI9,MeanMinAge14)))</f>
        <v/>
      </c>
      <c r="BJ61" s="87">
        <f>IF(OR(BJ34=0,14&lt;=КаникулыРоялти),0,BJ34*IF(РоялтиПоГруппам="Да",MeanMinAge14+BJ9*SUMIF(ThresholdAge14,"&lt;"&amp;BJ9,WeightedRevAge14)-SUMIF(ThresholdAge14,"&lt;"&amp;BJ9,WeightedMinAge14),MAX(CapacityAge14*АбонементНовых*BJ9,MeanMinAge14)))</f>
        <v/>
      </c>
      <c r="BK61" s="87">
        <f>IF(OR(BK34=0,14&lt;=КаникулыРоялти),0,BK34*IF(РоялтиПоГруппам="Да",MeanMinAge14+BK9*SUMIF(ThresholdAge14,"&lt;"&amp;BK9,WeightedRevAge14)-SUMIF(ThresholdAge14,"&lt;"&amp;BK9,WeightedMinAge14),MAX(CapacityAge14*АбонементНовых*BK9,MeanMinAge14)))</f>
        <v/>
      </c>
      <c r="BL61" s="87">
        <f>IF(OR(BL34=0,14&lt;=КаникулыРоялти),0,BL34*IF(РоялтиПоГруппам="Да",MeanMinAge14+BL9*SUMIF(ThresholdAge14,"&lt;"&amp;BL9,WeightedRevAge14)-SUMIF(ThresholdAge14,"&lt;"&amp;BL9,WeightedMinAge14),MAX(CapacityAge14*АбонементНовых*BL9,MeanMinAge14)))</f>
        <v/>
      </c>
      <c r="BM61" s="87">
        <f>IF(OR(BM34=0,14&lt;=КаникулыРоялти),0,BM34*IF(РоялтиПоГруппам="Да",MeanMinAge14+BM9*SUMIF(ThresholdAge14,"&lt;"&amp;BM9,WeightedRevAge14)-SUMIF(ThresholdAge14,"&lt;"&amp;BM9,WeightedMinAge14),MAX(CapacityAge14*АбонементНовых*BM9,MeanMinAge14)))</f>
        <v/>
      </c>
      <c r="BN61" s="87">
        <f>IF(OR(BN34=0,14&lt;=КаникулыРоялти),0,BN34*IF(РоялтиПоГруппам="Да",MeanMinAge14+BN9*SUMIF(ThresholdAge14,"&lt;"&amp;BN9,WeightedRevAge14)-SUMIF(ThresholdAge14,"&lt;"&amp;BN9,WeightedMinAge14),MAX(CapacityAge14*АбонементНовых*BN9,MeanMinAge14)))</f>
        <v/>
      </c>
      <c r="BO61" s="87">
        <f>IF(OR(BO34=0,14&lt;=КаникулыРоялти),0,BO34*IF(РоялтиПоГруппам="Да",MeanMinAge14+BO9*SUMIF(ThresholdAge14,"&lt;"&amp;BO9,WeightedRevAge14)-SUMIF(ThresholdAge14,"&lt;"&amp;BO9,WeightedMinAge14),MAX(CapacityAge14*АбонементНовых*BO9,MeanMinAge14)))</f>
        <v/>
      </c>
      <c r="BP61" s="87">
        <f>IF(OR(BP34=0,14&lt;=КаникулыРоялти),0,BP34*IF(РоялтиПоГруппам="Да",MeanMinAge14+BP9*SUMIF(ThresholdAge14,"&lt;"&amp;BP9,WeightedRevAge14)-SUMIF(ThresholdAge14,"&lt;"&amp;BP9,WeightedMinAge14),MAX(CapacityAge14*АбонементНовых*BP9,MeanMinAge14)))</f>
        <v/>
      </c>
      <c r="BQ61" s="87">
        <f>IF(OR(BQ34=0,14&lt;=КаникулыРоялти),0,BQ34*IF(РоялтиПоГруппам="Да",MeanMinAge14+BQ9*SUMIF(ThresholdAge14,"&lt;"&amp;BQ9,WeightedRevAge14)-SUMIF(ThresholdAge14,"&lt;"&amp;BQ9,WeightedMinAge14),MAX(CapacityAge14*АбонементНовых*BQ9,MeanMinAge14)))</f>
        <v/>
      </c>
      <c r="BR61" s="87">
        <f>IF(OR(BR34=0,14&lt;=КаникулыРоялти),0,BR34*IF(РоялтиПоГруппам="Да",MeanMinAge14+BR9*SUMIF(ThresholdAge14,"&lt;"&amp;BR9,WeightedRevAge14)-SUMIF(ThresholdAge14,"&lt;"&amp;BR9,WeightedMinAge14),MAX(CapacityAge14*АбонементНовых*BR9,MeanMinAge14)))</f>
        <v/>
      </c>
      <c r="BS61" s="87">
        <f>IF(OR(BS34=0,14&lt;=КаникулыРоялти),0,BS34*IF(РоялтиПоГруппам="Да",MeanMinAge14+BS9*SUMIF(ThresholdAge14,"&lt;"&amp;BS9,WeightedRevAge14)-SUMIF(ThresholdAge14,"&lt;"&amp;BS9,WeightedMinAge14),MAX(CapacityAge14*АбонементНовых*BS9,MeanMinAge14)))</f>
        <v/>
      </c>
      <c r="BT61" s="87">
        <f>IF(OR(BT34=0,14&lt;=КаникулыРоялти),0,BT34*IF(РоялтиПоГруппам="Да",MeanMinAge14+BT9*SUMIF(ThresholdAge14,"&lt;"&amp;BT9,WeightedRevAge14)-SUMIF(ThresholdAge14,"&lt;"&amp;BT9,WeightedMinAge14),MAX(CapacityAge14*АбонементНовых*BT9,MeanMinAge14)))</f>
        <v/>
      </c>
      <c r="BU61" s="87">
        <f>IF(OR(BU34=0,14&lt;=КаникулыРоялти),0,BU34*IF(РоялтиПоГруппам="Да",MeanMinAge14+BU9*SUMIF(ThresholdAge14,"&lt;"&amp;BU9,WeightedRevAge14)-SUMIF(ThresholdAge14,"&lt;"&amp;BU9,WeightedMinAge14),MAX(CapacityAge14*АбонементНовых*BU9,MeanMinAge14)))</f>
        <v/>
      </c>
      <c r="BV61" s="87">
        <f>IF(OR(BV34=0,14&lt;=КаникулыРоялти),0,BV34*IF(РоялтиПоГруппам="Да",MeanMinAge14+BV9*SUMIF(ThresholdAge14,"&lt;"&amp;BV9,WeightedRevAge14)-SUMIF(ThresholdAge14,"&lt;"&amp;BV9,WeightedMinAge14),MAX(CapacityAge14*АбонементНовых*BV9,MeanMinAge14)))</f>
        <v/>
      </c>
      <c r="BW61" s="87">
        <f>IF(OR(BW34=0,14&lt;=КаникулыРоялти),0,BW34*IF(РоялтиПоГруппам="Да",MeanMinAge14+BW9*SUMIF(ThresholdAge14,"&lt;"&amp;BW9,WeightedRevAge14)-SUMIF(ThresholdAge14,"&lt;"&amp;BW9,WeightedMinAge14),MAX(CapacityAge14*АбонементНовых*BW9,MeanMinAge14)))</f>
        <v/>
      </c>
      <c r="BX61" s="87">
        <f>IF(OR(BX34=0,14&lt;=КаникулыРоялти),0,BX34*IF(РоялтиПоГруппам="Да",MeanMinAge14+BX9*SUMIF(ThresholdAge14,"&lt;"&amp;BX9,WeightedRevAge14)-SUMIF(ThresholdAge14,"&lt;"&amp;BX9,WeightedMinAge14),MAX(CapacityAge14*АбонементНовых*BX9,MeanMinAge14)))</f>
        <v/>
      </c>
      <c r="BY61" s="87">
        <f>IF(OR(BY34=0,14&lt;=КаникулыРоялти),0,BY34*IF(РоялтиПоГруппам="Да",MeanMinAge14+BY9*SUMIF(ThresholdAge14,"&lt;"&amp;BY9,WeightedRevAge14)-SUMIF(ThresholdAge14,"&lt;"&amp;BY9,WeightedMinAge14),MAX(CapacityAge14*АбонементНовых*BY9,MeanMinAge14)))</f>
        <v/>
      </c>
    </row>
    <row r="62" ht="15.75" customHeight="1" s="194">
      <c r="B62" s="56" t="inlineStr">
        <is>
          <t>15 мес.</t>
        </is>
      </c>
      <c r="C62" s="56" t="inlineStr">
        <is>
          <t>₽</t>
        </is>
      </c>
      <c r="D62" s="57" t="n"/>
      <c r="E62" s="85">
        <f>SUM(L62:W62)</f>
        <v/>
      </c>
      <c r="F62" s="85">
        <f>SUM(X62:AI62)</f>
        <v/>
      </c>
      <c r="G62" s="85">
        <f>SUM(AJ62:AU62)</f>
        <v/>
      </c>
      <c r="H62" s="85">
        <f>SUM(AV62:BG62)</f>
        <v/>
      </c>
      <c r="I62" s="85">
        <f>SUM(BH62:BS62)</f>
        <v/>
      </c>
      <c r="J62" s="86">
        <f>SUM(L62:BS62)</f>
        <v/>
      </c>
      <c r="L62" s="87">
        <f>IF(OR(L35=0,15&lt;=КаникулыРоялти),0,L35*IF(РоялтиПоГруппам="Да",MeanMinAge15+L9*SUMIF(ThresholdAge15,"&lt;"&amp;L9,WeightedRevAge15)-SUMIF(ThresholdAge15,"&lt;"&amp;L9,WeightedMinAge15),MAX(CapacityAge15*АбонементНовых*L9,MeanMinAge15)))</f>
        <v/>
      </c>
      <c r="M62" s="87">
        <f>IF(OR(M35=0,15&lt;=КаникулыРоялти),0,M35*IF(РоялтиПоГруппам="Да",MeanMinAge15+M9*SUMIF(ThresholdAge15,"&lt;"&amp;M9,WeightedRevAge15)-SUMIF(ThresholdAge15,"&lt;"&amp;M9,WeightedMinAge15),MAX(CapacityAge15*АбонементНовых*M9,MeanMinAge15)))</f>
        <v/>
      </c>
      <c r="N62" s="87">
        <f>IF(OR(N35=0,15&lt;=КаникулыРоялти),0,N35*IF(РоялтиПоГруппам="Да",MeanMinAge15+N9*SUMIF(ThresholdAge15,"&lt;"&amp;N9,WeightedRevAge15)-SUMIF(ThresholdAge15,"&lt;"&amp;N9,WeightedMinAge15),MAX(CapacityAge15*АбонементНовых*N9,MeanMinAge15)))</f>
        <v/>
      </c>
      <c r="O62" s="87">
        <f>IF(OR(O35=0,15&lt;=КаникулыРоялти),0,O35*IF(РоялтиПоГруппам="Да",MeanMinAge15+O9*SUMIF(ThresholdAge15,"&lt;"&amp;O9,WeightedRevAge15)-SUMIF(ThresholdAge15,"&lt;"&amp;O9,WeightedMinAge15),MAX(CapacityAge15*АбонементНовых*O9,MeanMinAge15)))</f>
        <v/>
      </c>
      <c r="P62" s="87">
        <f>IF(OR(P35=0,15&lt;=КаникулыРоялти),0,P35*IF(РоялтиПоГруппам="Да",MeanMinAge15+P9*SUMIF(ThresholdAge15,"&lt;"&amp;P9,WeightedRevAge15)-SUMIF(ThresholdAge15,"&lt;"&amp;P9,WeightedMinAge15),MAX(CapacityAge15*АбонементНовых*P9,MeanMinAge15)))</f>
        <v/>
      </c>
      <c r="Q62" s="87">
        <f>IF(OR(Q35=0,15&lt;=КаникулыРоялти),0,Q35*IF(РоялтиПоГруппам="Да",MeanMinAge15+Q9*SUMIF(ThresholdAge15,"&lt;"&amp;Q9,WeightedRevAge15)-SUMIF(ThresholdAge15,"&lt;"&amp;Q9,WeightedMinAge15),MAX(CapacityAge15*АбонементНовых*Q9,MeanMinAge15)))</f>
        <v/>
      </c>
      <c r="R62" s="87">
        <f>IF(OR(R35=0,15&lt;=КаникулыРоялти),0,R35*IF(РоялтиПоГруппам="Да",MeanMinAge15+R9*SUMIF(ThresholdAge15,"&lt;"&amp;R9,WeightedRevAge15)-SUMIF(ThresholdAge15,"&lt;"&amp;R9,WeightedMinAge15),MAX(CapacityAge15*АбонементНовых*R9,MeanMinAge15)))</f>
        <v/>
      </c>
      <c r="S62" s="87">
        <f>IF(OR(S35=0,15&lt;=КаникулыРоялти),0,S35*IF(РоялтиПоГруппам="Да",MeanMinAge15+S9*SUMIF(ThresholdAge15,"&lt;"&amp;S9,WeightedRevAge15)-SUMIF(ThresholdAge15,"&lt;"&amp;S9,WeightedMinAge15),MAX(CapacityAge15*АбонементНовых*S9,MeanMinAge15)))</f>
        <v/>
      </c>
      <c r="T62" s="87">
        <f>IF(OR(T35=0,15&lt;=КаникулыРоялти),0,T35*IF(РоялтиПоГруппам="Да",MeanMinAge15+T9*SUMIF(ThresholdAge15,"&lt;"&amp;T9,WeightedRevAge15)-SUMIF(ThresholdAge15,"&lt;"&amp;T9,WeightedMinAge15),MAX(CapacityAge15*АбонементНовых*T9,MeanMinAge15)))</f>
        <v/>
      </c>
      <c r="U62" s="87">
        <f>IF(OR(U35=0,15&lt;=КаникулыРоялти),0,U35*IF(РоялтиПоГруппам="Да",MeanMinAge15+U9*SUMIF(ThresholdAge15,"&lt;"&amp;U9,WeightedRevAge15)-SUMIF(ThresholdAge15,"&lt;"&amp;U9,WeightedMinAge15),MAX(CapacityAge15*АбонементНовых*U9,MeanMinAge15)))</f>
        <v/>
      </c>
      <c r="V62" s="87">
        <f>IF(OR(V35=0,15&lt;=КаникулыРоялти),0,V35*IF(РоялтиПоГруппам="Да",MeanMinAge15+V9*SUMIF(ThresholdAge15,"&lt;"&amp;V9,WeightedRevAge15)-SUMIF(ThresholdAge15,"&lt;"&amp;V9,WeightedMinAge15),MAX(CapacityAge15*АбонементНовых*V9,MeanMinAge15)))</f>
        <v/>
      </c>
      <c r="W62" s="87">
        <f>IF(OR(W35=0,15&lt;=КаникулыРоялти),0,W35*IF(РоялтиПоГруппам="Да",MeanMinAge15+W9*SUMIF(ThresholdAge15,"&lt;"&amp;W9,WeightedRevAge15)-SUMIF(ThresholdAge15,"&lt;"&amp;W9,WeightedMinAge15),MAX(CapacityAge15*АбонементНовых*W9,MeanMinAge15)))</f>
        <v/>
      </c>
      <c r="X62" s="87">
        <f>IF(OR(X35=0,15&lt;=КаникулыРоялти),0,X35*IF(РоялтиПоГруппам="Да",MeanMinAge15+X9*SUMIF(ThresholdAge15,"&lt;"&amp;X9,WeightedRevAge15)-SUMIF(ThresholdAge15,"&lt;"&amp;X9,WeightedMinAge15),MAX(CapacityAge15*АбонементНовых*X9,MeanMinAge15)))</f>
        <v/>
      </c>
      <c r="Y62" s="87">
        <f>IF(OR(Y35=0,15&lt;=КаникулыРоялти),0,Y35*IF(РоялтиПоГруппам="Да",MeanMinAge15+Y9*SUMIF(ThresholdAge15,"&lt;"&amp;Y9,WeightedRevAge15)-SUMIF(ThresholdAge15,"&lt;"&amp;Y9,WeightedMinAge15),MAX(CapacityAge15*АбонементНовых*Y9,MeanMinAge15)))</f>
        <v/>
      </c>
      <c r="Z62" s="87">
        <f>IF(OR(Z35=0,15&lt;=КаникулыРоялти),0,Z35*IF(РоялтиПоГруппам="Да",MeanMinAge15+Z9*SUMIF(ThresholdAge15,"&lt;"&amp;Z9,WeightedRevAge15)-SUMIF(ThresholdAge15,"&lt;"&amp;Z9,WeightedMinAge15),MAX(CapacityAge15*АбонементНовых*Z9,MeanMinAge15)))</f>
        <v/>
      </c>
      <c r="AA62" s="87">
        <f>IF(OR(AA35=0,15&lt;=КаникулыРоялти),0,AA35*IF(РоялтиПоГруппам="Да",MeanMinAge15+AA9*SUMIF(ThresholdAge15,"&lt;"&amp;AA9,WeightedRevAge15)-SUMIF(ThresholdAge15,"&lt;"&amp;AA9,WeightedMinAge15),MAX(CapacityAge15*АбонементНовых*AA9,MeanMinAge15)))</f>
        <v/>
      </c>
      <c r="AB62" s="87">
        <f>IF(OR(AB35=0,15&lt;=КаникулыРоялти),0,AB35*IF(РоялтиПоГруппам="Да",MeanMinAge15+AB9*SUMIF(ThresholdAge15,"&lt;"&amp;AB9,WeightedRevAge15)-SUMIF(ThresholdAge15,"&lt;"&amp;AB9,WeightedMinAge15),MAX(CapacityAge15*АбонементНовых*AB9,MeanMinAge15)))</f>
        <v/>
      </c>
      <c r="AC62" s="87">
        <f>IF(OR(AC35=0,15&lt;=КаникулыРоялти),0,AC35*IF(РоялтиПоГруппам="Да",MeanMinAge15+AC9*SUMIF(ThresholdAge15,"&lt;"&amp;AC9,WeightedRevAge15)-SUMIF(ThresholdAge15,"&lt;"&amp;AC9,WeightedMinAge15),MAX(CapacityAge15*АбонементНовых*AC9,MeanMinAge15)))</f>
        <v/>
      </c>
      <c r="AD62" s="87">
        <f>IF(OR(AD35=0,15&lt;=КаникулыРоялти),0,AD35*IF(РоялтиПоГруппам="Да",MeanMinAge15+AD9*SUMIF(ThresholdAge15,"&lt;"&amp;AD9,WeightedRevAge15)-SUMIF(ThresholdAge15,"&lt;"&amp;AD9,WeightedMinAge15),MAX(CapacityAge15*АбонементНовых*AD9,MeanMinAge15)))</f>
        <v/>
      </c>
      <c r="AE62" s="87">
        <f>IF(OR(AE35=0,15&lt;=КаникулыРоялти),0,AE35*IF(РоялтиПоГруппам="Да",MeanMinAge15+AE9*SUMIF(ThresholdAge15,"&lt;"&amp;AE9,WeightedRevAge15)-SUMIF(ThresholdAge15,"&lt;"&amp;AE9,WeightedMinAge15),MAX(CapacityAge15*АбонементНовых*AE9,MeanMinAge15)))</f>
        <v/>
      </c>
      <c r="AF62" s="87">
        <f>IF(OR(AF35=0,15&lt;=КаникулыРоялти),0,AF35*IF(РоялтиПоГруппам="Да",MeanMinAge15+AF9*SUMIF(ThresholdAge15,"&lt;"&amp;AF9,WeightedRevAge15)-SUMIF(ThresholdAge15,"&lt;"&amp;AF9,WeightedMinAge15),MAX(CapacityAge15*АбонементНовых*AF9,MeanMinAge15)))</f>
        <v/>
      </c>
      <c r="AG62" s="87">
        <f>IF(OR(AG35=0,15&lt;=КаникулыРоялти),0,AG35*IF(РоялтиПоГруппам="Да",MeanMinAge15+AG9*SUMIF(ThresholdAge15,"&lt;"&amp;AG9,WeightedRevAge15)-SUMIF(ThresholdAge15,"&lt;"&amp;AG9,WeightedMinAge15),MAX(CapacityAge15*АбонементНовых*AG9,MeanMinAge15)))</f>
        <v/>
      </c>
      <c r="AH62" s="87">
        <f>IF(OR(AH35=0,15&lt;=КаникулыРоялти),0,AH35*IF(РоялтиПоГруппам="Да",MeanMinAge15+AH9*SUMIF(ThresholdAge15,"&lt;"&amp;AH9,WeightedRevAge15)-SUMIF(ThresholdAge15,"&lt;"&amp;AH9,WeightedMinAge15),MAX(CapacityAge15*АбонементНовых*AH9,MeanMinAge15)))</f>
        <v/>
      </c>
      <c r="AI62" s="87">
        <f>IF(OR(AI35=0,15&lt;=КаникулыРоялти),0,AI35*IF(РоялтиПоГруппам="Да",MeanMinAge15+AI9*SUMIF(ThresholdAge15,"&lt;"&amp;AI9,WeightedRevAge15)-SUMIF(ThresholdAge15,"&lt;"&amp;AI9,WeightedMinAge15),MAX(CapacityAge15*АбонементНовых*AI9,MeanMinAge15)))</f>
        <v/>
      </c>
      <c r="AJ62" s="87">
        <f>IF(OR(AJ35=0,15&lt;=КаникулыРоялти),0,AJ35*IF(РоялтиПоГруппам="Да",MeanMinAge15+AJ9*SUMIF(ThresholdAge15,"&lt;"&amp;AJ9,WeightedRevAge15)-SUMIF(ThresholdAge15,"&lt;"&amp;AJ9,WeightedMinAge15),MAX(CapacityAge15*АбонементНовых*AJ9,MeanMinAge15)))</f>
        <v/>
      </c>
      <c r="AK62" s="87">
        <f>IF(OR(AK35=0,15&lt;=КаникулыРоялти),0,AK35*IF(РоялтиПоГруппам="Да",MeanMinAge15+AK9*SUMIF(ThresholdAge15,"&lt;"&amp;AK9,WeightedRevAge15)-SUMIF(ThresholdAge15,"&lt;"&amp;AK9,WeightedMinAge15),MAX(CapacityAge15*АбонементНовых*AK9,MeanMinAge15)))</f>
        <v/>
      </c>
      <c r="AL62" s="87">
        <f>IF(OR(AL35=0,15&lt;=КаникулыРоялти),0,AL35*IF(РоялтиПоГруппам="Да",MeanMinAge15+AL9*SUMIF(ThresholdAge15,"&lt;"&amp;AL9,WeightedRevAge15)-SUMIF(ThresholdAge15,"&lt;"&amp;AL9,WeightedMinAge15),MAX(CapacityAge15*АбонементНовых*AL9,MeanMinAge15)))</f>
        <v/>
      </c>
      <c r="AM62" s="87">
        <f>IF(OR(AM35=0,15&lt;=КаникулыРоялти),0,AM35*IF(РоялтиПоГруппам="Да",MeanMinAge15+AM9*SUMIF(ThresholdAge15,"&lt;"&amp;AM9,WeightedRevAge15)-SUMIF(ThresholdAge15,"&lt;"&amp;AM9,WeightedMinAge15),MAX(CapacityAge15*АбонементНовых*AM9,MeanMinAge15)))</f>
        <v/>
      </c>
      <c r="AN62" s="87">
        <f>IF(OR(AN35=0,15&lt;=КаникулыРоялти),0,AN35*IF(РоялтиПоГруппам="Да",MeanMinAge15+AN9*SUMIF(ThresholdAge15,"&lt;"&amp;AN9,WeightedRevAge15)-SUMIF(ThresholdAge15,"&lt;"&amp;AN9,WeightedMinAge15),MAX(CapacityAge15*АбонементНовых*AN9,MeanMinAge15)))</f>
        <v/>
      </c>
      <c r="AO62" s="87">
        <f>IF(OR(AO35=0,15&lt;=КаникулыРоялти),0,AO35*IF(РоялтиПоГруппам="Да",MeanMinAge15+AO9*SUMIF(ThresholdAge15,"&lt;"&amp;AO9,WeightedRevAge15)-SUMIF(ThresholdAge15,"&lt;"&amp;AO9,WeightedMinAge15),MAX(CapacityAge15*АбонементНовых*AO9,MeanMinAge15)))</f>
        <v/>
      </c>
      <c r="AP62" s="87">
        <f>IF(OR(AP35=0,15&lt;=КаникулыРоялти),0,AP35*IF(РоялтиПоГруппам="Да",MeanMinAge15+AP9*SUMIF(ThresholdAge15,"&lt;"&amp;AP9,WeightedRevAge15)-SUMIF(ThresholdAge15,"&lt;"&amp;AP9,WeightedMinAge15),MAX(CapacityAge15*АбонементНовых*AP9,MeanMinAge15)))</f>
        <v/>
      </c>
      <c r="AQ62" s="87">
        <f>IF(OR(AQ35=0,15&lt;=КаникулыРоялти),0,AQ35*IF(РоялтиПоГруппам="Да",MeanMinAge15+AQ9*SUMIF(ThresholdAge15,"&lt;"&amp;AQ9,WeightedRevAge15)-SUMIF(ThresholdAge15,"&lt;"&amp;AQ9,WeightedMinAge15),MAX(CapacityAge15*АбонементНовых*AQ9,MeanMinAge15)))</f>
        <v/>
      </c>
      <c r="AR62" s="87">
        <f>IF(OR(AR35=0,15&lt;=КаникулыРоялти),0,AR35*IF(РоялтиПоГруппам="Да",MeanMinAge15+AR9*SUMIF(ThresholdAge15,"&lt;"&amp;AR9,WeightedRevAge15)-SUMIF(ThresholdAge15,"&lt;"&amp;AR9,WeightedMinAge15),MAX(CapacityAge15*АбонементНовых*AR9,MeanMinAge15)))</f>
        <v/>
      </c>
      <c r="AS62" s="87">
        <f>IF(OR(AS35=0,15&lt;=КаникулыРоялти),0,AS35*IF(РоялтиПоГруппам="Да",MeanMinAge15+AS9*SUMIF(ThresholdAge15,"&lt;"&amp;AS9,WeightedRevAge15)-SUMIF(ThresholdAge15,"&lt;"&amp;AS9,WeightedMinAge15),MAX(CapacityAge15*АбонементНовых*AS9,MeanMinAge15)))</f>
        <v/>
      </c>
      <c r="AT62" s="87">
        <f>IF(OR(AT35=0,15&lt;=КаникулыРоялти),0,AT35*IF(РоялтиПоГруппам="Да",MeanMinAge15+AT9*SUMIF(ThresholdAge15,"&lt;"&amp;AT9,WeightedRevAge15)-SUMIF(ThresholdAge15,"&lt;"&amp;AT9,WeightedMinAge15),MAX(CapacityAge15*АбонементНовых*AT9,MeanMinAge15)))</f>
        <v/>
      </c>
      <c r="AU62" s="87">
        <f>IF(OR(AU35=0,15&lt;=КаникулыРоялти),0,AU35*IF(РоялтиПоГруппам="Да",MeanMinAge15+AU9*SUMIF(ThresholdAge15,"&lt;"&amp;AU9,WeightedRevAge15)-SUMIF(ThresholdAge15,"&lt;"&amp;AU9,WeightedMinAge15),MAX(CapacityAge15*АбонементНовых*AU9,MeanMinAge15)))</f>
        <v/>
      </c>
      <c r="AV62" s="87">
        <f>IF(OR(AV35=0,15&lt;=КаникулыРоялти),0,AV35*IF(РоялтиПоГруппам="Да",MeanMinAge15+AV9*SUMIF(ThresholdAge15,"&lt;"&amp;AV9,WeightedRevAge15)-SUMIF(ThresholdAge15,"&lt;"&amp;AV9,WeightedMinAge15),MAX(CapacityAge15*АбонементНовых*AV9,MeanMinAge15)))</f>
        <v/>
      </c>
      <c r="AW62" s="87">
        <f>IF(OR(AW35=0,15&lt;=КаникулыРоялти),0,AW35*IF(РоялтиПоГруппам="Да",MeanMinAge15+AW9*SUMIF(ThresholdAge15,"&lt;"&amp;AW9,WeightedRevAge15)-SUMIF(ThresholdAge15,"&lt;"&amp;AW9,WeightedMinAge15),MAX(CapacityAge15*АбонементНовых*AW9,MeanMinAge15)))</f>
        <v/>
      </c>
      <c r="AX62" s="87">
        <f>IF(OR(AX35=0,15&lt;=КаникулыРоялти),0,AX35*IF(РоялтиПоГруппам="Да",MeanMinAge15+AX9*SUMIF(ThresholdAge15,"&lt;"&amp;AX9,WeightedRevAge15)-SUMIF(ThresholdAge15,"&lt;"&amp;AX9,WeightedMinAge15),MAX(CapacityAge15*АбонементНовых*AX9,MeanMinAge15)))</f>
        <v/>
      </c>
      <c r="AY62" s="87">
        <f>IF(OR(AY35=0,15&lt;=КаникулыРоялти),0,AY35*IF(РоялтиПоГруппам="Да",MeanMinAge15+AY9*SUMIF(ThresholdAge15,"&lt;"&amp;AY9,WeightedRevAge15)-SUMIF(ThresholdAge15,"&lt;"&amp;AY9,WeightedMinAge15),MAX(CapacityAge15*АбонементНовых*AY9,MeanMinAge15)))</f>
        <v/>
      </c>
      <c r="AZ62" s="87">
        <f>IF(OR(AZ35=0,15&lt;=КаникулыРоялти),0,AZ35*IF(РоялтиПоГруппам="Да",MeanMinAge15+AZ9*SUMIF(ThresholdAge15,"&lt;"&amp;AZ9,WeightedRevAge15)-SUMIF(ThresholdAge15,"&lt;"&amp;AZ9,WeightedMinAge15),MAX(CapacityAge15*АбонементНовых*AZ9,MeanMinAge15)))</f>
        <v/>
      </c>
      <c r="BA62" s="87">
        <f>IF(OR(BA35=0,15&lt;=КаникулыРоялти),0,BA35*IF(РоялтиПоГруппам="Да",MeanMinAge15+BA9*SUMIF(ThresholdAge15,"&lt;"&amp;BA9,WeightedRevAge15)-SUMIF(ThresholdAge15,"&lt;"&amp;BA9,WeightedMinAge15),MAX(CapacityAge15*АбонементНовых*BA9,MeanMinAge15)))</f>
        <v/>
      </c>
      <c r="BB62" s="87">
        <f>IF(OR(BB35=0,15&lt;=КаникулыРоялти),0,BB35*IF(РоялтиПоГруппам="Да",MeanMinAge15+BB9*SUMIF(ThresholdAge15,"&lt;"&amp;BB9,WeightedRevAge15)-SUMIF(ThresholdAge15,"&lt;"&amp;BB9,WeightedMinAge15),MAX(CapacityAge15*АбонементНовых*BB9,MeanMinAge15)))</f>
        <v/>
      </c>
      <c r="BC62" s="87">
        <f>IF(OR(BC35=0,15&lt;=КаникулыРоялти),0,BC35*IF(РоялтиПоГруппам="Да",MeanMinAge15+BC9*SUMIF(ThresholdAge15,"&lt;"&amp;BC9,WeightedRevAge15)-SUMIF(ThresholdAge15,"&lt;"&amp;BC9,WeightedMinAge15),MAX(CapacityAge15*АбонементНовых*BC9,MeanMinAge15)))</f>
        <v/>
      </c>
      <c r="BD62" s="87">
        <f>IF(OR(BD35=0,15&lt;=КаникулыРоялти),0,BD35*IF(РоялтиПоГруппам="Да",MeanMinAge15+BD9*SUMIF(ThresholdAge15,"&lt;"&amp;BD9,WeightedRevAge15)-SUMIF(ThresholdAge15,"&lt;"&amp;BD9,WeightedMinAge15),MAX(CapacityAge15*АбонементНовых*BD9,MeanMinAge15)))</f>
        <v/>
      </c>
      <c r="BE62" s="87">
        <f>IF(OR(BE35=0,15&lt;=КаникулыРоялти),0,BE35*IF(РоялтиПоГруппам="Да",MeanMinAge15+BE9*SUMIF(ThresholdAge15,"&lt;"&amp;BE9,WeightedRevAge15)-SUMIF(ThresholdAge15,"&lt;"&amp;BE9,WeightedMinAge15),MAX(CapacityAge15*АбонементНовых*BE9,MeanMinAge15)))</f>
        <v/>
      </c>
      <c r="BF62" s="87">
        <f>IF(OR(BF35=0,15&lt;=КаникулыРоялти),0,BF35*IF(РоялтиПоГруппам="Да",MeanMinAge15+BF9*SUMIF(ThresholdAge15,"&lt;"&amp;BF9,WeightedRevAge15)-SUMIF(ThresholdAge15,"&lt;"&amp;BF9,WeightedMinAge15),MAX(CapacityAge15*АбонементНовых*BF9,MeanMinAge15)))</f>
        <v/>
      </c>
      <c r="BG62" s="87">
        <f>IF(OR(BG35=0,15&lt;=КаникулыРоялти),0,BG35*IF(РоялтиПоГруппам="Да",MeanMinAge15+BG9*SUMIF(ThresholdAge15,"&lt;"&amp;BG9,WeightedRevAge15)-SUMIF(ThresholdAge15,"&lt;"&amp;BG9,WeightedMinAge15),MAX(CapacityAge15*АбонементНовых*BG9,MeanMinAge15)))</f>
        <v/>
      </c>
      <c r="BH62" s="87">
        <f>IF(OR(BH35=0,15&lt;=КаникулыРоялти),0,BH35*IF(РоялтиПоГруппам="Да",MeanMinAge15+BH9*SUMIF(ThresholdAge15,"&lt;"&amp;BH9,WeightedRevAge15)-SUMIF(ThresholdAge15,"&lt;"&amp;BH9,WeightedMinAge15),MAX(CapacityAge15*АбонементНовых*BH9,MeanMinAge15)))</f>
        <v/>
      </c>
      <c r="BI62" s="87">
        <f>IF(OR(BI35=0,15&lt;=КаникулыРоялти),0,BI35*IF(РоялтиПоГруппам="Да",MeanMinAge15+BI9*SUMIF(ThresholdAge15,"&lt;"&amp;BI9,WeightedRevAge15)-SUMIF(ThresholdAge15,"&lt;"&amp;BI9,WeightedMinAge15),MAX(CapacityAge15*АбонементНовых*BI9,MeanMinAge15)))</f>
        <v/>
      </c>
      <c r="BJ62" s="87">
        <f>IF(OR(BJ35=0,15&lt;=КаникулыРоялти),0,BJ35*IF(РоялтиПоГруппам="Да",MeanMinAge15+BJ9*SUMIF(ThresholdAge15,"&lt;"&amp;BJ9,WeightedRevAge15)-SUMIF(ThresholdAge15,"&lt;"&amp;BJ9,WeightedMinAge15),MAX(CapacityAge15*АбонементНовых*BJ9,MeanMinAge15)))</f>
        <v/>
      </c>
      <c r="BK62" s="87">
        <f>IF(OR(BK35=0,15&lt;=КаникулыРоялти),0,BK35*IF(РоялтиПоГруппам="Да",MeanMinAge15+BK9*SUMIF(ThresholdAge15,"&lt;"&amp;BK9,WeightedRevAge15)-SUMIF(ThresholdAge15,"&lt;"&amp;BK9,WeightedMinAge15),MAX(CapacityAge15*АбонементНовых*BK9,MeanMinAge15)))</f>
        <v/>
      </c>
      <c r="BL62" s="87">
        <f>IF(OR(BL35=0,15&lt;=КаникулыРоялти),0,BL35*IF(РоялтиПоГруппам="Да",MeanMinAge15+BL9*SUMIF(ThresholdAge15,"&lt;"&amp;BL9,WeightedRevAge15)-SUMIF(ThresholdAge15,"&lt;"&amp;BL9,WeightedMinAge15),MAX(CapacityAge15*АбонементНовых*BL9,MeanMinAge15)))</f>
        <v/>
      </c>
      <c r="BM62" s="87">
        <f>IF(OR(BM35=0,15&lt;=КаникулыРоялти),0,BM35*IF(РоялтиПоГруппам="Да",MeanMinAge15+BM9*SUMIF(ThresholdAge15,"&lt;"&amp;BM9,WeightedRevAge15)-SUMIF(ThresholdAge15,"&lt;"&amp;BM9,WeightedMinAge15),MAX(CapacityAge15*АбонементНовых*BM9,MeanMinAge15)))</f>
        <v/>
      </c>
      <c r="BN62" s="87">
        <f>IF(OR(BN35=0,15&lt;=КаникулыРоялти),0,BN35*IF(РоялтиПоГруппам="Да",MeanMinAge15+BN9*SUMIF(ThresholdAge15,"&lt;"&amp;BN9,WeightedRevAge15)-SUMIF(ThresholdAge15,"&lt;"&amp;BN9,WeightedMinAge15),MAX(CapacityAge15*АбонементНовых*BN9,MeanMinAge15)))</f>
        <v/>
      </c>
      <c r="BO62" s="87">
        <f>IF(OR(BO35=0,15&lt;=КаникулыРоялти),0,BO35*IF(РоялтиПоГруппам="Да",MeanMinAge15+BO9*SUMIF(ThresholdAge15,"&lt;"&amp;BO9,WeightedRevAge15)-SUMIF(ThresholdAge15,"&lt;"&amp;BO9,WeightedMinAge15),MAX(CapacityAge15*АбонементНовых*BO9,MeanMinAge15)))</f>
        <v/>
      </c>
      <c r="BP62" s="87">
        <f>IF(OR(BP35=0,15&lt;=КаникулыРоялти),0,BP35*IF(РоялтиПоГруппам="Да",MeanMinAge15+BP9*SUMIF(ThresholdAge15,"&lt;"&amp;BP9,WeightedRevAge15)-SUMIF(ThresholdAge15,"&lt;"&amp;BP9,WeightedMinAge15),MAX(CapacityAge15*АбонементНовых*BP9,MeanMinAge15)))</f>
        <v/>
      </c>
      <c r="BQ62" s="87">
        <f>IF(OR(BQ35=0,15&lt;=КаникулыРоялти),0,BQ35*IF(РоялтиПоГруппам="Да",MeanMinAge15+BQ9*SUMIF(ThresholdAge15,"&lt;"&amp;BQ9,WeightedRevAge15)-SUMIF(ThresholdAge15,"&lt;"&amp;BQ9,WeightedMinAge15),MAX(CapacityAge15*АбонементНовых*BQ9,MeanMinAge15)))</f>
        <v/>
      </c>
      <c r="BR62" s="87">
        <f>IF(OR(BR35=0,15&lt;=КаникулыРоялти),0,BR35*IF(РоялтиПоГруппам="Да",MeanMinAge15+BR9*SUMIF(ThresholdAge15,"&lt;"&amp;BR9,WeightedRevAge15)-SUMIF(ThresholdAge15,"&lt;"&amp;BR9,WeightedMinAge15),MAX(CapacityAge15*АбонементНовых*BR9,MeanMinAge15)))</f>
        <v/>
      </c>
      <c r="BS62" s="87">
        <f>IF(OR(BS35=0,15&lt;=КаникулыРоялти),0,BS35*IF(РоялтиПоГруппам="Да",MeanMinAge15+BS9*SUMIF(ThresholdAge15,"&lt;"&amp;BS9,WeightedRevAge15)-SUMIF(ThresholdAge15,"&lt;"&amp;BS9,WeightedMinAge15),MAX(CapacityAge15*АбонементНовых*BS9,MeanMinAge15)))</f>
        <v/>
      </c>
      <c r="BT62" s="87">
        <f>IF(OR(BT35=0,15&lt;=КаникулыРоялти),0,BT35*IF(РоялтиПоГруппам="Да",MeanMinAge15+BT9*SUMIF(ThresholdAge15,"&lt;"&amp;BT9,WeightedRevAge15)-SUMIF(ThresholdAge15,"&lt;"&amp;BT9,WeightedMinAge15),MAX(CapacityAge15*АбонементНовых*BT9,MeanMinAge15)))</f>
        <v/>
      </c>
      <c r="BU62" s="87">
        <f>IF(OR(BU35=0,15&lt;=КаникулыРоялти),0,BU35*IF(РоялтиПоГруппам="Да",MeanMinAge15+BU9*SUMIF(ThresholdAge15,"&lt;"&amp;BU9,WeightedRevAge15)-SUMIF(ThresholdAge15,"&lt;"&amp;BU9,WeightedMinAge15),MAX(CapacityAge15*АбонементНовых*BU9,MeanMinAge15)))</f>
        <v/>
      </c>
      <c r="BV62" s="87">
        <f>IF(OR(BV35=0,15&lt;=КаникулыРоялти),0,BV35*IF(РоялтиПоГруппам="Да",MeanMinAge15+BV9*SUMIF(ThresholdAge15,"&lt;"&amp;BV9,WeightedRevAge15)-SUMIF(ThresholdAge15,"&lt;"&amp;BV9,WeightedMinAge15),MAX(CapacityAge15*АбонементНовых*BV9,MeanMinAge15)))</f>
        <v/>
      </c>
      <c r="BW62" s="87">
        <f>IF(OR(BW35=0,15&lt;=КаникулыРоялти),0,BW35*IF(РоялтиПоГруппам="Да",MeanMinAge15+BW9*SUMIF(ThresholdAge15,"&lt;"&amp;BW9,WeightedRevAge15)-SUMIF(ThresholdAge15,"&lt;"&amp;BW9,WeightedMinAge15),MAX(CapacityAge15*АбонементНовых*BW9,MeanMinAge15)))</f>
        <v/>
      </c>
      <c r="BX62" s="87">
        <f>IF(OR(BX35=0,15&lt;=КаникулыРоялти),0,BX35*IF(РоялтиПоГруппам="Да",MeanMinAge15+BX9*SUMIF(ThresholdAge15,"&lt;"&amp;BX9,WeightedRevAge15)-SUMIF(ThresholdAge15,"&lt;"&amp;BX9,WeightedMinAge15),MAX(CapacityAge15*АбонементНовых*BX9,MeanMinAge15)))</f>
        <v/>
      </c>
      <c r="BY62" s="87">
        <f>IF(OR(BY35=0,15&lt;=КаникулыРоялти),0,BY35*IF(РоялтиПоГруппам="Да",MeanMinAge15+BY9*SUMIF(ThresholdAge15,"&lt;"&amp;BY9,WeightedRevAge15)-SUMIF(ThresholdAge15,"&lt;"&amp;BY9,WeightedMinAge15),MAX(CapacityAge15*АбонементНовых*BY9,MeanMinAge15)))</f>
        <v/>
      </c>
    </row>
    <row r="63" ht="15.75" customHeight="1" s="194">
      <c r="B63" s="56" t="inlineStr">
        <is>
          <t>16 мес.</t>
        </is>
      </c>
      <c r="C63" s="56" t="inlineStr">
        <is>
          <t>₽</t>
        </is>
      </c>
      <c r="D63" s="57" t="n"/>
      <c r="E63" s="85">
        <f>SUM(L63:W63)</f>
        <v/>
      </c>
      <c r="F63" s="85">
        <f>SUM(X63:AI63)</f>
        <v/>
      </c>
      <c r="G63" s="85">
        <f>SUM(AJ63:AU63)</f>
        <v/>
      </c>
      <c r="H63" s="85">
        <f>SUM(AV63:BG63)</f>
        <v/>
      </c>
      <c r="I63" s="85">
        <f>SUM(BH63:BS63)</f>
        <v/>
      </c>
      <c r="J63" s="86">
        <f>SUM(L63:BS63)</f>
        <v/>
      </c>
      <c r="L63" s="87">
        <f>IF(OR(L36=0,16&lt;=КаникулыРоялти),0,L36*IF(РоялтиПоГруппам="Да",MeanMinAge16+L9*SUMIF(ThresholdAge16,"&lt;"&amp;L9,WeightedRevAge16)-SUMIF(ThresholdAge16,"&lt;"&amp;L9,WeightedMinAge16),MAX(CapacityAge16*АбонементНовых*L9,MeanMinAge16)))</f>
        <v/>
      </c>
      <c r="M63" s="87">
        <f>IF(OR(M36=0,16&lt;=КаникулыРоялти),0,M36*IF(РоялтиПоГруппам="Да",MeanMinAge16+M9*SUMIF(ThresholdAge16,"&lt;"&amp;M9,WeightedRevAge16)-SUMIF(ThresholdAge16,"&lt;"&amp;M9,WeightedMinAge16),MAX(CapacityAge16*АбонементНовых*M9,MeanMinAge16)))</f>
        <v/>
      </c>
      <c r="N63" s="87">
        <f>IF(OR(N36=0,16&lt;=КаникулыРоялти),0,N36*IF(РоялтиПоГруппам="Да",MeanMinAge16+N9*SUMIF(ThresholdAge16,"&lt;"&amp;N9,WeightedRevAge16)-SUMIF(ThresholdAge16,"&lt;"&amp;N9,WeightedMinAge16),MAX(CapacityAge16*АбонементНовых*N9,MeanMinAge16)))</f>
        <v/>
      </c>
      <c r="O63" s="87">
        <f>IF(OR(O36=0,16&lt;=КаникулыРоялти),0,O36*IF(РоялтиПоГруппам="Да",MeanMinAge16+O9*SUMIF(ThresholdAge16,"&lt;"&amp;O9,WeightedRevAge16)-SUMIF(ThresholdAge16,"&lt;"&amp;O9,WeightedMinAge16),MAX(CapacityAge16*АбонементНовых*O9,MeanMinAge16)))</f>
        <v/>
      </c>
      <c r="P63" s="87">
        <f>IF(OR(P36=0,16&lt;=КаникулыРоялти),0,P36*IF(РоялтиПоГруппам="Да",MeanMinAge16+P9*SUMIF(ThresholdAge16,"&lt;"&amp;P9,WeightedRevAge16)-SUMIF(ThresholdAge16,"&lt;"&amp;P9,WeightedMinAge16),MAX(CapacityAge16*АбонементНовых*P9,MeanMinAge16)))</f>
        <v/>
      </c>
      <c r="Q63" s="87">
        <f>IF(OR(Q36=0,16&lt;=КаникулыРоялти),0,Q36*IF(РоялтиПоГруппам="Да",MeanMinAge16+Q9*SUMIF(ThresholdAge16,"&lt;"&amp;Q9,WeightedRevAge16)-SUMIF(ThresholdAge16,"&lt;"&amp;Q9,WeightedMinAge16),MAX(CapacityAge16*АбонементНовых*Q9,MeanMinAge16)))</f>
        <v/>
      </c>
      <c r="R63" s="87">
        <f>IF(OR(R36=0,16&lt;=КаникулыРоялти),0,R36*IF(РоялтиПоГруппам="Да",MeanMinAge16+R9*SUMIF(ThresholdAge16,"&lt;"&amp;R9,WeightedRevAge16)-SUMIF(ThresholdAge16,"&lt;"&amp;R9,WeightedMinAge16),MAX(CapacityAge16*АбонементНовых*R9,MeanMinAge16)))</f>
        <v/>
      </c>
      <c r="S63" s="87">
        <f>IF(OR(S36=0,16&lt;=КаникулыРоялти),0,S36*IF(РоялтиПоГруппам="Да",MeanMinAge16+S9*SUMIF(ThresholdAge16,"&lt;"&amp;S9,WeightedRevAge16)-SUMIF(ThresholdAge16,"&lt;"&amp;S9,WeightedMinAge16),MAX(CapacityAge16*АбонементНовых*S9,MeanMinAge16)))</f>
        <v/>
      </c>
      <c r="T63" s="87">
        <f>IF(OR(T36=0,16&lt;=КаникулыРоялти),0,T36*IF(РоялтиПоГруппам="Да",MeanMinAge16+T9*SUMIF(ThresholdAge16,"&lt;"&amp;T9,WeightedRevAge16)-SUMIF(ThresholdAge16,"&lt;"&amp;T9,WeightedMinAge16),MAX(CapacityAge16*АбонементНовых*T9,MeanMinAge16)))</f>
        <v/>
      </c>
      <c r="U63" s="87">
        <f>IF(OR(U36=0,16&lt;=КаникулыРоялти),0,U36*IF(РоялтиПоГруппам="Да",MeanMinAge16+U9*SUMIF(ThresholdAge16,"&lt;"&amp;U9,WeightedRevAge16)-SUMIF(ThresholdAge16,"&lt;"&amp;U9,WeightedMinAge16),MAX(CapacityAge16*АбонементНовых*U9,MeanMinAge16)))</f>
        <v/>
      </c>
      <c r="V63" s="87">
        <f>IF(OR(V36=0,16&lt;=КаникулыРоялти),0,V36*IF(РоялтиПоГруппам="Да",MeanMinAge16+V9*SUMIF(ThresholdAge16,"&lt;"&amp;V9,WeightedRevAge16)-SUMIF(ThresholdAge16,"&lt;"&amp;V9,WeightedMinAge16),MAX(CapacityAge16*АбонементНовых*V9,MeanMinAge16)))</f>
        <v/>
      </c>
      <c r="W63" s="87">
        <f>IF(OR(W36=0,16&lt;=КаникулыРоялти),0,W36*IF(РоялтиПоГруппам="Да",MeanMinAge16+W9*SUMIF(ThresholdAge16,"&lt;"&amp;W9,WeightedRevAge16)-SUMIF(ThresholdAge16,"&lt;"&amp;W9,WeightedMinAge16),MAX(CapacityAge16*АбонементНовых*W9,MeanMinAge16)))</f>
        <v/>
      </c>
      <c r="X63" s="87">
        <f>IF(OR(X36=0,16&lt;=КаникулыРоялти),0,X36*IF(РоялтиПоГруппам="Да",MeanMinAge16+X9*SUMIF(ThresholdAge16,"&lt;"&amp;X9,WeightedRevAge16)-SUMIF(ThresholdAge16,"&lt;"&amp;X9,WeightedMinAge16),MAX(CapacityAge16*АбонементНовых*X9,MeanMinAge16)))</f>
        <v/>
      </c>
      <c r="Y63" s="87">
        <f>IF(OR(Y36=0,16&lt;=КаникулыРоялти),0,Y36*IF(РоялтиПоГруппам="Да",MeanMinAge16+Y9*SUMIF(ThresholdAge16,"&lt;"&amp;Y9,WeightedRevAge16)-SUMIF(ThresholdAge16,"&lt;"&amp;Y9,WeightedMinAge16),MAX(CapacityAge16*АбонементНовых*Y9,MeanMinAge16)))</f>
        <v/>
      </c>
      <c r="Z63" s="87">
        <f>IF(OR(Z36=0,16&lt;=КаникулыРоялти),0,Z36*IF(РоялтиПоГруппам="Да",MeanMinAge16+Z9*SUMIF(ThresholdAge16,"&lt;"&amp;Z9,WeightedRevAge16)-SUMIF(ThresholdAge16,"&lt;"&amp;Z9,WeightedMinAge16),MAX(CapacityAge16*АбонементНовых*Z9,MeanMinAge16)))</f>
        <v/>
      </c>
      <c r="AA63" s="87">
        <f>IF(OR(AA36=0,16&lt;=КаникулыРоялти),0,AA36*IF(РоялтиПоГруппам="Да",MeanMinAge16+AA9*SUMIF(ThresholdAge16,"&lt;"&amp;AA9,WeightedRevAge16)-SUMIF(ThresholdAge16,"&lt;"&amp;AA9,WeightedMinAge16),MAX(CapacityAge16*АбонементНовых*AA9,MeanMinAge16)))</f>
        <v/>
      </c>
      <c r="AB63" s="87">
        <f>IF(OR(AB36=0,16&lt;=КаникулыРоялти),0,AB36*IF(РоялтиПоГруппам="Да",MeanMinAge16+AB9*SUMIF(ThresholdAge16,"&lt;"&amp;AB9,WeightedRevAge16)-SUMIF(ThresholdAge16,"&lt;"&amp;AB9,WeightedMinAge16),MAX(CapacityAge16*АбонементНовых*AB9,MeanMinAge16)))</f>
        <v/>
      </c>
      <c r="AC63" s="87">
        <f>IF(OR(AC36=0,16&lt;=КаникулыРоялти),0,AC36*IF(РоялтиПоГруппам="Да",MeanMinAge16+AC9*SUMIF(ThresholdAge16,"&lt;"&amp;AC9,WeightedRevAge16)-SUMIF(ThresholdAge16,"&lt;"&amp;AC9,WeightedMinAge16),MAX(CapacityAge16*АбонементНовых*AC9,MeanMinAge16)))</f>
        <v/>
      </c>
      <c r="AD63" s="87">
        <f>IF(OR(AD36=0,16&lt;=КаникулыРоялти),0,AD36*IF(РоялтиПоГруппам="Да",MeanMinAge16+AD9*SUMIF(ThresholdAge16,"&lt;"&amp;AD9,WeightedRevAge16)-SUMIF(ThresholdAge16,"&lt;"&amp;AD9,WeightedMinAge16),MAX(CapacityAge16*АбонементНовых*AD9,MeanMinAge16)))</f>
        <v/>
      </c>
      <c r="AE63" s="87">
        <f>IF(OR(AE36=0,16&lt;=КаникулыРоялти),0,AE36*IF(РоялтиПоГруппам="Да",MeanMinAge16+AE9*SUMIF(ThresholdAge16,"&lt;"&amp;AE9,WeightedRevAge16)-SUMIF(ThresholdAge16,"&lt;"&amp;AE9,WeightedMinAge16),MAX(CapacityAge16*АбонементНовых*AE9,MeanMinAge16)))</f>
        <v/>
      </c>
      <c r="AF63" s="87">
        <f>IF(OR(AF36=0,16&lt;=КаникулыРоялти),0,AF36*IF(РоялтиПоГруппам="Да",MeanMinAge16+AF9*SUMIF(ThresholdAge16,"&lt;"&amp;AF9,WeightedRevAge16)-SUMIF(ThresholdAge16,"&lt;"&amp;AF9,WeightedMinAge16),MAX(CapacityAge16*АбонементНовых*AF9,MeanMinAge16)))</f>
        <v/>
      </c>
      <c r="AG63" s="87">
        <f>IF(OR(AG36=0,16&lt;=КаникулыРоялти),0,AG36*IF(РоялтиПоГруппам="Да",MeanMinAge16+AG9*SUMIF(ThresholdAge16,"&lt;"&amp;AG9,WeightedRevAge16)-SUMIF(ThresholdAge16,"&lt;"&amp;AG9,WeightedMinAge16),MAX(CapacityAge16*АбонементНовых*AG9,MeanMinAge16)))</f>
        <v/>
      </c>
      <c r="AH63" s="87">
        <f>IF(OR(AH36=0,16&lt;=КаникулыРоялти),0,AH36*IF(РоялтиПоГруппам="Да",MeanMinAge16+AH9*SUMIF(ThresholdAge16,"&lt;"&amp;AH9,WeightedRevAge16)-SUMIF(ThresholdAge16,"&lt;"&amp;AH9,WeightedMinAge16),MAX(CapacityAge16*АбонементНовых*AH9,MeanMinAge16)))</f>
        <v/>
      </c>
      <c r="AI63" s="87">
        <f>IF(OR(AI36=0,16&lt;=КаникулыРоялти),0,AI36*IF(РоялтиПоГруппам="Да",MeanMinAge16+AI9*SUMIF(ThresholdAge16,"&lt;"&amp;AI9,WeightedRevAge16)-SUMIF(ThresholdAge16,"&lt;"&amp;AI9,WeightedMinAge16),MAX(CapacityAge16*АбонементНовых*AI9,MeanMinAge16)))</f>
        <v/>
      </c>
      <c r="AJ63" s="87">
        <f>IF(OR(AJ36=0,16&lt;=КаникулыРоялти),0,AJ36*IF(РоялтиПоГруппам="Да",MeanMinAge16+AJ9*SUMIF(ThresholdAge16,"&lt;"&amp;AJ9,WeightedRevAge16)-SUMIF(ThresholdAge16,"&lt;"&amp;AJ9,WeightedMinAge16),MAX(CapacityAge16*АбонементНовых*AJ9,MeanMinAge16)))</f>
        <v/>
      </c>
      <c r="AK63" s="87">
        <f>IF(OR(AK36=0,16&lt;=КаникулыРоялти),0,AK36*IF(РоялтиПоГруппам="Да",MeanMinAge16+AK9*SUMIF(ThresholdAge16,"&lt;"&amp;AK9,WeightedRevAge16)-SUMIF(ThresholdAge16,"&lt;"&amp;AK9,WeightedMinAge16),MAX(CapacityAge16*АбонементНовых*AK9,MeanMinAge16)))</f>
        <v/>
      </c>
      <c r="AL63" s="87">
        <f>IF(OR(AL36=0,16&lt;=КаникулыРоялти),0,AL36*IF(РоялтиПоГруппам="Да",MeanMinAge16+AL9*SUMIF(ThresholdAge16,"&lt;"&amp;AL9,WeightedRevAge16)-SUMIF(ThresholdAge16,"&lt;"&amp;AL9,WeightedMinAge16),MAX(CapacityAge16*АбонементНовых*AL9,MeanMinAge16)))</f>
        <v/>
      </c>
      <c r="AM63" s="87">
        <f>IF(OR(AM36=0,16&lt;=КаникулыРоялти),0,AM36*IF(РоялтиПоГруппам="Да",MeanMinAge16+AM9*SUMIF(ThresholdAge16,"&lt;"&amp;AM9,WeightedRevAge16)-SUMIF(ThresholdAge16,"&lt;"&amp;AM9,WeightedMinAge16),MAX(CapacityAge16*АбонементНовых*AM9,MeanMinAge16)))</f>
        <v/>
      </c>
      <c r="AN63" s="87">
        <f>IF(OR(AN36=0,16&lt;=КаникулыРоялти),0,AN36*IF(РоялтиПоГруппам="Да",MeanMinAge16+AN9*SUMIF(ThresholdAge16,"&lt;"&amp;AN9,WeightedRevAge16)-SUMIF(ThresholdAge16,"&lt;"&amp;AN9,WeightedMinAge16),MAX(CapacityAge16*АбонементНовых*AN9,MeanMinAge16)))</f>
        <v/>
      </c>
      <c r="AO63" s="87">
        <f>IF(OR(AO36=0,16&lt;=КаникулыРоялти),0,AO36*IF(РоялтиПоГруппам="Да",MeanMinAge16+AO9*SUMIF(ThresholdAge16,"&lt;"&amp;AO9,WeightedRevAge16)-SUMIF(ThresholdAge16,"&lt;"&amp;AO9,WeightedMinAge16),MAX(CapacityAge16*АбонементНовых*AO9,MeanMinAge16)))</f>
        <v/>
      </c>
      <c r="AP63" s="87">
        <f>IF(OR(AP36=0,16&lt;=КаникулыРоялти),0,AP36*IF(РоялтиПоГруппам="Да",MeanMinAge16+AP9*SUMIF(ThresholdAge16,"&lt;"&amp;AP9,WeightedRevAge16)-SUMIF(ThresholdAge16,"&lt;"&amp;AP9,WeightedMinAge16),MAX(CapacityAge16*АбонементНовых*AP9,MeanMinAge16)))</f>
        <v/>
      </c>
      <c r="AQ63" s="87">
        <f>IF(OR(AQ36=0,16&lt;=КаникулыРоялти),0,AQ36*IF(РоялтиПоГруппам="Да",MeanMinAge16+AQ9*SUMIF(ThresholdAge16,"&lt;"&amp;AQ9,WeightedRevAge16)-SUMIF(ThresholdAge16,"&lt;"&amp;AQ9,WeightedMinAge16),MAX(CapacityAge16*АбонементНовых*AQ9,MeanMinAge16)))</f>
        <v/>
      </c>
      <c r="AR63" s="87">
        <f>IF(OR(AR36=0,16&lt;=КаникулыРоялти),0,AR36*IF(РоялтиПоГруппам="Да",MeanMinAge16+AR9*SUMIF(ThresholdAge16,"&lt;"&amp;AR9,WeightedRevAge16)-SUMIF(ThresholdAge16,"&lt;"&amp;AR9,WeightedMinAge16),MAX(CapacityAge16*АбонементНовых*AR9,MeanMinAge16)))</f>
        <v/>
      </c>
      <c r="AS63" s="87">
        <f>IF(OR(AS36=0,16&lt;=КаникулыРоялти),0,AS36*IF(РоялтиПоГруппам="Да",MeanMinAge16+AS9*SUMIF(ThresholdAge16,"&lt;"&amp;AS9,WeightedRevAge16)-SUMIF(ThresholdAge16,"&lt;"&amp;AS9,WeightedMinAge16),MAX(CapacityAge16*АбонементНовых*AS9,MeanMinAge16)))</f>
        <v/>
      </c>
      <c r="AT63" s="87">
        <f>IF(OR(AT36=0,16&lt;=КаникулыРоялти),0,AT36*IF(РоялтиПоГруппам="Да",MeanMinAge16+AT9*SUMIF(ThresholdAge16,"&lt;"&amp;AT9,WeightedRevAge16)-SUMIF(ThresholdAge16,"&lt;"&amp;AT9,WeightedMinAge16),MAX(CapacityAge16*АбонементНовых*AT9,MeanMinAge16)))</f>
        <v/>
      </c>
      <c r="AU63" s="87">
        <f>IF(OR(AU36=0,16&lt;=КаникулыРоялти),0,AU36*IF(РоялтиПоГруппам="Да",MeanMinAge16+AU9*SUMIF(ThresholdAge16,"&lt;"&amp;AU9,WeightedRevAge16)-SUMIF(ThresholdAge16,"&lt;"&amp;AU9,WeightedMinAge16),MAX(CapacityAge16*АбонементНовых*AU9,MeanMinAge16)))</f>
        <v/>
      </c>
      <c r="AV63" s="87">
        <f>IF(OR(AV36=0,16&lt;=КаникулыРоялти),0,AV36*IF(РоялтиПоГруппам="Да",MeanMinAge16+AV9*SUMIF(ThresholdAge16,"&lt;"&amp;AV9,WeightedRevAge16)-SUMIF(ThresholdAge16,"&lt;"&amp;AV9,WeightedMinAge16),MAX(CapacityAge16*АбонементНовых*AV9,MeanMinAge16)))</f>
        <v/>
      </c>
      <c r="AW63" s="87">
        <f>IF(OR(AW36=0,16&lt;=КаникулыРоялти),0,AW36*IF(РоялтиПоГруппам="Да",MeanMinAge16+AW9*SUMIF(ThresholdAge16,"&lt;"&amp;AW9,WeightedRevAge16)-SUMIF(ThresholdAge16,"&lt;"&amp;AW9,WeightedMinAge16),MAX(CapacityAge16*АбонементНовых*AW9,MeanMinAge16)))</f>
        <v/>
      </c>
      <c r="AX63" s="87">
        <f>IF(OR(AX36=0,16&lt;=КаникулыРоялти),0,AX36*IF(РоялтиПоГруппам="Да",MeanMinAge16+AX9*SUMIF(ThresholdAge16,"&lt;"&amp;AX9,WeightedRevAge16)-SUMIF(ThresholdAge16,"&lt;"&amp;AX9,WeightedMinAge16),MAX(CapacityAge16*АбонементНовых*AX9,MeanMinAge16)))</f>
        <v/>
      </c>
      <c r="AY63" s="87">
        <f>IF(OR(AY36=0,16&lt;=КаникулыРоялти),0,AY36*IF(РоялтиПоГруппам="Да",MeanMinAge16+AY9*SUMIF(ThresholdAge16,"&lt;"&amp;AY9,WeightedRevAge16)-SUMIF(ThresholdAge16,"&lt;"&amp;AY9,WeightedMinAge16),MAX(CapacityAge16*АбонементНовых*AY9,MeanMinAge16)))</f>
        <v/>
      </c>
      <c r="AZ63" s="87">
        <f>IF(OR(AZ36=0,16&lt;=КаникулыРоялти),0,AZ36*IF(РоялтиПоГруппам="Да",MeanMinAge16+AZ9*SUMIF(ThresholdAge16,"&lt;"&amp;AZ9,WeightedRevAge16)-SUMIF(ThresholdAge16,"&lt;"&amp;AZ9,WeightedMinAge16),MAX(CapacityAge16*АбонементНовых*AZ9,MeanMinAge16)))</f>
        <v/>
      </c>
      <c r="BA63" s="87">
        <f>IF(OR(BA36=0,16&lt;=КаникулыРоялти),0,BA36*IF(РоялтиПоГруппам="Да",MeanMinAge16+BA9*SUMIF(ThresholdAge16,"&lt;"&amp;BA9,WeightedRevAge16)-SUMIF(ThresholdAge16,"&lt;"&amp;BA9,WeightedMinAge16),MAX(CapacityAge16*АбонементНовых*BA9,MeanMinAge16)))</f>
        <v/>
      </c>
      <c r="BB63" s="87">
        <f>IF(OR(BB36=0,16&lt;=КаникулыРоялти),0,BB36*IF(РоялтиПоГруппам="Да",MeanMinAge16+BB9*SUMIF(ThresholdAge16,"&lt;"&amp;BB9,WeightedRevAge16)-SUMIF(ThresholdAge16,"&lt;"&amp;BB9,WeightedMinAge16),MAX(CapacityAge16*АбонементНовых*BB9,MeanMinAge16)))</f>
        <v/>
      </c>
      <c r="BC63" s="87">
        <f>IF(OR(BC36=0,16&lt;=КаникулыРоялти),0,BC36*IF(РоялтиПоГруппам="Да",MeanMinAge16+BC9*SUMIF(ThresholdAge16,"&lt;"&amp;BC9,WeightedRevAge16)-SUMIF(ThresholdAge16,"&lt;"&amp;BC9,WeightedMinAge16),MAX(CapacityAge16*АбонементНовых*BC9,MeanMinAge16)))</f>
        <v/>
      </c>
      <c r="BD63" s="87">
        <f>IF(OR(BD36=0,16&lt;=КаникулыРоялти),0,BD36*IF(РоялтиПоГруппам="Да",MeanMinAge16+BD9*SUMIF(ThresholdAge16,"&lt;"&amp;BD9,WeightedRevAge16)-SUMIF(ThresholdAge16,"&lt;"&amp;BD9,WeightedMinAge16),MAX(CapacityAge16*АбонементНовых*BD9,MeanMinAge16)))</f>
        <v/>
      </c>
      <c r="BE63" s="87">
        <f>IF(OR(BE36=0,16&lt;=КаникулыРоялти),0,BE36*IF(РоялтиПоГруппам="Да",MeanMinAge16+BE9*SUMIF(ThresholdAge16,"&lt;"&amp;BE9,WeightedRevAge16)-SUMIF(ThresholdAge16,"&lt;"&amp;BE9,WeightedMinAge16),MAX(CapacityAge16*АбонементНовых*BE9,MeanMinAge16)))</f>
        <v/>
      </c>
      <c r="BF63" s="87">
        <f>IF(OR(BF36=0,16&lt;=КаникулыРоялти),0,BF36*IF(РоялтиПоГруппам="Да",MeanMinAge16+BF9*SUMIF(ThresholdAge16,"&lt;"&amp;BF9,WeightedRevAge16)-SUMIF(ThresholdAge16,"&lt;"&amp;BF9,WeightedMinAge16),MAX(CapacityAge16*АбонементНовых*BF9,MeanMinAge16)))</f>
        <v/>
      </c>
      <c r="BG63" s="87">
        <f>IF(OR(BG36=0,16&lt;=КаникулыРоялти),0,BG36*IF(РоялтиПоГруппам="Да",MeanMinAge16+BG9*SUMIF(ThresholdAge16,"&lt;"&amp;BG9,WeightedRevAge16)-SUMIF(ThresholdAge16,"&lt;"&amp;BG9,WeightedMinAge16),MAX(CapacityAge16*АбонементНовых*BG9,MeanMinAge16)))</f>
        <v/>
      </c>
      <c r="BH63" s="87">
        <f>IF(OR(BH36=0,16&lt;=КаникулыРоялти),0,BH36*IF(РоялтиПоГруппам="Да",MeanMinAge16+BH9*SUMIF(ThresholdAge16,"&lt;"&amp;BH9,WeightedRevAge16)-SUMIF(ThresholdAge16,"&lt;"&amp;BH9,WeightedMinAge16),MAX(CapacityAge16*АбонементНовых*BH9,MeanMinAge16)))</f>
        <v/>
      </c>
      <c r="BI63" s="87">
        <f>IF(OR(BI36=0,16&lt;=КаникулыРоялти),0,BI36*IF(РоялтиПоГруппам="Да",MeanMinAge16+BI9*SUMIF(ThresholdAge16,"&lt;"&amp;BI9,WeightedRevAge16)-SUMIF(ThresholdAge16,"&lt;"&amp;BI9,WeightedMinAge16),MAX(CapacityAge16*АбонементНовых*BI9,MeanMinAge16)))</f>
        <v/>
      </c>
      <c r="BJ63" s="87">
        <f>IF(OR(BJ36=0,16&lt;=КаникулыРоялти),0,BJ36*IF(РоялтиПоГруппам="Да",MeanMinAge16+BJ9*SUMIF(ThresholdAge16,"&lt;"&amp;BJ9,WeightedRevAge16)-SUMIF(ThresholdAge16,"&lt;"&amp;BJ9,WeightedMinAge16),MAX(CapacityAge16*АбонементНовых*BJ9,MeanMinAge16)))</f>
        <v/>
      </c>
      <c r="BK63" s="87">
        <f>IF(OR(BK36=0,16&lt;=КаникулыРоялти),0,BK36*IF(РоялтиПоГруппам="Да",MeanMinAge16+BK9*SUMIF(ThresholdAge16,"&lt;"&amp;BK9,WeightedRevAge16)-SUMIF(ThresholdAge16,"&lt;"&amp;BK9,WeightedMinAge16),MAX(CapacityAge16*АбонементНовых*BK9,MeanMinAge16)))</f>
        <v/>
      </c>
      <c r="BL63" s="87">
        <f>IF(OR(BL36=0,16&lt;=КаникулыРоялти),0,BL36*IF(РоялтиПоГруппам="Да",MeanMinAge16+BL9*SUMIF(ThresholdAge16,"&lt;"&amp;BL9,WeightedRevAge16)-SUMIF(ThresholdAge16,"&lt;"&amp;BL9,WeightedMinAge16),MAX(CapacityAge16*АбонементНовых*BL9,MeanMinAge16)))</f>
        <v/>
      </c>
      <c r="BM63" s="87">
        <f>IF(OR(BM36=0,16&lt;=КаникулыРоялти),0,BM36*IF(РоялтиПоГруппам="Да",MeanMinAge16+BM9*SUMIF(ThresholdAge16,"&lt;"&amp;BM9,WeightedRevAge16)-SUMIF(ThresholdAge16,"&lt;"&amp;BM9,WeightedMinAge16),MAX(CapacityAge16*АбонементНовых*BM9,MeanMinAge16)))</f>
        <v/>
      </c>
      <c r="BN63" s="87">
        <f>IF(OR(BN36=0,16&lt;=КаникулыРоялти),0,BN36*IF(РоялтиПоГруппам="Да",MeanMinAge16+BN9*SUMIF(ThresholdAge16,"&lt;"&amp;BN9,WeightedRevAge16)-SUMIF(ThresholdAge16,"&lt;"&amp;BN9,WeightedMinAge16),MAX(CapacityAge16*АбонементНовых*BN9,MeanMinAge16)))</f>
        <v/>
      </c>
      <c r="BO63" s="87">
        <f>IF(OR(BO36=0,16&lt;=КаникулыРоялти),0,BO36*IF(РоялтиПоГруппам="Да",MeanMinAge16+BO9*SUMIF(ThresholdAge16,"&lt;"&amp;BO9,WeightedRevAge16)-SUMIF(ThresholdAge16,"&lt;"&amp;BO9,WeightedMinAge16),MAX(CapacityAge16*АбонементНовых*BO9,MeanMinAge16)))</f>
        <v/>
      </c>
      <c r="BP63" s="87">
        <f>IF(OR(BP36=0,16&lt;=КаникулыРоялти),0,BP36*IF(РоялтиПоГруппам="Да",MeanMinAge16+BP9*SUMIF(ThresholdAge16,"&lt;"&amp;BP9,WeightedRevAge16)-SUMIF(ThresholdAge16,"&lt;"&amp;BP9,WeightedMinAge16),MAX(CapacityAge16*АбонементНовых*BP9,MeanMinAge16)))</f>
        <v/>
      </c>
      <c r="BQ63" s="87">
        <f>IF(OR(BQ36=0,16&lt;=КаникулыРоялти),0,BQ36*IF(РоялтиПоГруппам="Да",MeanMinAge16+BQ9*SUMIF(ThresholdAge16,"&lt;"&amp;BQ9,WeightedRevAge16)-SUMIF(ThresholdAge16,"&lt;"&amp;BQ9,WeightedMinAge16),MAX(CapacityAge16*АбонементНовых*BQ9,MeanMinAge16)))</f>
        <v/>
      </c>
      <c r="BR63" s="87">
        <f>IF(OR(BR36=0,16&lt;=КаникулыРоялти),0,BR36*IF(РоялтиПоГруппам="Да",MeanMinAge16+BR9*SUMIF(ThresholdAge16,"&lt;"&amp;BR9,WeightedRevAge16)-SUMIF(ThresholdAge16,"&lt;"&amp;BR9,WeightedMinAge16),MAX(CapacityAge16*АбонементНовых*BR9,MeanMinAge16)))</f>
        <v/>
      </c>
      <c r="BS63" s="87">
        <f>IF(OR(BS36=0,16&lt;=КаникулыРоялти),0,BS36*IF(РоялтиПоГруппам="Да",MeanMinAge16+BS9*SUMIF(ThresholdAge16,"&lt;"&amp;BS9,WeightedRevAge16)-SUMIF(ThresholdAge16,"&lt;"&amp;BS9,WeightedMinAge16),MAX(CapacityAge16*АбонементНовых*BS9,MeanMinAge16)))</f>
        <v/>
      </c>
      <c r="BT63" s="87">
        <f>IF(OR(BT36=0,16&lt;=КаникулыРоялти),0,BT36*IF(РоялтиПоГруппам="Да",MeanMinAge16+BT9*SUMIF(ThresholdAge16,"&lt;"&amp;BT9,WeightedRevAge16)-SUMIF(ThresholdAge16,"&lt;"&amp;BT9,WeightedMinAge16),MAX(CapacityAge16*АбонементНовых*BT9,MeanMinAge16)))</f>
        <v/>
      </c>
      <c r="BU63" s="87">
        <f>IF(OR(BU36=0,16&lt;=КаникулыРоялти),0,BU36*IF(РоялтиПоГруппам="Да",MeanMinAge16+BU9*SUMIF(ThresholdAge16,"&lt;"&amp;BU9,WeightedRevAge16)-SUMIF(ThresholdAge16,"&lt;"&amp;BU9,WeightedMinAge16),MAX(CapacityAge16*АбонементНовых*BU9,MeanMinAge16)))</f>
        <v/>
      </c>
      <c r="BV63" s="87">
        <f>IF(OR(BV36=0,16&lt;=КаникулыРоялти),0,BV36*IF(РоялтиПоГруппам="Да",MeanMinAge16+BV9*SUMIF(ThresholdAge16,"&lt;"&amp;BV9,WeightedRevAge16)-SUMIF(ThresholdAge16,"&lt;"&amp;BV9,WeightedMinAge16),MAX(CapacityAge16*АбонементНовых*BV9,MeanMinAge16)))</f>
        <v/>
      </c>
      <c r="BW63" s="87">
        <f>IF(OR(BW36=0,16&lt;=КаникулыРоялти),0,BW36*IF(РоялтиПоГруппам="Да",MeanMinAge16+BW9*SUMIF(ThresholdAge16,"&lt;"&amp;BW9,WeightedRevAge16)-SUMIF(ThresholdAge16,"&lt;"&amp;BW9,WeightedMinAge16),MAX(CapacityAge16*АбонементНовых*BW9,MeanMinAge16)))</f>
        <v/>
      </c>
      <c r="BX63" s="87">
        <f>IF(OR(BX36=0,16&lt;=КаникулыРоялти),0,BX36*IF(РоялтиПоГруппам="Да",MeanMinAge16+BX9*SUMIF(ThresholdAge16,"&lt;"&amp;BX9,WeightedRevAge16)-SUMIF(ThresholdAge16,"&lt;"&amp;BX9,WeightedMinAge16),MAX(CapacityAge16*АбонементНовых*BX9,MeanMinAge16)))</f>
        <v/>
      </c>
      <c r="BY63" s="87">
        <f>IF(OR(BY36=0,16&lt;=КаникулыРоялти),0,BY36*IF(РоялтиПоГруппам="Да",MeanMinAge16+BY9*SUMIF(ThresholdAge16,"&lt;"&amp;BY9,WeightedRevAge16)-SUMIF(ThresholdAge16,"&lt;"&amp;BY9,WeightedMinAge16),MAX(CapacityAge16*АбонементНовых*BY9,MeanMinAge16)))</f>
        <v/>
      </c>
    </row>
    <row r="64" ht="15.75" customHeight="1" s="194">
      <c r="B64" s="56" t="inlineStr">
        <is>
          <t>17 мес.</t>
        </is>
      </c>
      <c r="C64" s="56" t="inlineStr">
        <is>
          <t>₽</t>
        </is>
      </c>
      <c r="D64" s="57" t="n"/>
      <c r="E64" s="85">
        <f>SUM(L64:W64)</f>
        <v/>
      </c>
      <c r="F64" s="85">
        <f>SUM(X64:AI64)</f>
        <v/>
      </c>
      <c r="G64" s="85">
        <f>SUM(AJ64:AU64)</f>
        <v/>
      </c>
      <c r="H64" s="85">
        <f>SUM(AV64:BG64)</f>
        <v/>
      </c>
      <c r="I64" s="85">
        <f>SUM(BH64:BS64)</f>
        <v/>
      </c>
      <c r="J64" s="86">
        <f>SUM(L64:BS64)</f>
        <v/>
      </c>
      <c r="L64" s="87">
        <f>IF(OR(L37=0,17&lt;=КаникулыРоялти),0,L37*IF(РоялтиПоГруппам="Да",MeanMinAge17+L9*SUMIF(ThresholdAge17,"&lt;"&amp;L9,WeightedRevAge17)-SUMIF(ThresholdAge17,"&lt;"&amp;L9,WeightedMinAge17),MAX(CapacityAge17*АбонементНовых*L9,MeanMinAge17)))</f>
        <v/>
      </c>
      <c r="M64" s="87">
        <f>IF(OR(M37=0,17&lt;=КаникулыРоялти),0,M37*IF(РоялтиПоГруппам="Да",MeanMinAge17+M9*SUMIF(ThresholdAge17,"&lt;"&amp;M9,WeightedRevAge17)-SUMIF(ThresholdAge17,"&lt;"&amp;M9,WeightedMinAge17),MAX(CapacityAge17*АбонементНовых*M9,MeanMinAge17)))</f>
        <v/>
      </c>
      <c r="N64" s="87">
        <f>IF(OR(N37=0,17&lt;=КаникулыРоялти),0,N37*IF(РоялтиПоГруппам="Да",MeanMinAge17+N9*SUMIF(ThresholdAge17,"&lt;"&amp;N9,WeightedRevAge17)-SUMIF(ThresholdAge17,"&lt;"&amp;N9,WeightedMinAge17),MAX(CapacityAge17*АбонементНовых*N9,MeanMinAge17)))</f>
        <v/>
      </c>
      <c r="O64" s="87">
        <f>IF(OR(O37=0,17&lt;=КаникулыРоялти),0,O37*IF(РоялтиПоГруппам="Да",MeanMinAge17+O9*SUMIF(ThresholdAge17,"&lt;"&amp;O9,WeightedRevAge17)-SUMIF(ThresholdAge17,"&lt;"&amp;O9,WeightedMinAge17),MAX(CapacityAge17*АбонементНовых*O9,MeanMinAge17)))</f>
        <v/>
      </c>
      <c r="P64" s="87">
        <f>IF(OR(P37=0,17&lt;=КаникулыРоялти),0,P37*IF(РоялтиПоГруппам="Да",MeanMinAge17+P9*SUMIF(ThresholdAge17,"&lt;"&amp;P9,WeightedRevAge17)-SUMIF(ThresholdAge17,"&lt;"&amp;P9,WeightedMinAge17),MAX(CapacityAge17*АбонементНовых*P9,MeanMinAge17)))</f>
        <v/>
      </c>
      <c r="Q64" s="87">
        <f>IF(OR(Q37=0,17&lt;=КаникулыРоялти),0,Q37*IF(РоялтиПоГруппам="Да",MeanMinAge17+Q9*SUMIF(ThresholdAge17,"&lt;"&amp;Q9,WeightedRevAge17)-SUMIF(ThresholdAge17,"&lt;"&amp;Q9,WeightedMinAge17),MAX(CapacityAge17*АбонементНовых*Q9,MeanMinAge17)))</f>
        <v/>
      </c>
      <c r="R64" s="87">
        <f>IF(OR(R37=0,17&lt;=КаникулыРоялти),0,R37*IF(РоялтиПоГруппам="Да",MeanMinAge17+R9*SUMIF(ThresholdAge17,"&lt;"&amp;R9,WeightedRevAge17)-SUMIF(ThresholdAge17,"&lt;"&amp;R9,WeightedMinAge17),MAX(CapacityAge17*АбонементНовых*R9,MeanMinAge17)))</f>
        <v/>
      </c>
      <c r="S64" s="87">
        <f>IF(OR(S37=0,17&lt;=КаникулыРоялти),0,S37*IF(РоялтиПоГруппам="Да",MeanMinAge17+S9*SUMIF(ThresholdAge17,"&lt;"&amp;S9,WeightedRevAge17)-SUMIF(ThresholdAge17,"&lt;"&amp;S9,WeightedMinAge17),MAX(CapacityAge17*АбонементНовых*S9,MeanMinAge17)))</f>
        <v/>
      </c>
      <c r="T64" s="87">
        <f>IF(OR(T37=0,17&lt;=КаникулыРоялти),0,T37*IF(РоялтиПоГруппам="Да",MeanMinAge17+T9*SUMIF(ThresholdAge17,"&lt;"&amp;T9,WeightedRevAge17)-SUMIF(ThresholdAge17,"&lt;"&amp;T9,WeightedMinAge17),MAX(CapacityAge17*АбонементНовых*T9,MeanMinAge17)))</f>
        <v/>
      </c>
      <c r="U64" s="87">
        <f>IF(OR(U37=0,17&lt;=КаникулыРоялти),0,U37*IF(РоялтиПоГруппам="Да",MeanMinAge17+U9*SUMIF(ThresholdAge17,"&lt;"&amp;U9,WeightedRevAge17)-SUMIF(ThresholdAge17,"&lt;"&amp;U9,WeightedMinAge17),MAX(CapacityAge17*АбонементНовых*U9,MeanMinAge17)))</f>
        <v/>
      </c>
      <c r="V64" s="87">
        <f>IF(OR(V37=0,17&lt;=КаникулыРоялти),0,V37*IF(РоялтиПоГруппам="Да",MeanMinAge17+V9*SUMIF(ThresholdAge17,"&lt;"&amp;V9,WeightedRevAge17)-SUMIF(ThresholdAge17,"&lt;"&amp;V9,WeightedMinAge17),MAX(CapacityAge17*АбонементНовых*V9,MeanMinAge17)))</f>
        <v/>
      </c>
      <c r="W64" s="87">
        <f>IF(OR(W37=0,17&lt;=КаникулыРоялти),0,W37*IF(РоялтиПоГруппам="Да",MeanMinAge17+W9*SUMIF(ThresholdAge17,"&lt;"&amp;W9,WeightedRevAge17)-SUMIF(ThresholdAge17,"&lt;"&amp;W9,WeightedMinAge17),MAX(CapacityAge17*АбонементНовых*W9,MeanMinAge17)))</f>
        <v/>
      </c>
      <c r="X64" s="87">
        <f>IF(OR(X37=0,17&lt;=КаникулыРоялти),0,X37*IF(РоялтиПоГруппам="Да",MeanMinAge17+X9*SUMIF(ThresholdAge17,"&lt;"&amp;X9,WeightedRevAge17)-SUMIF(ThresholdAge17,"&lt;"&amp;X9,WeightedMinAge17),MAX(CapacityAge17*АбонементНовых*X9,MeanMinAge17)))</f>
        <v/>
      </c>
      <c r="Y64" s="87">
        <f>IF(OR(Y37=0,17&lt;=КаникулыРоялти),0,Y37*IF(РоялтиПоГруппам="Да",MeanMinAge17+Y9*SUMIF(ThresholdAge17,"&lt;"&amp;Y9,WeightedRevAge17)-SUMIF(ThresholdAge17,"&lt;"&amp;Y9,WeightedMinAge17),MAX(CapacityAge17*АбонементНовых*Y9,MeanMinAge17)))</f>
        <v/>
      </c>
      <c r="Z64" s="87">
        <f>IF(OR(Z37=0,17&lt;=КаникулыРоялти),0,Z37*IF(РоялтиПоГруппам="Да",MeanMinAge17+Z9*SUMIF(ThresholdAge17,"&lt;"&amp;Z9,WeightedRevAge17)-SUMIF(ThresholdAge17,"&lt;"&amp;Z9,WeightedMinAge17),MAX(CapacityAge17*АбонементНовых*Z9,MeanMinAge17)))</f>
        <v/>
      </c>
      <c r="AA64" s="87">
        <f>IF(OR(AA37=0,17&lt;=КаникулыРоялти),0,AA37*IF(РоялтиПоГруппам="Да",MeanMinAge17+AA9*SUMIF(ThresholdAge17,"&lt;"&amp;AA9,WeightedRevAge17)-SUMIF(ThresholdAge17,"&lt;"&amp;AA9,WeightedMinAge17),MAX(CapacityAge17*АбонементНовых*AA9,MeanMinAge17)))</f>
        <v/>
      </c>
      <c r="AB64" s="87">
        <f>IF(OR(AB37=0,17&lt;=КаникулыРоялти),0,AB37*IF(РоялтиПоГруппам="Да",MeanMinAge17+AB9*SUMIF(ThresholdAge17,"&lt;"&amp;AB9,WeightedRevAge17)-SUMIF(ThresholdAge17,"&lt;"&amp;AB9,WeightedMinAge17),MAX(CapacityAge17*АбонементНовых*AB9,MeanMinAge17)))</f>
        <v/>
      </c>
      <c r="AC64" s="87">
        <f>IF(OR(AC37=0,17&lt;=КаникулыРоялти),0,AC37*IF(РоялтиПоГруппам="Да",MeanMinAge17+AC9*SUMIF(ThresholdAge17,"&lt;"&amp;AC9,WeightedRevAge17)-SUMIF(ThresholdAge17,"&lt;"&amp;AC9,WeightedMinAge17),MAX(CapacityAge17*АбонементНовых*AC9,MeanMinAge17)))</f>
        <v/>
      </c>
      <c r="AD64" s="87">
        <f>IF(OR(AD37=0,17&lt;=КаникулыРоялти),0,AD37*IF(РоялтиПоГруппам="Да",MeanMinAge17+AD9*SUMIF(ThresholdAge17,"&lt;"&amp;AD9,WeightedRevAge17)-SUMIF(ThresholdAge17,"&lt;"&amp;AD9,WeightedMinAge17),MAX(CapacityAge17*АбонементНовых*AD9,MeanMinAge17)))</f>
        <v/>
      </c>
      <c r="AE64" s="87">
        <f>IF(OR(AE37=0,17&lt;=КаникулыРоялти),0,AE37*IF(РоялтиПоГруппам="Да",MeanMinAge17+AE9*SUMIF(ThresholdAge17,"&lt;"&amp;AE9,WeightedRevAge17)-SUMIF(ThresholdAge17,"&lt;"&amp;AE9,WeightedMinAge17),MAX(CapacityAge17*АбонементНовых*AE9,MeanMinAge17)))</f>
        <v/>
      </c>
      <c r="AF64" s="87">
        <f>IF(OR(AF37=0,17&lt;=КаникулыРоялти),0,AF37*IF(РоялтиПоГруппам="Да",MeanMinAge17+AF9*SUMIF(ThresholdAge17,"&lt;"&amp;AF9,WeightedRevAge17)-SUMIF(ThresholdAge17,"&lt;"&amp;AF9,WeightedMinAge17),MAX(CapacityAge17*АбонементНовых*AF9,MeanMinAge17)))</f>
        <v/>
      </c>
      <c r="AG64" s="87">
        <f>IF(OR(AG37=0,17&lt;=КаникулыРоялти),0,AG37*IF(РоялтиПоГруппам="Да",MeanMinAge17+AG9*SUMIF(ThresholdAge17,"&lt;"&amp;AG9,WeightedRevAge17)-SUMIF(ThresholdAge17,"&lt;"&amp;AG9,WeightedMinAge17),MAX(CapacityAge17*АбонементНовых*AG9,MeanMinAge17)))</f>
        <v/>
      </c>
      <c r="AH64" s="87">
        <f>IF(OR(AH37=0,17&lt;=КаникулыРоялти),0,AH37*IF(РоялтиПоГруппам="Да",MeanMinAge17+AH9*SUMIF(ThresholdAge17,"&lt;"&amp;AH9,WeightedRevAge17)-SUMIF(ThresholdAge17,"&lt;"&amp;AH9,WeightedMinAge17),MAX(CapacityAge17*АбонементНовых*AH9,MeanMinAge17)))</f>
        <v/>
      </c>
      <c r="AI64" s="87">
        <f>IF(OR(AI37=0,17&lt;=КаникулыРоялти),0,AI37*IF(РоялтиПоГруппам="Да",MeanMinAge17+AI9*SUMIF(ThresholdAge17,"&lt;"&amp;AI9,WeightedRevAge17)-SUMIF(ThresholdAge17,"&lt;"&amp;AI9,WeightedMinAge17),MAX(CapacityAge17*АбонементНовых*AI9,MeanMinAge17)))</f>
        <v/>
      </c>
      <c r="AJ64" s="87">
        <f>IF(OR(AJ37=0,17&lt;=КаникулыРоялти),0,AJ37*IF(РоялтиПоГруппам="Да",MeanMinAge17+AJ9*SUMIF(ThresholdAge17,"&lt;"&amp;AJ9,WeightedRevAge17)-SUMIF(ThresholdAge17,"&lt;"&amp;AJ9,WeightedMinAge17),MAX(CapacityAge17*АбонементНовых*AJ9,MeanMinAge17)))</f>
        <v/>
      </c>
      <c r="AK64" s="87">
        <f>IF(OR(AK37=0,17&lt;=КаникулыРоялти),0,AK37*IF(РоялтиПоГруппам="Да",MeanMinAge17+AK9*SUMIF(ThresholdAge17,"&lt;"&amp;AK9,WeightedRevAge17)-SUMIF(ThresholdAge17,"&lt;"&amp;AK9,WeightedMinAge17),MAX(CapacityAge17*АбонементНовых*AK9,MeanMinAge17)))</f>
        <v/>
      </c>
      <c r="AL64" s="87">
        <f>IF(OR(AL37=0,17&lt;=КаникулыРоялти),0,AL37*IF(РоялтиПоГруппам="Да",MeanMinAge17+AL9*SUMIF(ThresholdAge17,"&lt;"&amp;AL9,WeightedRevAge17)-SUMIF(ThresholdAge17,"&lt;"&amp;AL9,WeightedMinAge17),MAX(CapacityAge17*АбонементНовых*AL9,MeanMinAge17)))</f>
        <v/>
      </c>
      <c r="AM64" s="87">
        <f>IF(OR(AM37=0,17&lt;=КаникулыРоялти),0,AM37*IF(РоялтиПоГруппам="Да",MeanMinAge17+AM9*SUMIF(ThresholdAge17,"&lt;"&amp;AM9,WeightedRevAge17)-SUMIF(ThresholdAge17,"&lt;"&amp;AM9,WeightedMinAge17),MAX(CapacityAge17*АбонементНовых*AM9,MeanMinAge17)))</f>
        <v/>
      </c>
      <c r="AN64" s="87">
        <f>IF(OR(AN37=0,17&lt;=КаникулыРоялти),0,AN37*IF(РоялтиПоГруппам="Да",MeanMinAge17+AN9*SUMIF(ThresholdAge17,"&lt;"&amp;AN9,WeightedRevAge17)-SUMIF(ThresholdAge17,"&lt;"&amp;AN9,WeightedMinAge17),MAX(CapacityAge17*АбонементНовых*AN9,MeanMinAge17)))</f>
        <v/>
      </c>
      <c r="AO64" s="87">
        <f>IF(OR(AO37=0,17&lt;=КаникулыРоялти),0,AO37*IF(РоялтиПоГруппам="Да",MeanMinAge17+AO9*SUMIF(ThresholdAge17,"&lt;"&amp;AO9,WeightedRevAge17)-SUMIF(ThresholdAge17,"&lt;"&amp;AO9,WeightedMinAge17),MAX(CapacityAge17*АбонементНовых*AO9,MeanMinAge17)))</f>
        <v/>
      </c>
      <c r="AP64" s="87">
        <f>IF(OR(AP37=0,17&lt;=КаникулыРоялти),0,AP37*IF(РоялтиПоГруппам="Да",MeanMinAge17+AP9*SUMIF(ThresholdAge17,"&lt;"&amp;AP9,WeightedRevAge17)-SUMIF(ThresholdAge17,"&lt;"&amp;AP9,WeightedMinAge17),MAX(CapacityAge17*АбонементНовых*AP9,MeanMinAge17)))</f>
        <v/>
      </c>
      <c r="AQ64" s="87">
        <f>IF(OR(AQ37=0,17&lt;=КаникулыРоялти),0,AQ37*IF(РоялтиПоГруппам="Да",MeanMinAge17+AQ9*SUMIF(ThresholdAge17,"&lt;"&amp;AQ9,WeightedRevAge17)-SUMIF(ThresholdAge17,"&lt;"&amp;AQ9,WeightedMinAge17),MAX(CapacityAge17*АбонементНовых*AQ9,MeanMinAge17)))</f>
        <v/>
      </c>
      <c r="AR64" s="87">
        <f>IF(OR(AR37=0,17&lt;=КаникулыРоялти),0,AR37*IF(РоялтиПоГруппам="Да",MeanMinAge17+AR9*SUMIF(ThresholdAge17,"&lt;"&amp;AR9,WeightedRevAge17)-SUMIF(ThresholdAge17,"&lt;"&amp;AR9,WeightedMinAge17),MAX(CapacityAge17*АбонементНовых*AR9,MeanMinAge17)))</f>
        <v/>
      </c>
      <c r="AS64" s="87">
        <f>IF(OR(AS37=0,17&lt;=КаникулыРоялти),0,AS37*IF(РоялтиПоГруппам="Да",MeanMinAge17+AS9*SUMIF(ThresholdAge17,"&lt;"&amp;AS9,WeightedRevAge17)-SUMIF(ThresholdAge17,"&lt;"&amp;AS9,WeightedMinAge17),MAX(CapacityAge17*АбонементНовых*AS9,MeanMinAge17)))</f>
        <v/>
      </c>
      <c r="AT64" s="87">
        <f>IF(OR(AT37=0,17&lt;=КаникулыРоялти),0,AT37*IF(РоялтиПоГруппам="Да",MeanMinAge17+AT9*SUMIF(ThresholdAge17,"&lt;"&amp;AT9,WeightedRevAge17)-SUMIF(ThresholdAge17,"&lt;"&amp;AT9,WeightedMinAge17),MAX(CapacityAge17*АбонементНовых*AT9,MeanMinAge17)))</f>
        <v/>
      </c>
      <c r="AU64" s="87">
        <f>IF(OR(AU37=0,17&lt;=КаникулыРоялти),0,AU37*IF(РоялтиПоГруппам="Да",MeanMinAge17+AU9*SUMIF(ThresholdAge17,"&lt;"&amp;AU9,WeightedRevAge17)-SUMIF(ThresholdAge17,"&lt;"&amp;AU9,WeightedMinAge17),MAX(CapacityAge17*АбонементНовых*AU9,MeanMinAge17)))</f>
        <v/>
      </c>
      <c r="AV64" s="87">
        <f>IF(OR(AV37=0,17&lt;=КаникулыРоялти),0,AV37*IF(РоялтиПоГруппам="Да",MeanMinAge17+AV9*SUMIF(ThresholdAge17,"&lt;"&amp;AV9,WeightedRevAge17)-SUMIF(ThresholdAge17,"&lt;"&amp;AV9,WeightedMinAge17),MAX(CapacityAge17*АбонементНовых*AV9,MeanMinAge17)))</f>
        <v/>
      </c>
      <c r="AW64" s="87">
        <f>IF(OR(AW37=0,17&lt;=КаникулыРоялти),0,AW37*IF(РоялтиПоГруппам="Да",MeanMinAge17+AW9*SUMIF(ThresholdAge17,"&lt;"&amp;AW9,WeightedRevAge17)-SUMIF(ThresholdAge17,"&lt;"&amp;AW9,WeightedMinAge17),MAX(CapacityAge17*АбонементНовых*AW9,MeanMinAge17)))</f>
        <v/>
      </c>
      <c r="AX64" s="87">
        <f>IF(OR(AX37=0,17&lt;=КаникулыРоялти),0,AX37*IF(РоялтиПоГруппам="Да",MeanMinAge17+AX9*SUMIF(ThresholdAge17,"&lt;"&amp;AX9,WeightedRevAge17)-SUMIF(ThresholdAge17,"&lt;"&amp;AX9,WeightedMinAge17),MAX(CapacityAge17*АбонементНовых*AX9,MeanMinAge17)))</f>
        <v/>
      </c>
      <c r="AY64" s="87">
        <f>IF(OR(AY37=0,17&lt;=КаникулыРоялти),0,AY37*IF(РоялтиПоГруппам="Да",MeanMinAge17+AY9*SUMIF(ThresholdAge17,"&lt;"&amp;AY9,WeightedRevAge17)-SUMIF(ThresholdAge17,"&lt;"&amp;AY9,WeightedMinAge17),MAX(CapacityAge17*АбонементНовых*AY9,MeanMinAge17)))</f>
        <v/>
      </c>
      <c r="AZ64" s="87">
        <f>IF(OR(AZ37=0,17&lt;=КаникулыРоялти),0,AZ37*IF(РоялтиПоГруппам="Да",MeanMinAge17+AZ9*SUMIF(ThresholdAge17,"&lt;"&amp;AZ9,WeightedRevAge17)-SUMIF(ThresholdAge17,"&lt;"&amp;AZ9,WeightedMinAge17),MAX(CapacityAge17*АбонементНовых*AZ9,MeanMinAge17)))</f>
        <v/>
      </c>
      <c r="BA64" s="87">
        <f>IF(OR(BA37=0,17&lt;=КаникулыРоялти),0,BA37*IF(РоялтиПоГруппам="Да",MeanMinAge17+BA9*SUMIF(ThresholdAge17,"&lt;"&amp;BA9,WeightedRevAge17)-SUMIF(ThresholdAge17,"&lt;"&amp;BA9,WeightedMinAge17),MAX(CapacityAge17*АбонементНовых*BA9,MeanMinAge17)))</f>
        <v/>
      </c>
      <c r="BB64" s="87">
        <f>IF(OR(BB37=0,17&lt;=КаникулыРоялти),0,BB37*IF(РоялтиПоГруппам="Да",MeanMinAge17+BB9*SUMIF(ThresholdAge17,"&lt;"&amp;BB9,WeightedRevAge17)-SUMIF(ThresholdAge17,"&lt;"&amp;BB9,WeightedMinAge17),MAX(CapacityAge17*АбонементНовых*BB9,MeanMinAge17)))</f>
        <v/>
      </c>
      <c r="BC64" s="87">
        <f>IF(OR(BC37=0,17&lt;=КаникулыРоялти),0,BC37*IF(РоялтиПоГруппам="Да",MeanMinAge17+BC9*SUMIF(ThresholdAge17,"&lt;"&amp;BC9,WeightedRevAge17)-SUMIF(ThresholdAge17,"&lt;"&amp;BC9,WeightedMinAge17),MAX(CapacityAge17*АбонементНовых*BC9,MeanMinAge17)))</f>
        <v/>
      </c>
      <c r="BD64" s="87">
        <f>IF(OR(BD37=0,17&lt;=КаникулыРоялти),0,BD37*IF(РоялтиПоГруппам="Да",MeanMinAge17+BD9*SUMIF(ThresholdAge17,"&lt;"&amp;BD9,WeightedRevAge17)-SUMIF(ThresholdAge17,"&lt;"&amp;BD9,WeightedMinAge17),MAX(CapacityAge17*АбонементНовых*BD9,MeanMinAge17)))</f>
        <v/>
      </c>
      <c r="BE64" s="87">
        <f>IF(OR(BE37=0,17&lt;=КаникулыРоялти),0,BE37*IF(РоялтиПоГруппам="Да",MeanMinAge17+BE9*SUMIF(ThresholdAge17,"&lt;"&amp;BE9,WeightedRevAge17)-SUMIF(ThresholdAge17,"&lt;"&amp;BE9,WeightedMinAge17),MAX(CapacityAge17*АбонементНовых*BE9,MeanMinAge17)))</f>
        <v/>
      </c>
      <c r="BF64" s="87">
        <f>IF(OR(BF37=0,17&lt;=КаникулыРоялти),0,BF37*IF(РоялтиПоГруппам="Да",MeanMinAge17+BF9*SUMIF(ThresholdAge17,"&lt;"&amp;BF9,WeightedRevAge17)-SUMIF(ThresholdAge17,"&lt;"&amp;BF9,WeightedMinAge17),MAX(CapacityAge17*АбонементНовых*BF9,MeanMinAge17)))</f>
        <v/>
      </c>
      <c r="BG64" s="87">
        <f>IF(OR(BG37=0,17&lt;=КаникулыРоялти),0,BG37*IF(РоялтиПоГруппам="Да",MeanMinAge17+BG9*SUMIF(ThresholdAge17,"&lt;"&amp;BG9,WeightedRevAge17)-SUMIF(ThresholdAge17,"&lt;"&amp;BG9,WeightedMinAge17),MAX(CapacityAge17*АбонементНовых*BG9,MeanMinAge17)))</f>
        <v/>
      </c>
      <c r="BH64" s="87">
        <f>IF(OR(BH37=0,17&lt;=КаникулыРоялти),0,BH37*IF(РоялтиПоГруппам="Да",MeanMinAge17+BH9*SUMIF(ThresholdAge17,"&lt;"&amp;BH9,WeightedRevAge17)-SUMIF(ThresholdAge17,"&lt;"&amp;BH9,WeightedMinAge17),MAX(CapacityAge17*АбонементНовых*BH9,MeanMinAge17)))</f>
        <v/>
      </c>
      <c r="BI64" s="87">
        <f>IF(OR(BI37=0,17&lt;=КаникулыРоялти),0,BI37*IF(РоялтиПоГруппам="Да",MeanMinAge17+BI9*SUMIF(ThresholdAge17,"&lt;"&amp;BI9,WeightedRevAge17)-SUMIF(ThresholdAge17,"&lt;"&amp;BI9,WeightedMinAge17),MAX(CapacityAge17*АбонементНовых*BI9,MeanMinAge17)))</f>
        <v/>
      </c>
      <c r="BJ64" s="87">
        <f>IF(OR(BJ37=0,17&lt;=КаникулыРоялти),0,BJ37*IF(РоялтиПоГруппам="Да",MeanMinAge17+BJ9*SUMIF(ThresholdAge17,"&lt;"&amp;BJ9,WeightedRevAge17)-SUMIF(ThresholdAge17,"&lt;"&amp;BJ9,WeightedMinAge17),MAX(CapacityAge17*АбонементНовых*BJ9,MeanMinAge17)))</f>
        <v/>
      </c>
      <c r="BK64" s="87">
        <f>IF(OR(BK37=0,17&lt;=КаникулыРоялти),0,BK37*IF(РоялтиПоГруппам="Да",MeanMinAge17+BK9*SUMIF(ThresholdAge17,"&lt;"&amp;BK9,WeightedRevAge17)-SUMIF(ThresholdAge17,"&lt;"&amp;BK9,WeightedMinAge17),MAX(CapacityAge17*АбонементНовых*BK9,MeanMinAge17)))</f>
        <v/>
      </c>
      <c r="BL64" s="87">
        <f>IF(OR(BL37=0,17&lt;=КаникулыРоялти),0,BL37*IF(РоялтиПоГруппам="Да",MeanMinAge17+BL9*SUMIF(ThresholdAge17,"&lt;"&amp;BL9,WeightedRevAge17)-SUMIF(ThresholdAge17,"&lt;"&amp;BL9,WeightedMinAge17),MAX(CapacityAge17*АбонементНовых*BL9,MeanMinAge17)))</f>
        <v/>
      </c>
      <c r="BM64" s="87">
        <f>IF(OR(BM37=0,17&lt;=КаникулыРоялти),0,BM37*IF(РоялтиПоГруппам="Да",MeanMinAge17+BM9*SUMIF(ThresholdAge17,"&lt;"&amp;BM9,WeightedRevAge17)-SUMIF(ThresholdAge17,"&lt;"&amp;BM9,WeightedMinAge17),MAX(CapacityAge17*АбонементНовых*BM9,MeanMinAge17)))</f>
        <v/>
      </c>
      <c r="BN64" s="87">
        <f>IF(OR(BN37=0,17&lt;=КаникулыРоялти),0,BN37*IF(РоялтиПоГруппам="Да",MeanMinAge17+BN9*SUMIF(ThresholdAge17,"&lt;"&amp;BN9,WeightedRevAge17)-SUMIF(ThresholdAge17,"&lt;"&amp;BN9,WeightedMinAge17),MAX(CapacityAge17*АбонементНовых*BN9,MeanMinAge17)))</f>
        <v/>
      </c>
      <c r="BO64" s="87">
        <f>IF(OR(BO37=0,17&lt;=КаникулыРоялти),0,BO37*IF(РоялтиПоГруппам="Да",MeanMinAge17+BO9*SUMIF(ThresholdAge17,"&lt;"&amp;BO9,WeightedRevAge17)-SUMIF(ThresholdAge17,"&lt;"&amp;BO9,WeightedMinAge17),MAX(CapacityAge17*АбонементНовых*BO9,MeanMinAge17)))</f>
        <v/>
      </c>
      <c r="BP64" s="87">
        <f>IF(OR(BP37=0,17&lt;=КаникулыРоялти),0,BP37*IF(РоялтиПоГруппам="Да",MeanMinAge17+BP9*SUMIF(ThresholdAge17,"&lt;"&amp;BP9,WeightedRevAge17)-SUMIF(ThresholdAge17,"&lt;"&amp;BP9,WeightedMinAge17),MAX(CapacityAge17*АбонементНовых*BP9,MeanMinAge17)))</f>
        <v/>
      </c>
      <c r="BQ64" s="87">
        <f>IF(OR(BQ37=0,17&lt;=КаникулыРоялти),0,BQ37*IF(РоялтиПоГруппам="Да",MeanMinAge17+BQ9*SUMIF(ThresholdAge17,"&lt;"&amp;BQ9,WeightedRevAge17)-SUMIF(ThresholdAge17,"&lt;"&amp;BQ9,WeightedMinAge17),MAX(CapacityAge17*АбонементНовых*BQ9,MeanMinAge17)))</f>
        <v/>
      </c>
      <c r="BR64" s="87">
        <f>IF(OR(BR37=0,17&lt;=КаникулыРоялти),0,BR37*IF(РоялтиПоГруппам="Да",MeanMinAge17+BR9*SUMIF(ThresholdAge17,"&lt;"&amp;BR9,WeightedRevAge17)-SUMIF(ThresholdAge17,"&lt;"&amp;BR9,WeightedMinAge17),MAX(CapacityAge17*АбонементНовых*BR9,MeanMinAge17)))</f>
        <v/>
      </c>
      <c r="BS64" s="87">
        <f>IF(OR(BS37=0,17&lt;=КаникулыРоялти),0,BS37*IF(РоялтиПоГруппам="Да",MeanMinAge17+BS9*SUMIF(ThresholdAge17,"&lt;"&amp;BS9,WeightedRevAge17)-SUMIF(ThresholdAge17,"&lt;"&amp;BS9,WeightedMinAge17),MAX(CapacityAge17*АбонементНовых*BS9,MeanMinAge17)))</f>
        <v/>
      </c>
      <c r="BT64" s="87">
        <f>IF(OR(BT37=0,17&lt;=КаникулыРоялти),0,BT37*IF(РоялтиПоГруппам="Да",MeanMinAge17+BT9*SUMIF(ThresholdAge17,"&lt;"&amp;BT9,WeightedRevAge17)-SUMIF(ThresholdAge17,"&lt;"&amp;BT9,WeightedMinAge17),MAX(CapacityAge17*АбонементНовых*BT9,MeanMinAge17)))</f>
        <v/>
      </c>
      <c r="BU64" s="87">
        <f>IF(OR(BU37=0,17&lt;=КаникулыРоялти),0,BU37*IF(РоялтиПоГруппам="Да",MeanMinAge17+BU9*SUMIF(ThresholdAge17,"&lt;"&amp;BU9,WeightedRevAge17)-SUMIF(ThresholdAge17,"&lt;"&amp;BU9,WeightedMinAge17),MAX(CapacityAge17*АбонементНовых*BU9,MeanMinAge17)))</f>
        <v/>
      </c>
      <c r="BV64" s="87">
        <f>IF(OR(BV37=0,17&lt;=КаникулыРоялти),0,BV37*IF(РоялтиПоГруппам="Да",MeanMinAge17+BV9*SUMIF(ThresholdAge17,"&lt;"&amp;BV9,WeightedRevAge17)-SUMIF(ThresholdAge17,"&lt;"&amp;BV9,WeightedMinAge17),MAX(CapacityAge17*АбонементНовых*BV9,MeanMinAge17)))</f>
        <v/>
      </c>
      <c r="BW64" s="87">
        <f>IF(OR(BW37=0,17&lt;=КаникулыРоялти),0,BW37*IF(РоялтиПоГруппам="Да",MeanMinAge17+BW9*SUMIF(ThresholdAge17,"&lt;"&amp;BW9,WeightedRevAge17)-SUMIF(ThresholdAge17,"&lt;"&amp;BW9,WeightedMinAge17),MAX(CapacityAge17*АбонементНовых*BW9,MeanMinAge17)))</f>
        <v/>
      </c>
      <c r="BX64" s="87">
        <f>IF(OR(BX37=0,17&lt;=КаникулыРоялти),0,BX37*IF(РоялтиПоГруппам="Да",MeanMinAge17+BX9*SUMIF(ThresholdAge17,"&lt;"&amp;BX9,WeightedRevAge17)-SUMIF(ThresholdAge17,"&lt;"&amp;BX9,WeightedMinAge17),MAX(CapacityAge17*АбонементНовых*BX9,MeanMinAge17)))</f>
        <v/>
      </c>
      <c r="BY64" s="87">
        <f>IF(OR(BY37=0,17&lt;=КаникулыРоялти),0,BY37*IF(РоялтиПоГруппам="Да",MeanMinAge17+BY9*SUMIF(ThresholdAge17,"&lt;"&amp;BY9,WeightedRevAge17)-SUMIF(ThresholdAge17,"&lt;"&amp;BY9,WeightedMinAge17),MAX(CapacityAge17*АбонементНовых*BY9,MeanMinAge17)))</f>
        <v/>
      </c>
    </row>
    <row r="65" ht="15.75" customHeight="1" s="194">
      <c r="B65" s="56" t="inlineStr">
        <is>
          <t>18 мес.</t>
        </is>
      </c>
      <c r="C65" s="56" t="inlineStr">
        <is>
          <t>₽</t>
        </is>
      </c>
      <c r="D65" s="57" t="n"/>
      <c r="E65" s="85">
        <f>SUM(L65:W65)</f>
        <v/>
      </c>
      <c r="F65" s="85">
        <f>SUM(X65:AI65)</f>
        <v/>
      </c>
      <c r="G65" s="85">
        <f>SUM(AJ65:AU65)</f>
        <v/>
      </c>
      <c r="H65" s="85">
        <f>SUM(AV65:BG65)</f>
        <v/>
      </c>
      <c r="I65" s="85">
        <f>SUM(BH65:BS65)</f>
        <v/>
      </c>
      <c r="J65" s="86">
        <f>SUM(L65:BS65)</f>
        <v/>
      </c>
      <c r="L65" s="87">
        <f>IF(OR(L38=0,18&lt;=КаникулыРоялти),0,L38*IF(РоялтиПоГруппам="Да",MeanMinAge18+L9*SUMIF(ThresholdAge18,"&lt;"&amp;L9,WeightedRevAge18)-SUMIF(ThresholdAge18,"&lt;"&amp;L9,WeightedMinAge18),MAX(CapacityAge18*АбонементНовых*L9,MeanMinAge18)))</f>
        <v/>
      </c>
      <c r="M65" s="87">
        <f>IF(OR(M38=0,18&lt;=КаникулыРоялти),0,M38*IF(РоялтиПоГруппам="Да",MeanMinAge18+M9*SUMIF(ThresholdAge18,"&lt;"&amp;M9,WeightedRevAge18)-SUMIF(ThresholdAge18,"&lt;"&amp;M9,WeightedMinAge18),MAX(CapacityAge18*АбонементНовых*M9,MeanMinAge18)))</f>
        <v/>
      </c>
      <c r="N65" s="87">
        <f>IF(OR(N38=0,18&lt;=КаникулыРоялти),0,N38*IF(РоялтиПоГруппам="Да",MeanMinAge18+N9*SUMIF(ThresholdAge18,"&lt;"&amp;N9,WeightedRevAge18)-SUMIF(ThresholdAge18,"&lt;"&amp;N9,WeightedMinAge18),MAX(CapacityAge18*АбонементНовых*N9,MeanMinAge18)))</f>
        <v/>
      </c>
      <c r="O65" s="87">
        <f>IF(OR(O38=0,18&lt;=КаникулыРоялти),0,O38*IF(РоялтиПоГруппам="Да",MeanMinAge18+O9*SUMIF(ThresholdAge18,"&lt;"&amp;O9,WeightedRevAge18)-SUMIF(ThresholdAge18,"&lt;"&amp;O9,WeightedMinAge18),MAX(CapacityAge18*АбонементНовых*O9,MeanMinAge18)))</f>
        <v/>
      </c>
      <c r="P65" s="87">
        <f>IF(OR(P38=0,18&lt;=КаникулыРоялти),0,P38*IF(РоялтиПоГруппам="Да",MeanMinAge18+P9*SUMIF(ThresholdAge18,"&lt;"&amp;P9,WeightedRevAge18)-SUMIF(ThresholdAge18,"&lt;"&amp;P9,WeightedMinAge18),MAX(CapacityAge18*АбонементНовых*P9,MeanMinAge18)))</f>
        <v/>
      </c>
      <c r="Q65" s="87">
        <f>IF(OR(Q38=0,18&lt;=КаникулыРоялти),0,Q38*IF(РоялтиПоГруппам="Да",MeanMinAge18+Q9*SUMIF(ThresholdAge18,"&lt;"&amp;Q9,WeightedRevAge18)-SUMIF(ThresholdAge18,"&lt;"&amp;Q9,WeightedMinAge18),MAX(CapacityAge18*АбонементНовых*Q9,MeanMinAge18)))</f>
        <v/>
      </c>
      <c r="R65" s="87">
        <f>IF(OR(R38=0,18&lt;=КаникулыРоялти),0,R38*IF(РоялтиПоГруппам="Да",MeanMinAge18+R9*SUMIF(ThresholdAge18,"&lt;"&amp;R9,WeightedRevAge18)-SUMIF(ThresholdAge18,"&lt;"&amp;R9,WeightedMinAge18),MAX(CapacityAge18*АбонементНовых*R9,MeanMinAge18)))</f>
        <v/>
      </c>
      <c r="S65" s="87">
        <f>IF(OR(S38=0,18&lt;=КаникулыРоялти),0,S38*IF(РоялтиПоГруппам="Да",MeanMinAge18+S9*SUMIF(ThresholdAge18,"&lt;"&amp;S9,WeightedRevAge18)-SUMIF(ThresholdAge18,"&lt;"&amp;S9,WeightedMinAge18),MAX(CapacityAge18*АбонементНовых*S9,MeanMinAge18)))</f>
        <v/>
      </c>
      <c r="T65" s="87">
        <f>IF(OR(T38=0,18&lt;=КаникулыРоялти),0,T38*IF(РоялтиПоГруппам="Да",MeanMinAge18+T9*SUMIF(ThresholdAge18,"&lt;"&amp;T9,WeightedRevAge18)-SUMIF(ThresholdAge18,"&lt;"&amp;T9,WeightedMinAge18),MAX(CapacityAge18*АбонементНовых*T9,MeanMinAge18)))</f>
        <v/>
      </c>
      <c r="U65" s="87">
        <f>IF(OR(U38=0,18&lt;=КаникулыРоялти),0,U38*IF(РоялтиПоГруппам="Да",MeanMinAge18+U9*SUMIF(ThresholdAge18,"&lt;"&amp;U9,WeightedRevAge18)-SUMIF(ThresholdAge18,"&lt;"&amp;U9,WeightedMinAge18),MAX(CapacityAge18*АбонементНовых*U9,MeanMinAge18)))</f>
        <v/>
      </c>
      <c r="V65" s="87">
        <f>IF(OR(V38=0,18&lt;=КаникулыРоялти),0,V38*IF(РоялтиПоГруппам="Да",MeanMinAge18+V9*SUMIF(ThresholdAge18,"&lt;"&amp;V9,WeightedRevAge18)-SUMIF(ThresholdAge18,"&lt;"&amp;V9,WeightedMinAge18),MAX(CapacityAge18*АбонементНовых*V9,MeanMinAge18)))</f>
        <v/>
      </c>
      <c r="W65" s="87">
        <f>IF(OR(W38=0,18&lt;=КаникулыРоялти),0,W38*IF(РоялтиПоГруппам="Да",MeanMinAge18+W9*SUMIF(ThresholdAge18,"&lt;"&amp;W9,WeightedRevAge18)-SUMIF(ThresholdAge18,"&lt;"&amp;W9,WeightedMinAge18),MAX(CapacityAge18*АбонементНовых*W9,MeanMinAge18)))</f>
        <v/>
      </c>
      <c r="X65" s="87">
        <f>IF(OR(X38=0,18&lt;=КаникулыРоялти),0,X38*IF(РоялтиПоГруппам="Да",MeanMinAge18+X9*SUMIF(ThresholdAge18,"&lt;"&amp;X9,WeightedRevAge18)-SUMIF(ThresholdAge18,"&lt;"&amp;X9,WeightedMinAge18),MAX(CapacityAge18*АбонементНовых*X9,MeanMinAge18)))</f>
        <v/>
      </c>
      <c r="Y65" s="87">
        <f>IF(OR(Y38=0,18&lt;=КаникулыРоялти),0,Y38*IF(РоялтиПоГруппам="Да",MeanMinAge18+Y9*SUMIF(ThresholdAge18,"&lt;"&amp;Y9,WeightedRevAge18)-SUMIF(ThresholdAge18,"&lt;"&amp;Y9,WeightedMinAge18),MAX(CapacityAge18*АбонементНовых*Y9,MeanMinAge18)))</f>
        <v/>
      </c>
      <c r="Z65" s="87">
        <f>IF(OR(Z38=0,18&lt;=КаникулыРоялти),0,Z38*IF(РоялтиПоГруппам="Да",MeanMinAge18+Z9*SUMIF(ThresholdAge18,"&lt;"&amp;Z9,WeightedRevAge18)-SUMIF(ThresholdAge18,"&lt;"&amp;Z9,WeightedMinAge18),MAX(CapacityAge18*АбонементНовых*Z9,MeanMinAge18)))</f>
        <v/>
      </c>
      <c r="AA65" s="87">
        <f>IF(OR(AA38=0,18&lt;=КаникулыРоялти),0,AA38*IF(РоялтиПоГруппам="Да",MeanMinAge18+AA9*SUMIF(ThresholdAge18,"&lt;"&amp;AA9,WeightedRevAge18)-SUMIF(ThresholdAge18,"&lt;"&amp;AA9,WeightedMinAge18),MAX(CapacityAge18*АбонементНовых*AA9,MeanMinAge18)))</f>
        <v/>
      </c>
      <c r="AB65" s="87">
        <f>IF(OR(AB38=0,18&lt;=КаникулыРоялти),0,AB38*IF(РоялтиПоГруппам="Да",MeanMinAge18+AB9*SUMIF(ThresholdAge18,"&lt;"&amp;AB9,WeightedRevAge18)-SUMIF(ThresholdAge18,"&lt;"&amp;AB9,WeightedMinAge18),MAX(CapacityAge18*АбонементНовых*AB9,MeanMinAge18)))</f>
        <v/>
      </c>
      <c r="AC65" s="87">
        <f>IF(OR(AC38=0,18&lt;=КаникулыРоялти),0,AC38*IF(РоялтиПоГруппам="Да",MeanMinAge18+AC9*SUMIF(ThresholdAge18,"&lt;"&amp;AC9,WeightedRevAge18)-SUMIF(ThresholdAge18,"&lt;"&amp;AC9,WeightedMinAge18),MAX(CapacityAge18*АбонементНовых*AC9,MeanMinAge18)))</f>
        <v/>
      </c>
      <c r="AD65" s="87">
        <f>IF(OR(AD38=0,18&lt;=КаникулыРоялти),0,AD38*IF(РоялтиПоГруппам="Да",MeanMinAge18+AD9*SUMIF(ThresholdAge18,"&lt;"&amp;AD9,WeightedRevAge18)-SUMIF(ThresholdAge18,"&lt;"&amp;AD9,WeightedMinAge18),MAX(CapacityAge18*АбонементНовых*AD9,MeanMinAge18)))</f>
        <v/>
      </c>
      <c r="AE65" s="87">
        <f>IF(OR(AE38=0,18&lt;=КаникулыРоялти),0,AE38*IF(РоялтиПоГруппам="Да",MeanMinAge18+AE9*SUMIF(ThresholdAge18,"&lt;"&amp;AE9,WeightedRevAge18)-SUMIF(ThresholdAge18,"&lt;"&amp;AE9,WeightedMinAge18),MAX(CapacityAge18*АбонементНовых*AE9,MeanMinAge18)))</f>
        <v/>
      </c>
      <c r="AF65" s="87">
        <f>IF(OR(AF38=0,18&lt;=КаникулыРоялти),0,AF38*IF(РоялтиПоГруппам="Да",MeanMinAge18+AF9*SUMIF(ThresholdAge18,"&lt;"&amp;AF9,WeightedRevAge18)-SUMIF(ThresholdAge18,"&lt;"&amp;AF9,WeightedMinAge18),MAX(CapacityAge18*АбонементНовых*AF9,MeanMinAge18)))</f>
        <v/>
      </c>
      <c r="AG65" s="87">
        <f>IF(OR(AG38=0,18&lt;=КаникулыРоялти),0,AG38*IF(РоялтиПоГруппам="Да",MeanMinAge18+AG9*SUMIF(ThresholdAge18,"&lt;"&amp;AG9,WeightedRevAge18)-SUMIF(ThresholdAge18,"&lt;"&amp;AG9,WeightedMinAge18),MAX(CapacityAge18*АбонементНовых*AG9,MeanMinAge18)))</f>
        <v/>
      </c>
      <c r="AH65" s="87">
        <f>IF(OR(AH38=0,18&lt;=КаникулыРоялти),0,AH38*IF(РоялтиПоГруппам="Да",MeanMinAge18+AH9*SUMIF(ThresholdAge18,"&lt;"&amp;AH9,WeightedRevAge18)-SUMIF(ThresholdAge18,"&lt;"&amp;AH9,WeightedMinAge18),MAX(CapacityAge18*АбонементНовых*AH9,MeanMinAge18)))</f>
        <v/>
      </c>
      <c r="AI65" s="87">
        <f>IF(OR(AI38=0,18&lt;=КаникулыРоялти),0,AI38*IF(РоялтиПоГруппам="Да",MeanMinAge18+AI9*SUMIF(ThresholdAge18,"&lt;"&amp;AI9,WeightedRevAge18)-SUMIF(ThresholdAge18,"&lt;"&amp;AI9,WeightedMinAge18),MAX(CapacityAge18*АбонементНовых*AI9,MeanMinAge18)))</f>
        <v/>
      </c>
      <c r="AJ65" s="87">
        <f>IF(OR(AJ38=0,18&lt;=КаникулыРоялти),0,AJ38*IF(РоялтиПоГруппам="Да",MeanMinAge18+AJ9*SUMIF(ThresholdAge18,"&lt;"&amp;AJ9,WeightedRevAge18)-SUMIF(ThresholdAge18,"&lt;"&amp;AJ9,WeightedMinAge18),MAX(CapacityAge18*АбонементНовых*AJ9,MeanMinAge18)))</f>
        <v/>
      </c>
      <c r="AK65" s="87">
        <f>IF(OR(AK38=0,18&lt;=КаникулыРоялти),0,AK38*IF(РоялтиПоГруппам="Да",MeanMinAge18+AK9*SUMIF(ThresholdAge18,"&lt;"&amp;AK9,WeightedRevAge18)-SUMIF(ThresholdAge18,"&lt;"&amp;AK9,WeightedMinAge18),MAX(CapacityAge18*АбонементНовых*AK9,MeanMinAge18)))</f>
        <v/>
      </c>
      <c r="AL65" s="87">
        <f>IF(OR(AL38=0,18&lt;=КаникулыРоялти),0,AL38*IF(РоялтиПоГруппам="Да",MeanMinAge18+AL9*SUMIF(ThresholdAge18,"&lt;"&amp;AL9,WeightedRevAge18)-SUMIF(ThresholdAge18,"&lt;"&amp;AL9,WeightedMinAge18),MAX(CapacityAge18*АбонементНовых*AL9,MeanMinAge18)))</f>
        <v/>
      </c>
      <c r="AM65" s="87">
        <f>IF(OR(AM38=0,18&lt;=КаникулыРоялти),0,AM38*IF(РоялтиПоГруппам="Да",MeanMinAge18+AM9*SUMIF(ThresholdAge18,"&lt;"&amp;AM9,WeightedRevAge18)-SUMIF(ThresholdAge18,"&lt;"&amp;AM9,WeightedMinAge18),MAX(CapacityAge18*АбонементНовых*AM9,MeanMinAge18)))</f>
        <v/>
      </c>
      <c r="AN65" s="87">
        <f>IF(OR(AN38=0,18&lt;=КаникулыРоялти),0,AN38*IF(РоялтиПоГруппам="Да",MeanMinAge18+AN9*SUMIF(ThresholdAge18,"&lt;"&amp;AN9,WeightedRevAge18)-SUMIF(ThresholdAge18,"&lt;"&amp;AN9,WeightedMinAge18),MAX(CapacityAge18*АбонементНовых*AN9,MeanMinAge18)))</f>
        <v/>
      </c>
      <c r="AO65" s="87">
        <f>IF(OR(AO38=0,18&lt;=КаникулыРоялти),0,AO38*IF(РоялтиПоГруппам="Да",MeanMinAge18+AO9*SUMIF(ThresholdAge18,"&lt;"&amp;AO9,WeightedRevAge18)-SUMIF(ThresholdAge18,"&lt;"&amp;AO9,WeightedMinAge18),MAX(CapacityAge18*АбонементНовых*AO9,MeanMinAge18)))</f>
        <v/>
      </c>
      <c r="AP65" s="87">
        <f>IF(OR(AP38=0,18&lt;=КаникулыРоялти),0,AP38*IF(РоялтиПоГруппам="Да",MeanMinAge18+AP9*SUMIF(ThresholdAge18,"&lt;"&amp;AP9,WeightedRevAge18)-SUMIF(ThresholdAge18,"&lt;"&amp;AP9,WeightedMinAge18),MAX(CapacityAge18*АбонементНовых*AP9,MeanMinAge18)))</f>
        <v/>
      </c>
      <c r="AQ65" s="87">
        <f>IF(OR(AQ38=0,18&lt;=КаникулыРоялти),0,AQ38*IF(РоялтиПоГруппам="Да",MeanMinAge18+AQ9*SUMIF(ThresholdAge18,"&lt;"&amp;AQ9,WeightedRevAge18)-SUMIF(ThresholdAge18,"&lt;"&amp;AQ9,WeightedMinAge18),MAX(CapacityAge18*АбонементНовых*AQ9,MeanMinAge18)))</f>
        <v/>
      </c>
      <c r="AR65" s="87">
        <f>IF(OR(AR38=0,18&lt;=КаникулыРоялти),0,AR38*IF(РоялтиПоГруппам="Да",MeanMinAge18+AR9*SUMIF(ThresholdAge18,"&lt;"&amp;AR9,WeightedRevAge18)-SUMIF(ThresholdAge18,"&lt;"&amp;AR9,WeightedMinAge18),MAX(CapacityAge18*АбонементНовых*AR9,MeanMinAge18)))</f>
        <v/>
      </c>
      <c r="AS65" s="87">
        <f>IF(OR(AS38=0,18&lt;=КаникулыРоялти),0,AS38*IF(РоялтиПоГруппам="Да",MeanMinAge18+AS9*SUMIF(ThresholdAge18,"&lt;"&amp;AS9,WeightedRevAge18)-SUMIF(ThresholdAge18,"&lt;"&amp;AS9,WeightedMinAge18),MAX(CapacityAge18*АбонементНовых*AS9,MeanMinAge18)))</f>
        <v/>
      </c>
      <c r="AT65" s="87">
        <f>IF(OR(AT38=0,18&lt;=КаникулыРоялти),0,AT38*IF(РоялтиПоГруппам="Да",MeanMinAge18+AT9*SUMIF(ThresholdAge18,"&lt;"&amp;AT9,WeightedRevAge18)-SUMIF(ThresholdAge18,"&lt;"&amp;AT9,WeightedMinAge18),MAX(CapacityAge18*АбонементНовых*AT9,MeanMinAge18)))</f>
        <v/>
      </c>
      <c r="AU65" s="87">
        <f>IF(OR(AU38=0,18&lt;=КаникулыРоялти),0,AU38*IF(РоялтиПоГруппам="Да",MeanMinAge18+AU9*SUMIF(ThresholdAge18,"&lt;"&amp;AU9,WeightedRevAge18)-SUMIF(ThresholdAge18,"&lt;"&amp;AU9,WeightedMinAge18),MAX(CapacityAge18*АбонементНовых*AU9,MeanMinAge18)))</f>
        <v/>
      </c>
      <c r="AV65" s="87">
        <f>IF(OR(AV38=0,18&lt;=КаникулыРоялти),0,AV38*IF(РоялтиПоГруппам="Да",MeanMinAge18+AV9*SUMIF(ThresholdAge18,"&lt;"&amp;AV9,WeightedRevAge18)-SUMIF(ThresholdAge18,"&lt;"&amp;AV9,WeightedMinAge18),MAX(CapacityAge18*АбонементНовых*AV9,MeanMinAge18)))</f>
        <v/>
      </c>
      <c r="AW65" s="87">
        <f>IF(OR(AW38=0,18&lt;=КаникулыРоялти),0,AW38*IF(РоялтиПоГруппам="Да",MeanMinAge18+AW9*SUMIF(ThresholdAge18,"&lt;"&amp;AW9,WeightedRevAge18)-SUMIF(ThresholdAge18,"&lt;"&amp;AW9,WeightedMinAge18),MAX(CapacityAge18*АбонементНовых*AW9,MeanMinAge18)))</f>
        <v/>
      </c>
      <c r="AX65" s="87">
        <f>IF(OR(AX38=0,18&lt;=КаникулыРоялти),0,AX38*IF(РоялтиПоГруппам="Да",MeanMinAge18+AX9*SUMIF(ThresholdAge18,"&lt;"&amp;AX9,WeightedRevAge18)-SUMIF(ThresholdAge18,"&lt;"&amp;AX9,WeightedMinAge18),MAX(CapacityAge18*АбонементНовых*AX9,MeanMinAge18)))</f>
        <v/>
      </c>
      <c r="AY65" s="87">
        <f>IF(OR(AY38=0,18&lt;=КаникулыРоялти),0,AY38*IF(РоялтиПоГруппам="Да",MeanMinAge18+AY9*SUMIF(ThresholdAge18,"&lt;"&amp;AY9,WeightedRevAge18)-SUMIF(ThresholdAge18,"&lt;"&amp;AY9,WeightedMinAge18),MAX(CapacityAge18*АбонементНовых*AY9,MeanMinAge18)))</f>
        <v/>
      </c>
      <c r="AZ65" s="87">
        <f>IF(OR(AZ38=0,18&lt;=КаникулыРоялти),0,AZ38*IF(РоялтиПоГруппам="Да",MeanMinAge18+AZ9*SUMIF(ThresholdAge18,"&lt;"&amp;AZ9,WeightedRevAge18)-SUMIF(ThresholdAge18,"&lt;"&amp;AZ9,WeightedMinAge18),MAX(CapacityAge18*АбонементНовых*AZ9,MeanMinAge18)))</f>
        <v/>
      </c>
      <c r="BA65" s="87">
        <f>IF(OR(BA38=0,18&lt;=КаникулыРоялти),0,BA38*IF(РоялтиПоГруппам="Да",MeanMinAge18+BA9*SUMIF(ThresholdAge18,"&lt;"&amp;BA9,WeightedRevAge18)-SUMIF(ThresholdAge18,"&lt;"&amp;BA9,WeightedMinAge18),MAX(CapacityAge18*АбонементНовых*BA9,MeanMinAge18)))</f>
        <v/>
      </c>
      <c r="BB65" s="87">
        <f>IF(OR(BB38=0,18&lt;=КаникулыРоялти),0,BB38*IF(РоялтиПоГруппам="Да",MeanMinAge18+BB9*SUMIF(ThresholdAge18,"&lt;"&amp;BB9,WeightedRevAge18)-SUMIF(ThresholdAge18,"&lt;"&amp;BB9,WeightedMinAge18),MAX(CapacityAge18*АбонементНовых*BB9,MeanMinAge18)))</f>
        <v/>
      </c>
      <c r="BC65" s="87">
        <f>IF(OR(BC38=0,18&lt;=КаникулыРоялти),0,BC38*IF(РоялтиПоГруппам="Да",MeanMinAge18+BC9*SUMIF(ThresholdAge18,"&lt;"&amp;BC9,WeightedRevAge18)-SUMIF(ThresholdAge18,"&lt;"&amp;BC9,WeightedMinAge18),MAX(CapacityAge18*АбонементНовых*BC9,MeanMinAge18)))</f>
        <v/>
      </c>
      <c r="BD65" s="87">
        <f>IF(OR(BD38=0,18&lt;=КаникулыРоялти),0,BD38*IF(РоялтиПоГруппам="Да",MeanMinAge18+BD9*SUMIF(ThresholdAge18,"&lt;"&amp;BD9,WeightedRevAge18)-SUMIF(ThresholdAge18,"&lt;"&amp;BD9,WeightedMinAge18),MAX(CapacityAge18*АбонементНовых*BD9,MeanMinAge18)))</f>
        <v/>
      </c>
      <c r="BE65" s="87">
        <f>IF(OR(BE38=0,18&lt;=КаникулыРоялти),0,BE38*IF(РоялтиПоГруппам="Да",MeanMinAge18+BE9*SUMIF(ThresholdAge18,"&lt;"&amp;BE9,WeightedRevAge18)-SUMIF(ThresholdAge18,"&lt;"&amp;BE9,WeightedMinAge18),MAX(CapacityAge18*АбонементНовых*BE9,MeanMinAge18)))</f>
        <v/>
      </c>
      <c r="BF65" s="87">
        <f>IF(OR(BF38=0,18&lt;=КаникулыРоялти),0,BF38*IF(РоялтиПоГруппам="Да",MeanMinAge18+BF9*SUMIF(ThresholdAge18,"&lt;"&amp;BF9,WeightedRevAge18)-SUMIF(ThresholdAge18,"&lt;"&amp;BF9,WeightedMinAge18),MAX(CapacityAge18*АбонементНовых*BF9,MeanMinAge18)))</f>
        <v/>
      </c>
      <c r="BG65" s="87">
        <f>IF(OR(BG38=0,18&lt;=КаникулыРоялти),0,BG38*IF(РоялтиПоГруппам="Да",MeanMinAge18+BG9*SUMIF(ThresholdAge18,"&lt;"&amp;BG9,WeightedRevAge18)-SUMIF(ThresholdAge18,"&lt;"&amp;BG9,WeightedMinAge18),MAX(CapacityAge18*АбонементНовых*BG9,MeanMinAge18)))</f>
        <v/>
      </c>
      <c r="BH65" s="87">
        <f>IF(OR(BH38=0,18&lt;=КаникулыРоялти),0,BH38*IF(РоялтиПоГруппам="Да",MeanMinAge18+BH9*SUMIF(ThresholdAge18,"&lt;"&amp;BH9,WeightedRevAge18)-SUMIF(ThresholdAge18,"&lt;"&amp;BH9,WeightedMinAge18),MAX(CapacityAge18*АбонементНовых*BH9,MeanMinAge18)))</f>
        <v/>
      </c>
      <c r="BI65" s="87">
        <f>IF(OR(BI38=0,18&lt;=КаникулыРоялти),0,BI38*IF(РоялтиПоГруппам="Да",MeanMinAge18+BI9*SUMIF(ThresholdAge18,"&lt;"&amp;BI9,WeightedRevAge18)-SUMIF(ThresholdAge18,"&lt;"&amp;BI9,WeightedMinAge18),MAX(CapacityAge18*АбонементНовых*BI9,MeanMinAge18)))</f>
        <v/>
      </c>
      <c r="BJ65" s="87">
        <f>IF(OR(BJ38=0,18&lt;=КаникулыРоялти),0,BJ38*IF(РоялтиПоГруппам="Да",MeanMinAge18+BJ9*SUMIF(ThresholdAge18,"&lt;"&amp;BJ9,WeightedRevAge18)-SUMIF(ThresholdAge18,"&lt;"&amp;BJ9,WeightedMinAge18),MAX(CapacityAge18*АбонементНовых*BJ9,MeanMinAge18)))</f>
        <v/>
      </c>
      <c r="BK65" s="87">
        <f>IF(OR(BK38=0,18&lt;=КаникулыРоялти),0,BK38*IF(РоялтиПоГруппам="Да",MeanMinAge18+BK9*SUMIF(ThresholdAge18,"&lt;"&amp;BK9,WeightedRevAge18)-SUMIF(ThresholdAge18,"&lt;"&amp;BK9,WeightedMinAge18),MAX(CapacityAge18*АбонементНовых*BK9,MeanMinAge18)))</f>
        <v/>
      </c>
      <c r="BL65" s="87">
        <f>IF(OR(BL38=0,18&lt;=КаникулыРоялти),0,BL38*IF(РоялтиПоГруппам="Да",MeanMinAge18+BL9*SUMIF(ThresholdAge18,"&lt;"&amp;BL9,WeightedRevAge18)-SUMIF(ThresholdAge18,"&lt;"&amp;BL9,WeightedMinAge18),MAX(CapacityAge18*АбонементНовых*BL9,MeanMinAge18)))</f>
        <v/>
      </c>
      <c r="BM65" s="87">
        <f>IF(OR(BM38=0,18&lt;=КаникулыРоялти),0,BM38*IF(РоялтиПоГруппам="Да",MeanMinAge18+BM9*SUMIF(ThresholdAge18,"&lt;"&amp;BM9,WeightedRevAge18)-SUMIF(ThresholdAge18,"&lt;"&amp;BM9,WeightedMinAge18),MAX(CapacityAge18*АбонементНовых*BM9,MeanMinAge18)))</f>
        <v/>
      </c>
      <c r="BN65" s="87">
        <f>IF(OR(BN38=0,18&lt;=КаникулыРоялти),0,BN38*IF(РоялтиПоГруппам="Да",MeanMinAge18+BN9*SUMIF(ThresholdAge18,"&lt;"&amp;BN9,WeightedRevAge18)-SUMIF(ThresholdAge18,"&lt;"&amp;BN9,WeightedMinAge18),MAX(CapacityAge18*АбонементНовых*BN9,MeanMinAge18)))</f>
        <v/>
      </c>
      <c r="BO65" s="87">
        <f>IF(OR(BO38=0,18&lt;=КаникулыРоялти),0,BO38*IF(РоялтиПоГруппам="Да",MeanMinAge18+BO9*SUMIF(ThresholdAge18,"&lt;"&amp;BO9,WeightedRevAge18)-SUMIF(ThresholdAge18,"&lt;"&amp;BO9,WeightedMinAge18),MAX(CapacityAge18*АбонементНовых*BO9,MeanMinAge18)))</f>
        <v/>
      </c>
      <c r="BP65" s="87">
        <f>IF(OR(BP38=0,18&lt;=КаникулыРоялти),0,BP38*IF(РоялтиПоГруппам="Да",MeanMinAge18+BP9*SUMIF(ThresholdAge18,"&lt;"&amp;BP9,WeightedRevAge18)-SUMIF(ThresholdAge18,"&lt;"&amp;BP9,WeightedMinAge18),MAX(CapacityAge18*АбонементНовых*BP9,MeanMinAge18)))</f>
        <v/>
      </c>
      <c r="BQ65" s="87">
        <f>IF(OR(BQ38=0,18&lt;=КаникулыРоялти),0,BQ38*IF(РоялтиПоГруппам="Да",MeanMinAge18+BQ9*SUMIF(ThresholdAge18,"&lt;"&amp;BQ9,WeightedRevAge18)-SUMIF(ThresholdAge18,"&lt;"&amp;BQ9,WeightedMinAge18),MAX(CapacityAge18*АбонементНовых*BQ9,MeanMinAge18)))</f>
        <v/>
      </c>
      <c r="BR65" s="87">
        <f>IF(OR(BR38=0,18&lt;=КаникулыРоялти),0,BR38*IF(РоялтиПоГруппам="Да",MeanMinAge18+BR9*SUMIF(ThresholdAge18,"&lt;"&amp;BR9,WeightedRevAge18)-SUMIF(ThresholdAge18,"&lt;"&amp;BR9,WeightedMinAge18),MAX(CapacityAge18*АбонементНовых*BR9,MeanMinAge18)))</f>
        <v/>
      </c>
      <c r="BS65" s="87">
        <f>IF(OR(BS38=0,18&lt;=КаникулыРоялти),0,BS38*IF(РоялтиПоГруппам="Да",MeanMinAge18+BS9*SUMIF(ThresholdAge18,"&lt;"&amp;BS9,WeightedRevAge18)-SUMIF(ThresholdAge18,"&lt;"&amp;BS9,WeightedMinAge18),MAX(CapacityAge18*АбонементНовых*BS9,MeanMinAge18)))</f>
        <v/>
      </c>
      <c r="BT65" s="87">
        <f>IF(OR(BT38=0,18&lt;=КаникулыРоялти),0,BT38*IF(РоялтиПоГруппам="Да",MeanMinAge18+BT9*SUMIF(ThresholdAge18,"&lt;"&amp;BT9,WeightedRevAge18)-SUMIF(ThresholdAge18,"&lt;"&amp;BT9,WeightedMinAge18),MAX(CapacityAge18*АбонементНовых*BT9,MeanMinAge18)))</f>
        <v/>
      </c>
      <c r="BU65" s="87">
        <f>IF(OR(BU38=0,18&lt;=КаникулыРоялти),0,BU38*IF(РоялтиПоГруппам="Да",MeanMinAge18+BU9*SUMIF(ThresholdAge18,"&lt;"&amp;BU9,WeightedRevAge18)-SUMIF(ThresholdAge18,"&lt;"&amp;BU9,WeightedMinAge18),MAX(CapacityAge18*АбонементНовых*BU9,MeanMinAge18)))</f>
        <v/>
      </c>
      <c r="BV65" s="87">
        <f>IF(OR(BV38=0,18&lt;=КаникулыРоялти),0,BV38*IF(РоялтиПоГруппам="Да",MeanMinAge18+BV9*SUMIF(ThresholdAge18,"&lt;"&amp;BV9,WeightedRevAge18)-SUMIF(ThresholdAge18,"&lt;"&amp;BV9,WeightedMinAge18),MAX(CapacityAge18*АбонементНовых*BV9,MeanMinAge18)))</f>
        <v/>
      </c>
      <c r="BW65" s="87">
        <f>IF(OR(BW38=0,18&lt;=КаникулыРоялти),0,BW38*IF(РоялтиПоГруппам="Да",MeanMinAge18+BW9*SUMIF(ThresholdAge18,"&lt;"&amp;BW9,WeightedRevAge18)-SUMIF(ThresholdAge18,"&lt;"&amp;BW9,WeightedMinAge18),MAX(CapacityAge18*АбонементНовых*BW9,MeanMinAge18)))</f>
        <v/>
      </c>
      <c r="BX65" s="87">
        <f>IF(OR(BX38=0,18&lt;=КаникулыРоялти),0,BX38*IF(РоялтиПоГруппам="Да",MeanMinAge18+BX9*SUMIF(ThresholdAge18,"&lt;"&amp;BX9,WeightedRevAge18)-SUMIF(ThresholdAge18,"&lt;"&amp;BX9,WeightedMinAge18),MAX(CapacityAge18*АбонементНовых*BX9,MeanMinAge18)))</f>
        <v/>
      </c>
      <c r="BY65" s="87">
        <f>IF(OR(BY38=0,18&lt;=КаникулыРоялти),0,BY38*IF(РоялтиПоГруппам="Да",MeanMinAge18+BY9*SUMIF(ThresholdAge18,"&lt;"&amp;BY9,WeightedRevAge18)-SUMIF(ThresholdAge18,"&lt;"&amp;BY9,WeightedMinAge18),MAX(CapacityAge18*АбонементНовых*BY9,MeanMinAge18)))</f>
        <v/>
      </c>
    </row>
    <row r="66" ht="15.75" customHeight="1" s="194">
      <c r="B66" s="56" t="inlineStr">
        <is>
          <t>19 мес.</t>
        </is>
      </c>
      <c r="C66" s="56" t="inlineStr">
        <is>
          <t>₽</t>
        </is>
      </c>
      <c r="D66" s="57" t="n"/>
      <c r="E66" s="85">
        <f>SUM(L66:W66)</f>
        <v/>
      </c>
      <c r="F66" s="85">
        <f>SUM(X66:AI66)</f>
        <v/>
      </c>
      <c r="G66" s="85">
        <f>SUM(AJ66:AU66)</f>
        <v/>
      </c>
      <c r="H66" s="85">
        <f>SUM(AV66:BG66)</f>
        <v/>
      </c>
      <c r="I66" s="85">
        <f>SUM(BH66:BS66)</f>
        <v/>
      </c>
      <c r="J66" s="86">
        <f>SUM(L66:BS66)</f>
        <v/>
      </c>
      <c r="L66" s="87">
        <f>IF(OR(L39=0,19&lt;=КаникулыРоялти),0,L39*IF(РоялтиПоГруппам="Да",MeanMinAge19+L9*SUMIF(ThresholdAge19,"&lt;"&amp;L9,WeightedRevAge19)-SUMIF(ThresholdAge19,"&lt;"&amp;L9,WeightedMinAge19),MAX(CapacityAge19*АбонементНовых*L9,MeanMinAge19)))</f>
        <v/>
      </c>
      <c r="M66" s="87">
        <f>IF(OR(M39=0,19&lt;=КаникулыРоялти),0,M39*IF(РоялтиПоГруппам="Да",MeanMinAge19+M9*SUMIF(ThresholdAge19,"&lt;"&amp;M9,WeightedRevAge19)-SUMIF(ThresholdAge19,"&lt;"&amp;M9,WeightedMinAge19),MAX(CapacityAge19*АбонементНовых*M9,MeanMinAge19)))</f>
        <v/>
      </c>
      <c r="N66" s="87">
        <f>IF(OR(N39=0,19&lt;=КаникулыРоялти),0,N39*IF(РоялтиПоГруппам="Да",MeanMinAge19+N9*SUMIF(ThresholdAge19,"&lt;"&amp;N9,WeightedRevAge19)-SUMIF(ThresholdAge19,"&lt;"&amp;N9,WeightedMinAge19),MAX(CapacityAge19*АбонементНовых*N9,MeanMinAge19)))</f>
        <v/>
      </c>
      <c r="O66" s="87">
        <f>IF(OR(O39=0,19&lt;=КаникулыРоялти),0,O39*IF(РоялтиПоГруппам="Да",MeanMinAge19+O9*SUMIF(ThresholdAge19,"&lt;"&amp;O9,WeightedRevAge19)-SUMIF(ThresholdAge19,"&lt;"&amp;O9,WeightedMinAge19),MAX(CapacityAge19*АбонементНовых*O9,MeanMinAge19)))</f>
        <v/>
      </c>
      <c r="P66" s="87">
        <f>IF(OR(P39=0,19&lt;=КаникулыРоялти),0,P39*IF(РоялтиПоГруппам="Да",MeanMinAge19+P9*SUMIF(ThresholdAge19,"&lt;"&amp;P9,WeightedRevAge19)-SUMIF(ThresholdAge19,"&lt;"&amp;P9,WeightedMinAge19),MAX(CapacityAge19*АбонементНовых*P9,MeanMinAge19)))</f>
        <v/>
      </c>
      <c r="Q66" s="87">
        <f>IF(OR(Q39=0,19&lt;=КаникулыРоялти),0,Q39*IF(РоялтиПоГруппам="Да",MeanMinAge19+Q9*SUMIF(ThresholdAge19,"&lt;"&amp;Q9,WeightedRevAge19)-SUMIF(ThresholdAge19,"&lt;"&amp;Q9,WeightedMinAge19),MAX(CapacityAge19*АбонементНовых*Q9,MeanMinAge19)))</f>
        <v/>
      </c>
      <c r="R66" s="87">
        <f>IF(OR(R39=0,19&lt;=КаникулыРоялти),0,R39*IF(РоялтиПоГруппам="Да",MeanMinAge19+R9*SUMIF(ThresholdAge19,"&lt;"&amp;R9,WeightedRevAge19)-SUMIF(ThresholdAge19,"&lt;"&amp;R9,WeightedMinAge19),MAX(CapacityAge19*АбонементНовых*R9,MeanMinAge19)))</f>
        <v/>
      </c>
      <c r="S66" s="87">
        <f>IF(OR(S39=0,19&lt;=КаникулыРоялти),0,S39*IF(РоялтиПоГруппам="Да",MeanMinAge19+S9*SUMIF(ThresholdAge19,"&lt;"&amp;S9,WeightedRevAge19)-SUMIF(ThresholdAge19,"&lt;"&amp;S9,WeightedMinAge19),MAX(CapacityAge19*АбонементНовых*S9,MeanMinAge19)))</f>
        <v/>
      </c>
      <c r="T66" s="87">
        <f>IF(OR(T39=0,19&lt;=КаникулыРоялти),0,T39*IF(РоялтиПоГруппам="Да",MeanMinAge19+T9*SUMIF(ThresholdAge19,"&lt;"&amp;T9,WeightedRevAge19)-SUMIF(ThresholdAge19,"&lt;"&amp;T9,WeightedMinAge19),MAX(CapacityAge19*АбонементНовых*T9,MeanMinAge19)))</f>
        <v/>
      </c>
      <c r="U66" s="87">
        <f>IF(OR(U39=0,19&lt;=КаникулыРоялти),0,U39*IF(РоялтиПоГруппам="Да",MeanMinAge19+U9*SUMIF(ThresholdAge19,"&lt;"&amp;U9,WeightedRevAge19)-SUMIF(ThresholdAge19,"&lt;"&amp;U9,WeightedMinAge19),MAX(CapacityAge19*АбонементНовых*U9,MeanMinAge19)))</f>
        <v/>
      </c>
      <c r="V66" s="87">
        <f>IF(OR(V39=0,19&lt;=КаникулыРоялти),0,V39*IF(РоялтиПоГруппам="Да",MeanMinAge19+V9*SUMIF(ThresholdAge19,"&lt;"&amp;V9,WeightedRevAge19)-SUMIF(ThresholdAge19,"&lt;"&amp;V9,WeightedMinAge19),MAX(CapacityAge19*АбонементНовых*V9,MeanMinAge19)))</f>
        <v/>
      </c>
      <c r="W66" s="87">
        <f>IF(OR(W39=0,19&lt;=КаникулыРоялти),0,W39*IF(РоялтиПоГруппам="Да",MeanMinAge19+W9*SUMIF(ThresholdAge19,"&lt;"&amp;W9,WeightedRevAge19)-SUMIF(ThresholdAge19,"&lt;"&amp;W9,WeightedMinAge19),MAX(CapacityAge19*АбонементНовых*W9,MeanMinAge19)))</f>
        <v/>
      </c>
      <c r="X66" s="87">
        <f>IF(OR(X39=0,19&lt;=КаникулыРоялти),0,X39*IF(РоялтиПоГруппам="Да",MeanMinAge19+X9*SUMIF(ThresholdAge19,"&lt;"&amp;X9,WeightedRevAge19)-SUMIF(ThresholdAge19,"&lt;"&amp;X9,WeightedMinAge19),MAX(CapacityAge19*АбонементНовых*X9,MeanMinAge19)))</f>
        <v/>
      </c>
      <c r="Y66" s="87">
        <f>IF(OR(Y39=0,19&lt;=КаникулыРоялти),0,Y39*IF(РоялтиПоГруппам="Да",MeanMinAge19+Y9*SUMIF(ThresholdAge19,"&lt;"&amp;Y9,WeightedRevAge19)-SUMIF(ThresholdAge19,"&lt;"&amp;Y9,WeightedMinAge19),MAX(CapacityAge19*АбонементНовых*Y9,MeanMinAge19)))</f>
        <v/>
      </c>
      <c r="Z66" s="87">
        <f>IF(OR(Z39=0,19&lt;=КаникулыРоялти),0,Z39*IF(РоялтиПоГруппам="Да",MeanMinAge19+Z9*SUMIF(ThresholdAge19,"&lt;"&amp;Z9,WeightedRevAge19)-SUMIF(ThresholdAge19,"&lt;"&amp;Z9,WeightedMinAge19),MAX(CapacityAge19*АбонементНовых*Z9,MeanMinAge19)))</f>
        <v/>
      </c>
      <c r="AA66" s="87">
        <f>IF(OR(AA39=0,19&lt;=КаникулыРоялти),0,AA39*IF(РоялтиПоГруппам="Да",MeanMinAge19+AA9*SUMIF(ThresholdAge19,"&lt;"&amp;AA9,WeightedRevAge19)-SUMIF(ThresholdAge19,"&lt;"&amp;AA9,WeightedMinAge19),MAX(CapacityAge19*АбонементНовых*AA9,MeanMinAge19)))</f>
        <v/>
      </c>
      <c r="AB66" s="87">
        <f>IF(OR(AB39=0,19&lt;=КаникулыРоялти),0,AB39*IF(РоялтиПоГруппам="Да",MeanMinAge19+AB9*SUMIF(ThresholdAge19,"&lt;"&amp;AB9,WeightedRevAge19)-SUMIF(ThresholdAge19,"&lt;"&amp;AB9,WeightedMinAge19),MAX(CapacityAge19*АбонементНовых*AB9,MeanMinAge19)))</f>
        <v/>
      </c>
      <c r="AC66" s="87">
        <f>IF(OR(AC39=0,19&lt;=КаникулыРоялти),0,AC39*IF(РоялтиПоГруппам="Да",MeanMinAge19+AC9*SUMIF(ThresholdAge19,"&lt;"&amp;AC9,WeightedRevAge19)-SUMIF(ThresholdAge19,"&lt;"&amp;AC9,WeightedMinAge19),MAX(CapacityAge19*АбонементНовых*AC9,MeanMinAge19)))</f>
        <v/>
      </c>
      <c r="AD66" s="87">
        <f>IF(OR(AD39=0,19&lt;=КаникулыРоялти),0,AD39*IF(РоялтиПоГруппам="Да",MeanMinAge19+AD9*SUMIF(ThresholdAge19,"&lt;"&amp;AD9,WeightedRevAge19)-SUMIF(ThresholdAge19,"&lt;"&amp;AD9,WeightedMinAge19),MAX(CapacityAge19*АбонементНовых*AD9,MeanMinAge19)))</f>
        <v/>
      </c>
      <c r="AE66" s="87">
        <f>IF(OR(AE39=0,19&lt;=КаникулыРоялти),0,AE39*IF(РоялтиПоГруппам="Да",MeanMinAge19+AE9*SUMIF(ThresholdAge19,"&lt;"&amp;AE9,WeightedRevAge19)-SUMIF(ThresholdAge19,"&lt;"&amp;AE9,WeightedMinAge19),MAX(CapacityAge19*АбонементНовых*AE9,MeanMinAge19)))</f>
        <v/>
      </c>
      <c r="AF66" s="87">
        <f>IF(OR(AF39=0,19&lt;=КаникулыРоялти),0,AF39*IF(РоялтиПоГруппам="Да",MeanMinAge19+AF9*SUMIF(ThresholdAge19,"&lt;"&amp;AF9,WeightedRevAge19)-SUMIF(ThresholdAge19,"&lt;"&amp;AF9,WeightedMinAge19),MAX(CapacityAge19*АбонементНовых*AF9,MeanMinAge19)))</f>
        <v/>
      </c>
      <c r="AG66" s="87">
        <f>IF(OR(AG39=0,19&lt;=КаникулыРоялти),0,AG39*IF(РоялтиПоГруппам="Да",MeanMinAge19+AG9*SUMIF(ThresholdAge19,"&lt;"&amp;AG9,WeightedRevAge19)-SUMIF(ThresholdAge19,"&lt;"&amp;AG9,WeightedMinAge19),MAX(CapacityAge19*АбонементНовых*AG9,MeanMinAge19)))</f>
        <v/>
      </c>
      <c r="AH66" s="87">
        <f>IF(OR(AH39=0,19&lt;=КаникулыРоялти),0,AH39*IF(РоялтиПоГруппам="Да",MeanMinAge19+AH9*SUMIF(ThresholdAge19,"&lt;"&amp;AH9,WeightedRevAge19)-SUMIF(ThresholdAge19,"&lt;"&amp;AH9,WeightedMinAge19),MAX(CapacityAge19*АбонементНовых*AH9,MeanMinAge19)))</f>
        <v/>
      </c>
      <c r="AI66" s="87">
        <f>IF(OR(AI39=0,19&lt;=КаникулыРоялти),0,AI39*IF(РоялтиПоГруппам="Да",MeanMinAge19+AI9*SUMIF(ThresholdAge19,"&lt;"&amp;AI9,WeightedRevAge19)-SUMIF(ThresholdAge19,"&lt;"&amp;AI9,WeightedMinAge19),MAX(CapacityAge19*АбонементНовых*AI9,MeanMinAge19)))</f>
        <v/>
      </c>
      <c r="AJ66" s="87">
        <f>IF(OR(AJ39=0,19&lt;=КаникулыРоялти),0,AJ39*IF(РоялтиПоГруппам="Да",MeanMinAge19+AJ9*SUMIF(ThresholdAge19,"&lt;"&amp;AJ9,WeightedRevAge19)-SUMIF(ThresholdAge19,"&lt;"&amp;AJ9,WeightedMinAge19),MAX(CapacityAge19*АбонементНовых*AJ9,MeanMinAge19)))</f>
        <v/>
      </c>
      <c r="AK66" s="87">
        <f>IF(OR(AK39=0,19&lt;=КаникулыРоялти),0,AK39*IF(РоялтиПоГруппам="Да",MeanMinAge19+AK9*SUMIF(ThresholdAge19,"&lt;"&amp;AK9,WeightedRevAge19)-SUMIF(ThresholdAge19,"&lt;"&amp;AK9,WeightedMinAge19),MAX(CapacityAge19*АбонементНовых*AK9,MeanMinAge19)))</f>
        <v/>
      </c>
      <c r="AL66" s="87">
        <f>IF(OR(AL39=0,19&lt;=КаникулыРоялти),0,AL39*IF(РоялтиПоГруппам="Да",MeanMinAge19+AL9*SUMIF(ThresholdAge19,"&lt;"&amp;AL9,WeightedRevAge19)-SUMIF(ThresholdAge19,"&lt;"&amp;AL9,WeightedMinAge19),MAX(CapacityAge19*АбонементНовых*AL9,MeanMinAge19)))</f>
        <v/>
      </c>
      <c r="AM66" s="87">
        <f>IF(OR(AM39=0,19&lt;=КаникулыРоялти),0,AM39*IF(РоялтиПоГруппам="Да",MeanMinAge19+AM9*SUMIF(ThresholdAge19,"&lt;"&amp;AM9,WeightedRevAge19)-SUMIF(ThresholdAge19,"&lt;"&amp;AM9,WeightedMinAge19),MAX(CapacityAge19*АбонементНовых*AM9,MeanMinAge19)))</f>
        <v/>
      </c>
      <c r="AN66" s="87">
        <f>IF(OR(AN39=0,19&lt;=КаникулыРоялти),0,AN39*IF(РоялтиПоГруппам="Да",MeanMinAge19+AN9*SUMIF(ThresholdAge19,"&lt;"&amp;AN9,WeightedRevAge19)-SUMIF(ThresholdAge19,"&lt;"&amp;AN9,WeightedMinAge19),MAX(CapacityAge19*АбонементНовых*AN9,MeanMinAge19)))</f>
        <v/>
      </c>
      <c r="AO66" s="87">
        <f>IF(OR(AO39=0,19&lt;=КаникулыРоялти),0,AO39*IF(РоялтиПоГруппам="Да",MeanMinAge19+AO9*SUMIF(ThresholdAge19,"&lt;"&amp;AO9,WeightedRevAge19)-SUMIF(ThresholdAge19,"&lt;"&amp;AO9,WeightedMinAge19),MAX(CapacityAge19*АбонементНовых*AO9,MeanMinAge19)))</f>
        <v/>
      </c>
      <c r="AP66" s="87">
        <f>IF(OR(AP39=0,19&lt;=КаникулыРоялти),0,AP39*IF(РоялтиПоГруппам="Да",MeanMinAge19+AP9*SUMIF(ThresholdAge19,"&lt;"&amp;AP9,WeightedRevAge19)-SUMIF(ThresholdAge19,"&lt;"&amp;AP9,WeightedMinAge19),MAX(CapacityAge19*АбонементНовых*AP9,MeanMinAge19)))</f>
        <v/>
      </c>
      <c r="AQ66" s="87">
        <f>IF(OR(AQ39=0,19&lt;=КаникулыРоялти),0,AQ39*IF(РоялтиПоГруппам="Да",MeanMinAge19+AQ9*SUMIF(ThresholdAge19,"&lt;"&amp;AQ9,WeightedRevAge19)-SUMIF(ThresholdAge19,"&lt;"&amp;AQ9,WeightedMinAge19),MAX(CapacityAge19*АбонементНовых*AQ9,MeanMinAge19)))</f>
        <v/>
      </c>
      <c r="AR66" s="87">
        <f>IF(OR(AR39=0,19&lt;=КаникулыРоялти),0,AR39*IF(РоялтиПоГруппам="Да",MeanMinAge19+AR9*SUMIF(ThresholdAge19,"&lt;"&amp;AR9,WeightedRevAge19)-SUMIF(ThresholdAge19,"&lt;"&amp;AR9,WeightedMinAge19),MAX(CapacityAge19*АбонементНовых*AR9,MeanMinAge19)))</f>
        <v/>
      </c>
      <c r="AS66" s="87">
        <f>IF(OR(AS39=0,19&lt;=КаникулыРоялти),0,AS39*IF(РоялтиПоГруппам="Да",MeanMinAge19+AS9*SUMIF(ThresholdAge19,"&lt;"&amp;AS9,WeightedRevAge19)-SUMIF(ThresholdAge19,"&lt;"&amp;AS9,WeightedMinAge19),MAX(CapacityAge19*АбонементНовых*AS9,MeanMinAge19)))</f>
        <v/>
      </c>
      <c r="AT66" s="87">
        <f>IF(OR(AT39=0,19&lt;=КаникулыРоялти),0,AT39*IF(РоялтиПоГруппам="Да",MeanMinAge19+AT9*SUMIF(ThresholdAge19,"&lt;"&amp;AT9,WeightedRevAge19)-SUMIF(ThresholdAge19,"&lt;"&amp;AT9,WeightedMinAge19),MAX(CapacityAge19*АбонементНовых*AT9,MeanMinAge19)))</f>
        <v/>
      </c>
      <c r="AU66" s="87">
        <f>IF(OR(AU39=0,19&lt;=КаникулыРоялти),0,AU39*IF(РоялтиПоГруппам="Да",MeanMinAge19+AU9*SUMIF(ThresholdAge19,"&lt;"&amp;AU9,WeightedRevAge19)-SUMIF(ThresholdAge19,"&lt;"&amp;AU9,WeightedMinAge19),MAX(CapacityAge19*АбонементНовых*AU9,MeanMinAge19)))</f>
        <v/>
      </c>
      <c r="AV66" s="87">
        <f>IF(OR(AV39=0,19&lt;=КаникулыРоялти),0,AV39*IF(РоялтиПоГруппам="Да",MeanMinAge19+AV9*SUMIF(ThresholdAge19,"&lt;"&amp;AV9,WeightedRevAge19)-SUMIF(ThresholdAge19,"&lt;"&amp;AV9,WeightedMinAge19),MAX(CapacityAge19*АбонементНовых*AV9,MeanMinAge19)))</f>
        <v/>
      </c>
      <c r="AW66" s="87">
        <f>IF(OR(AW39=0,19&lt;=КаникулыРоялти),0,AW39*IF(РоялтиПоГруппам="Да",MeanMinAge19+AW9*SUMIF(ThresholdAge19,"&lt;"&amp;AW9,WeightedRevAge19)-SUMIF(ThresholdAge19,"&lt;"&amp;AW9,WeightedMinAge19),MAX(CapacityAge19*АбонементНовых*AW9,MeanMinAge19)))</f>
        <v/>
      </c>
      <c r="AX66" s="87">
        <f>IF(OR(AX39=0,19&lt;=КаникулыРоялти),0,AX39*IF(РоялтиПоГруппам="Да",MeanMinAge19+AX9*SUMIF(ThresholdAge19,"&lt;"&amp;AX9,WeightedRevAge19)-SUMIF(ThresholdAge19,"&lt;"&amp;AX9,WeightedMinAge19),MAX(CapacityAge19*АбонементНовых*AX9,MeanMinAge19)))</f>
        <v/>
      </c>
      <c r="AY66" s="87">
        <f>IF(OR(AY39=0,19&lt;=КаникулыРоялти),0,AY39*IF(РоялтиПоГруппам="Да",MeanMinAge19+AY9*SUMIF(ThresholdAge19,"&lt;"&amp;AY9,WeightedRevAge19)-SUMIF(ThresholdAge19,"&lt;"&amp;AY9,WeightedMinAge19),MAX(CapacityAge19*АбонементНовых*AY9,MeanMinAge19)))</f>
        <v/>
      </c>
      <c r="AZ66" s="87">
        <f>IF(OR(AZ39=0,19&lt;=КаникулыРоялти),0,AZ39*IF(РоялтиПоГруппам="Да",MeanMinAge19+AZ9*SUMIF(ThresholdAge19,"&lt;"&amp;AZ9,WeightedRevAge19)-SUMIF(ThresholdAge19,"&lt;"&amp;AZ9,WeightedMinAge19),MAX(CapacityAge19*АбонементНовых*AZ9,MeanMinAge19)))</f>
        <v/>
      </c>
      <c r="BA66" s="87">
        <f>IF(OR(BA39=0,19&lt;=КаникулыРоялти),0,BA39*IF(РоялтиПоГруппам="Да",MeanMinAge19+BA9*SUMIF(ThresholdAge19,"&lt;"&amp;BA9,WeightedRevAge19)-SUMIF(ThresholdAge19,"&lt;"&amp;BA9,WeightedMinAge19),MAX(CapacityAge19*АбонементНовых*BA9,MeanMinAge19)))</f>
        <v/>
      </c>
      <c r="BB66" s="87">
        <f>IF(OR(BB39=0,19&lt;=КаникулыРоялти),0,BB39*IF(РоялтиПоГруппам="Да",MeanMinAge19+BB9*SUMIF(ThresholdAge19,"&lt;"&amp;BB9,WeightedRevAge19)-SUMIF(ThresholdAge19,"&lt;"&amp;BB9,WeightedMinAge19),MAX(CapacityAge19*АбонементНовых*BB9,MeanMinAge19)))</f>
        <v/>
      </c>
      <c r="BC66" s="87">
        <f>IF(OR(BC39=0,19&lt;=КаникулыРоялти),0,BC39*IF(РоялтиПоГруппам="Да",MeanMinAge19+BC9*SUMIF(ThresholdAge19,"&lt;"&amp;BC9,WeightedRevAge19)-SUMIF(ThresholdAge19,"&lt;"&amp;BC9,WeightedMinAge19),MAX(CapacityAge19*АбонементНовых*BC9,MeanMinAge19)))</f>
        <v/>
      </c>
      <c r="BD66" s="87">
        <f>IF(OR(BD39=0,19&lt;=КаникулыРоялти),0,BD39*IF(РоялтиПоГруппам="Да",MeanMinAge19+BD9*SUMIF(ThresholdAge19,"&lt;"&amp;BD9,WeightedRevAge19)-SUMIF(ThresholdAge19,"&lt;"&amp;BD9,WeightedMinAge19),MAX(CapacityAge19*АбонементНовых*BD9,MeanMinAge19)))</f>
        <v/>
      </c>
      <c r="BE66" s="87">
        <f>IF(OR(BE39=0,19&lt;=КаникулыРоялти),0,BE39*IF(РоялтиПоГруппам="Да",MeanMinAge19+BE9*SUMIF(ThresholdAge19,"&lt;"&amp;BE9,WeightedRevAge19)-SUMIF(ThresholdAge19,"&lt;"&amp;BE9,WeightedMinAge19),MAX(CapacityAge19*АбонементНовых*BE9,MeanMinAge19)))</f>
        <v/>
      </c>
      <c r="BF66" s="87">
        <f>IF(OR(BF39=0,19&lt;=КаникулыРоялти),0,BF39*IF(РоялтиПоГруппам="Да",MeanMinAge19+BF9*SUMIF(ThresholdAge19,"&lt;"&amp;BF9,WeightedRevAge19)-SUMIF(ThresholdAge19,"&lt;"&amp;BF9,WeightedMinAge19),MAX(CapacityAge19*АбонементНовых*BF9,MeanMinAge19)))</f>
        <v/>
      </c>
      <c r="BG66" s="87">
        <f>IF(OR(BG39=0,19&lt;=КаникулыРоялти),0,BG39*IF(РоялтиПоГруппам="Да",MeanMinAge19+BG9*SUMIF(ThresholdAge19,"&lt;"&amp;BG9,WeightedRevAge19)-SUMIF(ThresholdAge19,"&lt;"&amp;BG9,WeightedMinAge19),MAX(CapacityAge19*АбонементНовых*BG9,MeanMinAge19)))</f>
        <v/>
      </c>
      <c r="BH66" s="87">
        <f>IF(OR(BH39=0,19&lt;=КаникулыРоялти),0,BH39*IF(РоялтиПоГруппам="Да",MeanMinAge19+BH9*SUMIF(ThresholdAge19,"&lt;"&amp;BH9,WeightedRevAge19)-SUMIF(ThresholdAge19,"&lt;"&amp;BH9,WeightedMinAge19),MAX(CapacityAge19*АбонементНовых*BH9,MeanMinAge19)))</f>
        <v/>
      </c>
      <c r="BI66" s="87">
        <f>IF(OR(BI39=0,19&lt;=КаникулыРоялти),0,BI39*IF(РоялтиПоГруппам="Да",MeanMinAge19+BI9*SUMIF(ThresholdAge19,"&lt;"&amp;BI9,WeightedRevAge19)-SUMIF(ThresholdAge19,"&lt;"&amp;BI9,WeightedMinAge19),MAX(CapacityAge19*АбонементНовых*BI9,MeanMinAge19)))</f>
        <v/>
      </c>
      <c r="BJ66" s="87">
        <f>IF(OR(BJ39=0,19&lt;=КаникулыРоялти),0,BJ39*IF(РоялтиПоГруппам="Да",MeanMinAge19+BJ9*SUMIF(ThresholdAge19,"&lt;"&amp;BJ9,WeightedRevAge19)-SUMIF(ThresholdAge19,"&lt;"&amp;BJ9,WeightedMinAge19),MAX(CapacityAge19*АбонементНовых*BJ9,MeanMinAge19)))</f>
        <v/>
      </c>
      <c r="BK66" s="87">
        <f>IF(OR(BK39=0,19&lt;=КаникулыРоялти),0,BK39*IF(РоялтиПоГруппам="Да",MeanMinAge19+BK9*SUMIF(ThresholdAge19,"&lt;"&amp;BK9,WeightedRevAge19)-SUMIF(ThresholdAge19,"&lt;"&amp;BK9,WeightedMinAge19),MAX(CapacityAge19*АбонементНовых*BK9,MeanMinAge19)))</f>
        <v/>
      </c>
      <c r="BL66" s="87">
        <f>IF(OR(BL39=0,19&lt;=КаникулыРоялти),0,BL39*IF(РоялтиПоГруппам="Да",MeanMinAge19+BL9*SUMIF(ThresholdAge19,"&lt;"&amp;BL9,WeightedRevAge19)-SUMIF(ThresholdAge19,"&lt;"&amp;BL9,WeightedMinAge19),MAX(CapacityAge19*АбонементНовых*BL9,MeanMinAge19)))</f>
        <v/>
      </c>
      <c r="BM66" s="87">
        <f>IF(OR(BM39=0,19&lt;=КаникулыРоялти),0,BM39*IF(РоялтиПоГруппам="Да",MeanMinAge19+BM9*SUMIF(ThresholdAge19,"&lt;"&amp;BM9,WeightedRevAge19)-SUMIF(ThresholdAge19,"&lt;"&amp;BM9,WeightedMinAge19),MAX(CapacityAge19*АбонементНовых*BM9,MeanMinAge19)))</f>
        <v/>
      </c>
      <c r="BN66" s="87">
        <f>IF(OR(BN39=0,19&lt;=КаникулыРоялти),0,BN39*IF(РоялтиПоГруппам="Да",MeanMinAge19+BN9*SUMIF(ThresholdAge19,"&lt;"&amp;BN9,WeightedRevAge19)-SUMIF(ThresholdAge19,"&lt;"&amp;BN9,WeightedMinAge19),MAX(CapacityAge19*АбонементНовых*BN9,MeanMinAge19)))</f>
        <v/>
      </c>
      <c r="BO66" s="87">
        <f>IF(OR(BO39=0,19&lt;=КаникулыРоялти),0,BO39*IF(РоялтиПоГруппам="Да",MeanMinAge19+BO9*SUMIF(ThresholdAge19,"&lt;"&amp;BO9,WeightedRevAge19)-SUMIF(ThresholdAge19,"&lt;"&amp;BO9,WeightedMinAge19),MAX(CapacityAge19*АбонементНовых*BO9,MeanMinAge19)))</f>
        <v/>
      </c>
      <c r="BP66" s="87">
        <f>IF(OR(BP39=0,19&lt;=КаникулыРоялти),0,BP39*IF(РоялтиПоГруппам="Да",MeanMinAge19+BP9*SUMIF(ThresholdAge19,"&lt;"&amp;BP9,WeightedRevAge19)-SUMIF(ThresholdAge19,"&lt;"&amp;BP9,WeightedMinAge19),MAX(CapacityAge19*АбонементНовых*BP9,MeanMinAge19)))</f>
        <v/>
      </c>
      <c r="BQ66" s="87">
        <f>IF(OR(BQ39=0,19&lt;=КаникулыРоялти),0,BQ39*IF(РоялтиПоГруппам="Да",MeanMinAge19+BQ9*SUMIF(ThresholdAge19,"&lt;"&amp;BQ9,WeightedRevAge19)-SUMIF(ThresholdAge19,"&lt;"&amp;BQ9,WeightedMinAge19),MAX(CapacityAge19*АбонементНовых*BQ9,MeanMinAge19)))</f>
        <v/>
      </c>
      <c r="BR66" s="87">
        <f>IF(OR(BR39=0,19&lt;=КаникулыРоялти),0,BR39*IF(РоялтиПоГруппам="Да",MeanMinAge19+BR9*SUMIF(ThresholdAge19,"&lt;"&amp;BR9,WeightedRevAge19)-SUMIF(ThresholdAge19,"&lt;"&amp;BR9,WeightedMinAge19),MAX(CapacityAge19*АбонементНовых*BR9,MeanMinAge19)))</f>
        <v/>
      </c>
      <c r="BS66" s="87">
        <f>IF(OR(BS39=0,19&lt;=КаникулыРоялти),0,BS39*IF(РоялтиПоГруппам="Да",MeanMinAge19+BS9*SUMIF(ThresholdAge19,"&lt;"&amp;BS9,WeightedRevAge19)-SUMIF(ThresholdAge19,"&lt;"&amp;BS9,WeightedMinAge19),MAX(CapacityAge19*АбонементНовых*BS9,MeanMinAge19)))</f>
        <v/>
      </c>
      <c r="BT66" s="87">
        <f>IF(OR(BT39=0,19&lt;=КаникулыРоялти),0,BT39*IF(РоялтиПоГруппам="Да",MeanMinAge19+BT9*SUMIF(ThresholdAge19,"&lt;"&amp;BT9,WeightedRevAge19)-SUMIF(ThresholdAge19,"&lt;"&amp;BT9,WeightedMinAge19),MAX(CapacityAge19*АбонементНовых*BT9,MeanMinAge19)))</f>
        <v/>
      </c>
      <c r="BU66" s="87">
        <f>IF(OR(BU39=0,19&lt;=КаникулыРоялти),0,BU39*IF(РоялтиПоГруппам="Да",MeanMinAge19+BU9*SUMIF(ThresholdAge19,"&lt;"&amp;BU9,WeightedRevAge19)-SUMIF(ThresholdAge19,"&lt;"&amp;BU9,WeightedMinAge19),MAX(CapacityAge19*АбонементНовых*BU9,MeanMinAge19)))</f>
        <v/>
      </c>
      <c r="BV66" s="87">
        <f>IF(OR(BV39=0,19&lt;=КаникулыРоялти),0,BV39*IF(РоялтиПоГруппам="Да",MeanMinAge19+BV9*SUMIF(ThresholdAge19,"&lt;"&amp;BV9,WeightedRevAge19)-SUMIF(ThresholdAge19,"&lt;"&amp;BV9,WeightedMinAge19),MAX(CapacityAge19*АбонементНовых*BV9,MeanMinAge19)))</f>
        <v/>
      </c>
      <c r="BW66" s="87">
        <f>IF(OR(BW39=0,19&lt;=КаникулыРоялти),0,BW39*IF(РоялтиПоГруппам="Да",MeanMinAge19+BW9*SUMIF(ThresholdAge19,"&lt;"&amp;BW9,WeightedRevAge19)-SUMIF(ThresholdAge19,"&lt;"&amp;BW9,WeightedMinAge19),MAX(CapacityAge19*АбонементНовых*BW9,MeanMinAge19)))</f>
        <v/>
      </c>
      <c r="BX66" s="87">
        <f>IF(OR(BX39=0,19&lt;=КаникулыРоялти),0,BX39*IF(РоялтиПоГруппам="Да",MeanMinAge19+BX9*SUMIF(ThresholdAge19,"&lt;"&amp;BX9,WeightedRevAge19)-SUMIF(ThresholdAge19,"&lt;"&amp;BX9,WeightedMinAge19),MAX(CapacityAge19*АбонементНовых*BX9,MeanMinAge19)))</f>
        <v/>
      </c>
      <c r="BY66" s="87">
        <f>IF(OR(BY39=0,19&lt;=КаникулыРоялти),0,BY39*IF(РоялтиПоГруппам="Да",MeanMinAge19+BY9*SUMIF(ThresholdAge19,"&lt;"&amp;BY9,WeightedRevAge19)-SUMIF(ThresholdAge19,"&lt;"&amp;BY9,WeightedMinAge19),MAX(CapacityAge19*АбонементНовых*BY9,MeanMinAge19)))</f>
        <v/>
      </c>
    </row>
    <row r="67" ht="15.75" customHeight="1" s="194">
      <c r="B67" s="56" t="inlineStr">
        <is>
          <t>20 мес.</t>
        </is>
      </c>
      <c r="C67" s="56" t="inlineStr">
        <is>
          <t>₽</t>
        </is>
      </c>
      <c r="D67" s="57" t="n"/>
      <c r="E67" s="85">
        <f>SUM(L67:W67)</f>
        <v/>
      </c>
      <c r="F67" s="85">
        <f>SUM(X67:AI67)</f>
        <v/>
      </c>
      <c r="G67" s="85">
        <f>SUM(AJ67:AU67)</f>
        <v/>
      </c>
      <c r="H67" s="85">
        <f>SUM(AV67:BG67)</f>
        <v/>
      </c>
      <c r="I67" s="85">
        <f>SUM(BH67:BS67)</f>
        <v/>
      </c>
      <c r="J67" s="86">
        <f>SUM(L67:BS67)</f>
        <v/>
      </c>
      <c r="L67" s="87">
        <f>IF(OR(L40=0,20&lt;=КаникулыРоялти),0,L40*IF(РоялтиПоГруппам="Да",MeanMinAge20+L9*SUMIF(ThresholdAge20,"&lt;"&amp;L9,WeightedRevAge20)-SUMIF(ThresholdAge20,"&lt;"&amp;L9,WeightedMinAge20),MAX(CapacityAge20*АбонементНовых*L9,MeanMinAge20)))</f>
        <v/>
      </c>
      <c r="M67" s="87">
        <f>IF(OR(M40=0,20&lt;=КаникулыРоялти),0,M40*IF(РоялтиПоГруппам="Да",MeanMinAge20+M9*SUMIF(ThresholdAge20,"&lt;"&amp;M9,WeightedRevAge20)-SUMIF(ThresholdAge20,"&lt;"&amp;M9,WeightedMinAge20),MAX(CapacityAge20*АбонементНовых*M9,MeanMinAge20)))</f>
        <v/>
      </c>
      <c r="N67" s="87">
        <f>IF(OR(N40=0,20&lt;=КаникулыРоялти),0,N40*IF(РоялтиПоГруппам="Да",MeanMinAge20+N9*SUMIF(ThresholdAge20,"&lt;"&amp;N9,WeightedRevAge20)-SUMIF(ThresholdAge20,"&lt;"&amp;N9,WeightedMinAge20),MAX(CapacityAge20*АбонементНовых*N9,MeanMinAge20)))</f>
        <v/>
      </c>
      <c r="O67" s="87">
        <f>IF(OR(O40=0,20&lt;=КаникулыРоялти),0,O40*IF(РоялтиПоГруппам="Да",MeanMinAge20+O9*SUMIF(ThresholdAge20,"&lt;"&amp;O9,WeightedRevAge20)-SUMIF(ThresholdAge20,"&lt;"&amp;O9,WeightedMinAge20),MAX(CapacityAge20*АбонементНовых*O9,MeanMinAge20)))</f>
        <v/>
      </c>
      <c r="P67" s="87">
        <f>IF(OR(P40=0,20&lt;=КаникулыРоялти),0,P40*IF(РоялтиПоГруппам="Да",MeanMinAge20+P9*SUMIF(ThresholdAge20,"&lt;"&amp;P9,WeightedRevAge20)-SUMIF(ThresholdAge20,"&lt;"&amp;P9,WeightedMinAge20),MAX(CapacityAge20*АбонементНовых*P9,MeanMinAge20)))</f>
        <v/>
      </c>
      <c r="Q67" s="87">
        <f>IF(OR(Q40=0,20&lt;=КаникулыРоялти),0,Q40*IF(РоялтиПоГруппам="Да",MeanMinAge20+Q9*SUMIF(ThresholdAge20,"&lt;"&amp;Q9,WeightedRevAge20)-SUMIF(ThresholdAge20,"&lt;"&amp;Q9,WeightedMinAge20),MAX(CapacityAge20*АбонементНовых*Q9,MeanMinAge20)))</f>
        <v/>
      </c>
      <c r="R67" s="87">
        <f>IF(OR(R40=0,20&lt;=КаникулыРоялти),0,R40*IF(РоялтиПоГруппам="Да",MeanMinAge20+R9*SUMIF(ThresholdAge20,"&lt;"&amp;R9,WeightedRevAge20)-SUMIF(ThresholdAge20,"&lt;"&amp;R9,WeightedMinAge20),MAX(CapacityAge20*АбонементНовых*R9,MeanMinAge20)))</f>
        <v/>
      </c>
      <c r="S67" s="87">
        <f>IF(OR(S40=0,20&lt;=КаникулыРоялти),0,S40*IF(РоялтиПоГруппам="Да",MeanMinAge20+S9*SUMIF(ThresholdAge20,"&lt;"&amp;S9,WeightedRevAge20)-SUMIF(ThresholdAge20,"&lt;"&amp;S9,WeightedMinAge20),MAX(CapacityAge20*АбонементНовых*S9,MeanMinAge20)))</f>
        <v/>
      </c>
      <c r="T67" s="87">
        <f>IF(OR(T40=0,20&lt;=КаникулыРоялти),0,T40*IF(РоялтиПоГруппам="Да",MeanMinAge20+T9*SUMIF(ThresholdAge20,"&lt;"&amp;T9,WeightedRevAge20)-SUMIF(ThresholdAge20,"&lt;"&amp;T9,WeightedMinAge20),MAX(CapacityAge20*АбонементНовых*T9,MeanMinAge20)))</f>
        <v/>
      </c>
      <c r="U67" s="87">
        <f>IF(OR(U40=0,20&lt;=КаникулыРоялти),0,U40*IF(РоялтиПоГруппам="Да",MeanMinAge20+U9*SUMIF(ThresholdAge20,"&lt;"&amp;U9,WeightedRevAge20)-SUMIF(ThresholdAge20,"&lt;"&amp;U9,WeightedMinAge20),MAX(CapacityAge20*АбонементНовых*U9,MeanMinAge20)))</f>
        <v/>
      </c>
      <c r="V67" s="87">
        <f>IF(OR(V40=0,20&lt;=КаникулыРоялти),0,V40*IF(РоялтиПоГруппам="Да",MeanMinAge20+V9*SUMIF(ThresholdAge20,"&lt;"&amp;V9,WeightedRevAge20)-SUMIF(ThresholdAge20,"&lt;"&amp;V9,WeightedMinAge20),MAX(CapacityAge20*АбонементНовых*V9,MeanMinAge20)))</f>
        <v/>
      </c>
      <c r="W67" s="87">
        <f>IF(OR(W40=0,20&lt;=КаникулыРоялти),0,W40*IF(РоялтиПоГруппам="Да",MeanMinAge20+W9*SUMIF(ThresholdAge20,"&lt;"&amp;W9,WeightedRevAge20)-SUMIF(ThresholdAge20,"&lt;"&amp;W9,WeightedMinAge20),MAX(CapacityAge20*АбонементНовых*W9,MeanMinAge20)))</f>
        <v/>
      </c>
      <c r="X67" s="87">
        <f>IF(OR(X40=0,20&lt;=КаникулыРоялти),0,X40*IF(РоялтиПоГруппам="Да",MeanMinAge20+X9*SUMIF(ThresholdAge20,"&lt;"&amp;X9,WeightedRevAge20)-SUMIF(ThresholdAge20,"&lt;"&amp;X9,WeightedMinAge20),MAX(CapacityAge20*АбонементНовых*X9,MeanMinAge20)))</f>
        <v/>
      </c>
      <c r="Y67" s="87">
        <f>IF(OR(Y40=0,20&lt;=КаникулыРоялти),0,Y40*IF(РоялтиПоГруппам="Да",MeanMinAge20+Y9*SUMIF(ThresholdAge20,"&lt;"&amp;Y9,WeightedRevAge20)-SUMIF(ThresholdAge20,"&lt;"&amp;Y9,WeightedMinAge20),MAX(CapacityAge20*АбонементНовых*Y9,MeanMinAge20)))</f>
        <v/>
      </c>
      <c r="Z67" s="87">
        <f>IF(OR(Z40=0,20&lt;=КаникулыРоялти),0,Z40*IF(РоялтиПоГруппам="Да",MeanMinAge20+Z9*SUMIF(ThresholdAge20,"&lt;"&amp;Z9,WeightedRevAge20)-SUMIF(ThresholdAge20,"&lt;"&amp;Z9,WeightedMinAge20),MAX(CapacityAge20*АбонементНовых*Z9,MeanMinAge20)))</f>
        <v/>
      </c>
      <c r="AA67" s="87">
        <f>IF(OR(AA40=0,20&lt;=КаникулыРоялти),0,AA40*IF(РоялтиПоГруппам="Да",MeanMinAge20+AA9*SUMIF(ThresholdAge20,"&lt;"&amp;AA9,WeightedRevAge20)-SUMIF(ThresholdAge20,"&lt;"&amp;AA9,WeightedMinAge20),MAX(CapacityAge20*АбонементНовых*AA9,MeanMinAge20)))</f>
        <v/>
      </c>
      <c r="AB67" s="87">
        <f>IF(OR(AB40=0,20&lt;=КаникулыРоялти),0,AB40*IF(РоялтиПоГруппам="Да",MeanMinAge20+AB9*SUMIF(ThresholdAge20,"&lt;"&amp;AB9,WeightedRevAge20)-SUMIF(ThresholdAge20,"&lt;"&amp;AB9,WeightedMinAge20),MAX(CapacityAge20*АбонементНовых*AB9,MeanMinAge20)))</f>
        <v/>
      </c>
      <c r="AC67" s="87">
        <f>IF(OR(AC40=0,20&lt;=КаникулыРоялти),0,AC40*IF(РоялтиПоГруппам="Да",MeanMinAge20+AC9*SUMIF(ThresholdAge20,"&lt;"&amp;AC9,WeightedRevAge20)-SUMIF(ThresholdAge20,"&lt;"&amp;AC9,WeightedMinAge20),MAX(CapacityAge20*АбонементНовых*AC9,MeanMinAge20)))</f>
        <v/>
      </c>
      <c r="AD67" s="87">
        <f>IF(OR(AD40=0,20&lt;=КаникулыРоялти),0,AD40*IF(РоялтиПоГруппам="Да",MeanMinAge20+AD9*SUMIF(ThresholdAge20,"&lt;"&amp;AD9,WeightedRevAge20)-SUMIF(ThresholdAge20,"&lt;"&amp;AD9,WeightedMinAge20),MAX(CapacityAge20*АбонементНовых*AD9,MeanMinAge20)))</f>
        <v/>
      </c>
      <c r="AE67" s="87">
        <f>IF(OR(AE40=0,20&lt;=КаникулыРоялти),0,AE40*IF(РоялтиПоГруппам="Да",MeanMinAge20+AE9*SUMIF(ThresholdAge20,"&lt;"&amp;AE9,WeightedRevAge20)-SUMIF(ThresholdAge20,"&lt;"&amp;AE9,WeightedMinAge20),MAX(CapacityAge20*АбонементНовых*AE9,MeanMinAge20)))</f>
        <v/>
      </c>
      <c r="AF67" s="87">
        <f>IF(OR(AF40=0,20&lt;=КаникулыРоялти),0,AF40*IF(РоялтиПоГруппам="Да",MeanMinAge20+AF9*SUMIF(ThresholdAge20,"&lt;"&amp;AF9,WeightedRevAge20)-SUMIF(ThresholdAge20,"&lt;"&amp;AF9,WeightedMinAge20),MAX(CapacityAge20*АбонементНовых*AF9,MeanMinAge20)))</f>
        <v/>
      </c>
      <c r="AG67" s="87">
        <f>IF(OR(AG40=0,20&lt;=КаникулыРоялти),0,AG40*IF(РоялтиПоГруппам="Да",MeanMinAge20+AG9*SUMIF(ThresholdAge20,"&lt;"&amp;AG9,WeightedRevAge20)-SUMIF(ThresholdAge20,"&lt;"&amp;AG9,WeightedMinAge20),MAX(CapacityAge20*АбонементНовых*AG9,MeanMinAge20)))</f>
        <v/>
      </c>
      <c r="AH67" s="87">
        <f>IF(OR(AH40=0,20&lt;=КаникулыРоялти),0,AH40*IF(РоялтиПоГруппам="Да",MeanMinAge20+AH9*SUMIF(ThresholdAge20,"&lt;"&amp;AH9,WeightedRevAge20)-SUMIF(ThresholdAge20,"&lt;"&amp;AH9,WeightedMinAge20),MAX(CapacityAge20*АбонементНовых*AH9,MeanMinAge20)))</f>
        <v/>
      </c>
      <c r="AI67" s="87">
        <f>IF(OR(AI40=0,20&lt;=КаникулыРоялти),0,AI40*IF(РоялтиПоГруппам="Да",MeanMinAge20+AI9*SUMIF(ThresholdAge20,"&lt;"&amp;AI9,WeightedRevAge20)-SUMIF(ThresholdAge20,"&lt;"&amp;AI9,WeightedMinAge20),MAX(CapacityAge20*АбонементНовых*AI9,MeanMinAge20)))</f>
        <v/>
      </c>
      <c r="AJ67" s="87">
        <f>IF(OR(AJ40=0,20&lt;=КаникулыРоялти),0,AJ40*IF(РоялтиПоГруппам="Да",MeanMinAge20+AJ9*SUMIF(ThresholdAge20,"&lt;"&amp;AJ9,WeightedRevAge20)-SUMIF(ThresholdAge20,"&lt;"&amp;AJ9,WeightedMinAge20),MAX(CapacityAge20*АбонементНовых*AJ9,MeanMinAge20)))</f>
        <v/>
      </c>
      <c r="AK67" s="87">
        <f>IF(OR(AK40=0,20&lt;=КаникулыРоялти),0,AK40*IF(РоялтиПоГруппам="Да",MeanMinAge20+AK9*SUMIF(ThresholdAge20,"&lt;"&amp;AK9,WeightedRevAge20)-SUMIF(ThresholdAge20,"&lt;"&amp;AK9,WeightedMinAge20),MAX(CapacityAge20*АбонементНовых*AK9,MeanMinAge20)))</f>
        <v/>
      </c>
      <c r="AL67" s="87">
        <f>IF(OR(AL40=0,20&lt;=КаникулыРоялти),0,AL40*IF(РоялтиПоГруппам="Да",MeanMinAge20+AL9*SUMIF(ThresholdAge20,"&lt;"&amp;AL9,WeightedRevAge20)-SUMIF(ThresholdAge20,"&lt;"&amp;AL9,WeightedMinAge20),MAX(CapacityAge20*АбонементНовых*AL9,MeanMinAge20)))</f>
        <v/>
      </c>
      <c r="AM67" s="87">
        <f>IF(OR(AM40=0,20&lt;=КаникулыРоялти),0,AM40*IF(РоялтиПоГруппам="Да",MeanMinAge20+AM9*SUMIF(ThresholdAge20,"&lt;"&amp;AM9,WeightedRevAge20)-SUMIF(ThresholdAge20,"&lt;"&amp;AM9,WeightedMinAge20),MAX(CapacityAge20*АбонементНовых*AM9,MeanMinAge20)))</f>
        <v/>
      </c>
      <c r="AN67" s="87">
        <f>IF(OR(AN40=0,20&lt;=КаникулыРоялти),0,AN40*IF(РоялтиПоГруппам="Да",MeanMinAge20+AN9*SUMIF(ThresholdAge20,"&lt;"&amp;AN9,WeightedRevAge20)-SUMIF(ThresholdAge20,"&lt;"&amp;AN9,WeightedMinAge20),MAX(CapacityAge20*АбонементНовых*AN9,MeanMinAge20)))</f>
        <v/>
      </c>
      <c r="AO67" s="87">
        <f>IF(OR(AO40=0,20&lt;=КаникулыРоялти),0,AO40*IF(РоялтиПоГруппам="Да",MeanMinAge20+AO9*SUMIF(ThresholdAge20,"&lt;"&amp;AO9,WeightedRevAge20)-SUMIF(ThresholdAge20,"&lt;"&amp;AO9,WeightedMinAge20),MAX(CapacityAge20*АбонементНовых*AO9,MeanMinAge20)))</f>
        <v/>
      </c>
      <c r="AP67" s="87">
        <f>IF(OR(AP40=0,20&lt;=КаникулыРоялти),0,AP40*IF(РоялтиПоГруппам="Да",MeanMinAge20+AP9*SUMIF(ThresholdAge20,"&lt;"&amp;AP9,WeightedRevAge20)-SUMIF(ThresholdAge20,"&lt;"&amp;AP9,WeightedMinAge20),MAX(CapacityAge20*АбонементНовых*AP9,MeanMinAge20)))</f>
        <v/>
      </c>
      <c r="AQ67" s="87">
        <f>IF(OR(AQ40=0,20&lt;=КаникулыРоялти),0,AQ40*IF(РоялтиПоГруппам="Да",MeanMinAge20+AQ9*SUMIF(ThresholdAge20,"&lt;"&amp;AQ9,WeightedRevAge20)-SUMIF(ThresholdAge20,"&lt;"&amp;AQ9,WeightedMinAge20),MAX(CapacityAge20*АбонементНовых*AQ9,MeanMinAge20)))</f>
        <v/>
      </c>
      <c r="AR67" s="87">
        <f>IF(OR(AR40=0,20&lt;=КаникулыРоялти),0,AR40*IF(РоялтиПоГруппам="Да",MeanMinAge20+AR9*SUMIF(ThresholdAge20,"&lt;"&amp;AR9,WeightedRevAge20)-SUMIF(ThresholdAge20,"&lt;"&amp;AR9,WeightedMinAge20),MAX(CapacityAge20*АбонементНовых*AR9,MeanMinAge20)))</f>
        <v/>
      </c>
      <c r="AS67" s="87">
        <f>IF(OR(AS40=0,20&lt;=КаникулыРоялти),0,AS40*IF(РоялтиПоГруппам="Да",MeanMinAge20+AS9*SUMIF(ThresholdAge20,"&lt;"&amp;AS9,WeightedRevAge20)-SUMIF(ThresholdAge20,"&lt;"&amp;AS9,WeightedMinAge20),MAX(CapacityAge20*АбонементНовых*AS9,MeanMinAge20)))</f>
        <v/>
      </c>
      <c r="AT67" s="87">
        <f>IF(OR(AT40=0,20&lt;=КаникулыРоялти),0,AT40*IF(РоялтиПоГруппам="Да",MeanMinAge20+AT9*SUMIF(ThresholdAge20,"&lt;"&amp;AT9,WeightedRevAge20)-SUMIF(ThresholdAge20,"&lt;"&amp;AT9,WeightedMinAge20),MAX(CapacityAge20*АбонементНовых*AT9,MeanMinAge20)))</f>
        <v/>
      </c>
      <c r="AU67" s="87">
        <f>IF(OR(AU40=0,20&lt;=КаникулыРоялти),0,AU40*IF(РоялтиПоГруппам="Да",MeanMinAge20+AU9*SUMIF(ThresholdAge20,"&lt;"&amp;AU9,WeightedRevAge20)-SUMIF(ThresholdAge20,"&lt;"&amp;AU9,WeightedMinAge20),MAX(CapacityAge20*АбонементНовых*AU9,MeanMinAge20)))</f>
        <v/>
      </c>
      <c r="AV67" s="87">
        <f>IF(OR(AV40=0,20&lt;=КаникулыРоялти),0,AV40*IF(РоялтиПоГруппам="Да",MeanMinAge20+AV9*SUMIF(ThresholdAge20,"&lt;"&amp;AV9,WeightedRevAge20)-SUMIF(ThresholdAge20,"&lt;"&amp;AV9,WeightedMinAge20),MAX(CapacityAge20*АбонементНовых*AV9,MeanMinAge20)))</f>
        <v/>
      </c>
      <c r="AW67" s="87">
        <f>IF(OR(AW40=0,20&lt;=КаникулыРоялти),0,AW40*IF(РоялтиПоГруппам="Да",MeanMinAge20+AW9*SUMIF(ThresholdAge20,"&lt;"&amp;AW9,WeightedRevAge20)-SUMIF(ThresholdAge20,"&lt;"&amp;AW9,WeightedMinAge20),MAX(CapacityAge20*АбонементНовых*AW9,MeanMinAge20)))</f>
        <v/>
      </c>
      <c r="AX67" s="87">
        <f>IF(OR(AX40=0,20&lt;=КаникулыРоялти),0,AX40*IF(РоялтиПоГруппам="Да",MeanMinAge20+AX9*SUMIF(ThresholdAge20,"&lt;"&amp;AX9,WeightedRevAge20)-SUMIF(ThresholdAge20,"&lt;"&amp;AX9,WeightedMinAge20),MAX(CapacityAge20*АбонементНовых*AX9,MeanMinAge20)))</f>
        <v/>
      </c>
      <c r="AY67" s="87">
        <f>IF(OR(AY40=0,20&lt;=КаникулыРоялти),0,AY40*IF(РоялтиПоГруппам="Да",MeanMinAge20+AY9*SUMIF(ThresholdAge20,"&lt;"&amp;AY9,WeightedRevAge20)-SUMIF(ThresholdAge20,"&lt;"&amp;AY9,WeightedMinAge20),MAX(CapacityAge20*АбонементНовых*AY9,MeanMinAge20)))</f>
        <v/>
      </c>
      <c r="AZ67" s="87">
        <f>IF(OR(AZ40=0,20&lt;=КаникулыРоялти),0,AZ40*IF(РоялтиПоГруппам="Да",MeanMinAge20+AZ9*SUMIF(ThresholdAge20,"&lt;"&amp;AZ9,WeightedRevAge20)-SUMIF(ThresholdAge20,"&lt;"&amp;AZ9,WeightedMinAge20),MAX(CapacityAge20*АбонементНовых*AZ9,MeanMinAge20)))</f>
        <v/>
      </c>
      <c r="BA67" s="87">
        <f>IF(OR(BA40=0,20&lt;=КаникулыРоялти),0,BA40*IF(РоялтиПоГруппам="Да",MeanMinAge20+BA9*SUMIF(ThresholdAge20,"&lt;"&amp;BA9,WeightedRevAge20)-SUMIF(ThresholdAge20,"&lt;"&amp;BA9,WeightedMinAge20),MAX(CapacityAge20*АбонементНовых*BA9,MeanMinAge20)))</f>
        <v/>
      </c>
      <c r="BB67" s="87">
        <f>IF(OR(BB40=0,20&lt;=КаникулыРоялти),0,BB40*IF(РоялтиПоГруппам="Да",MeanMinAge20+BB9*SUMIF(ThresholdAge20,"&lt;"&amp;BB9,WeightedRevAge20)-SUMIF(ThresholdAge20,"&lt;"&amp;BB9,WeightedMinAge20),MAX(CapacityAge20*АбонементНовых*BB9,MeanMinAge20)))</f>
        <v/>
      </c>
      <c r="BC67" s="87">
        <f>IF(OR(BC40=0,20&lt;=КаникулыРоялти),0,BC40*IF(РоялтиПоГруппам="Да",MeanMinAge20+BC9*SUMIF(ThresholdAge20,"&lt;"&amp;BC9,WeightedRevAge20)-SUMIF(ThresholdAge20,"&lt;"&amp;BC9,WeightedMinAge20),MAX(CapacityAge20*АбонементНовых*BC9,MeanMinAge20)))</f>
        <v/>
      </c>
      <c r="BD67" s="87">
        <f>IF(OR(BD40=0,20&lt;=КаникулыРоялти),0,BD40*IF(РоялтиПоГруппам="Да",MeanMinAge20+BD9*SUMIF(ThresholdAge20,"&lt;"&amp;BD9,WeightedRevAge20)-SUMIF(ThresholdAge20,"&lt;"&amp;BD9,WeightedMinAge20),MAX(CapacityAge20*АбонементНовых*BD9,MeanMinAge20)))</f>
        <v/>
      </c>
      <c r="BE67" s="87">
        <f>IF(OR(BE40=0,20&lt;=КаникулыРоялти),0,BE40*IF(РоялтиПоГруппам="Да",MeanMinAge20+BE9*SUMIF(ThresholdAge20,"&lt;"&amp;BE9,WeightedRevAge20)-SUMIF(ThresholdAge20,"&lt;"&amp;BE9,WeightedMinAge20),MAX(CapacityAge20*АбонементНовых*BE9,MeanMinAge20)))</f>
        <v/>
      </c>
      <c r="BF67" s="87">
        <f>IF(OR(BF40=0,20&lt;=КаникулыРоялти),0,BF40*IF(РоялтиПоГруппам="Да",MeanMinAge20+BF9*SUMIF(ThresholdAge20,"&lt;"&amp;BF9,WeightedRevAge20)-SUMIF(ThresholdAge20,"&lt;"&amp;BF9,WeightedMinAge20),MAX(CapacityAge20*АбонементНовых*BF9,MeanMinAge20)))</f>
        <v/>
      </c>
      <c r="BG67" s="87">
        <f>IF(OR(BG40=0,20&lt;=КаникулыРоялти),0,BG40*IF(РоялтиПоГруппам="Да",MeanMinAge20+BG9*SUMIF(ThresholdAge20,"&lt;"&amp;BG9,WeightedRevAge20)-SUMIF(ThresholdAge20,"&lt;"&amp;BG9,WeightedMinAge20),MAX(CapacityAge20*АбонементНовых*BG9,MeanMinAge20)))</f>
        <v/>
      </c>
      <c r="BH67" s="87">
        <f>IF(OR(BH40=0,20&lt;=КаникулыРоялти),0,BH40*IF(РоялтиПоГруппам="Да",MeanMinAge20+BH9*SUMIF(ThresholdAge20,"&lt;"&amp;BH9,WeightedRevAge20)-SUMIF(ThresholdAge20,"&lt;"&amp;BH9,WeightedMinAge20),MAX(CapacityAge20*АбонементНовых*BH9,MeanMinAge20)))</f>
        <v/>
      </c>
      <c r="BI67" s="87">
        <f>IF(OR(BI40=0,20&lt;=КаникулыРоялти),0,BI40*IF(РоялтиПоГруппам="Да",MeanMinAge20+BI9*SUMIF(ThresholdAge20,"&lt;"&amp;BI9,WeightedRevAge20)-SUMIF(ThresholdAge20,"&lt;"&amp;BI9,WeightedMinAge20),MAX(CapacityAge20*АбонементНовых*BI9,MeanMinAge20)))</f>
        <v/>
      </c>
      <c r="BJ67" s="87">
        <f>IF(OR(BJ40=0,20&lt;=КаникулыРоялти),0,BJ40*IF(РоялтиПоГруппам="Да",MeanMinAge20+BJ9*SUMIF(ThresholdAge20,"&lt;"&amp;BJ9,WeightedRevAge20)-SUMIF(ThresholdAge20,"&lt;"&amp;BJ9,WeightedMinAge20),MAX(CapacityAge20*АбонементНовых*BJ9,MeanMinAge20)))</f>
        <v/>
      </c>
      <c r="BK67" s="87">
        <f>IF(OR(BK40=0,20&lt;=КаникулыРоялти),0,BK40*IF(РоялтиПоГруппам="Да",MeanMinAge20+BK9*SUMIF(ThresholdAge20,"&lt;"&amp;BK9,WeightedRevAge20)-SUMIF(ThresholdAge20,"&lt;"&amp;BK9,WeightedMinAge20),MAX(CapacityAge20*АбонементНовых*BK9,MeanMinAge20)))</f>
        <v/>
      </c>
      <c r="BL67" s="87">
        <f>IF(OR(BL40=0,20&lt;=КаникулыРоялти),0,BL40*IF(РоялтиПоГруппам="Да",MeanMinAge20+BL9*SUMIF(ThresholdAge20,"&lt;"&amp;BL9,WeightedRevAge20)-SUMIF(ThresholdAge20,"&lt;"&amp;BL9,WeightedMinAge20),MAX(CapacityAge20*АбонементНовых*BL9,MeanMinAge20)))</f>
        <v/>
      </c>
      <c r="BM67" s="87">
        <f>IF(OR(BM40=0,20&lt;=КаникулыРоялти),0,BM40*IF(РоялтиПоГруппам="Да",MeanMinAge20+BM9*SUMIF(ThresholdAge20,"&lt;"&amp;BM9,WeightedRevAge20)-SUMIF(ThresholdAge20,"&lt;"&amp;BM9,WeightedMinAge20),MAX(CapacityAge20*АбонементНовых*BM9,MeanMinAge20)))</f>
        <v/>
      </c>
      <c r="BN67" s="87">
        <f>IF(OR(BN40=0,20&lt;=КаникулыРоялти),0,BN40*IF(РоялтиПоГруппам="Да",MeanMinAge20+BN9*SUMIF(ThresholdAge20,"&lt;"&amp;BN9,WeightedRevAge20)-SUMIF(ThresholdAge20,"&lt;"&amp;BN9,WeightedMinAge20),MAX(CapacityAge20*АбонементНовых*BN9,MeanMinAge20)))</f>
        <v/>
      </c>
      <c r="BO67" s="87">
        <f>IF(OR(BO40=0,20&lt;=КаникулыРоялти),0,BO40*IF(РоялтиПоГруппам="Да",MeanMinAge20+BO9*SUMIF(ThresholdAge20,"&lt;"&amp;BO9,WeightedRevAge20)-SUMIF(ThresholdAge20,"&lt;"&amp;BO9,WeightedMinAge20),MAX(CapacityAge20*АбонементНовых*BO9,MeanMinAge20)))</f>
        <v/>
      </c>
      <c r="BP67" s="87">
        <f>IF(OR(BP40=0,20&lt;=КаникулыРоялти),0,BP40*IF(РоялтиПоГруппам="Да",MeanMinAge20+BP9*SUMIF(ThresholdAge20,"&lt;"&amp;BP9,WeightedRevAge20)-SUMIF(ThresholdAge20,"&lt;"&amp;BP9,WeightedMinAge20),MAX(CapacityAge20*АбонементНовых*BP9,MeanMinAge20)))</f>
        <v/>
      </c>
      <c r="BQ67" s="87">
        <f>IF(OR(BQ40=0,20&lt;=КаникулыРоялти),0,BQ40*IF(РоялтиПоГруппам="Да",MeanMinAge20+BQ9*SUMIF(ThresholdAge20,"&lt;"&amp;BQ9,WeightedRevAge20)-SUMIF(ThresholdAge20,"&lt;"&amp;BQ9,WeightedMinAge20),MAX(CapacityAge20*АбонементНовых*BQ9,MeanMinAge20)))</f>
        <v/>
      </c>
      <c r="BR67" s="87">
        <f>IF(OR(BR40=0,20&lt;=КаникулыРоялти),0,BR40*IF(РоялтиПоГруппам="Да",MeanMinAge20+BR9*SUMIF(ThresholdAge20,"&lt;"&amp;BR9,WeightedRevAge20)-SUMIF(ThresholdAge20,"&lt;"&amp;BR9,WeightedMinAge20),MAX(CapacityAge20*АбонементНовых*BR9,MeanMinAge20)))</f>
        <v/>
      </c>
      <c r="BS67" s="87">
        <f>IF(OR(BS40=0,20&lt;=КаникулыРоялти),0,BS40*IF(РоялтиПоГруппам="Да",MeanMinAge20+BS9*SUMIF(ThresholdAge20,"&lt;"&amp;BS9,WeightedRevAge20)-SUMIF(ThresholdAge20,"&lt;"&amp;BS9,WeightedMinAge20),MAX(CapacityAge20*АбонементНовых*BS9,MeanMinAge20)))</f>
        <v/>
      </c>
      <c r="BT67" s="87">
        <f>IF(OR(BT40=0,20&lt;=КаникулыРоялти),0,BT40*IF(РоялтиПоГруппам="Да",MeanMinAge20+BT9*SUMIF(ThresholdAge20,"&lt;"&amp;BT9,WeightedRevAge20)-SUMIF(ThresholdAge20,"&lt;"&amp;BT9,WeightedMinAge20),MAX(CapacityAge20*АбонементНовых*BT9,MeanMinAge20)))</f>
        <v/>
      </c>
      <c r="BU67" s="87">
        <f>IF(OR(BU40=0,20&lt;=КаникулыРоялти),0,BU40*IF(РоялтиПоГруппам="Да",MeanMinAge20+BU9*SUMIF(ThresholdAge20,"&lt;"&amp;BU9,WeightedRevAge20)-SUMIF(ThresholdAge20,"&lt;"&amp;BU9,WeightedMinAge20),MAX(CapacityAge20*АбонементНовых*BU9,MeanMinAge20)))</f>
        <v/>
      </c>
      <c r="BV67" s="87">
        <f>IF(OR(BV40=0,20&lt;=КаникулыРоялти),0,BV40*IF(РоялтиПоГруппам="Да",MeanMinAge20+BV9*SUMIF(ThresholdAge20,"&lt;"&amp;BV9,WeightedRevAge20)-SUMIF(ThresholdAge20,"&lt;"&amp;BV9,WeightedMinAge20),MAX(CapacityAge20*АбонементНовых*BV9,MeanMinAge20)))</f>
        <v/>
      </c>
      <c r="BW67" s="87">
        <f>IF(OR(BW40=0,20&lt;=КаникулыРоялти),0,BW40*IF(РоялтиПоГруппам="Да",MeanMinAge20+BW9*SUMIF(ThresholdAge20,"&lt;"&amp;BW9,WeightedRevAge20)-SUMIF(ThresholdAge20,"&lt;"&amp;BW9,WeightedMinAge20),MAX(CapacityAge20*АбонементНовых*BW9,MeanMinAge20)))</f>
        <v/>
      </c>
      <c r="BX67" s="87">
        <f>IF(OR(BX40=0,20&lt;=КаникулыРоялти),0,BX40*IF(РоялтиПоГруппам="Да",MeanMinAge20+BX9*SUMIF(ThresholdAge20,"&lt;"&amp;BX9,WeightedRevAge20)-SUMIF(ThresholdAge20,"&lt;"&amp;BX9,WeightedMinAge20),MAX(CapacityAge20*АбонементНовых*BX9,MeanMinAge20)))</f>
        <v/>
      </c>
      <c r="BY67" s="87">
        <f>IF(OR(BY40=0,20&lt;=КаникулыРоялти),0,BY40*IF(РоялтиПоГруппам="Да",MeanMinAge20+BY9*SUMIF(ThresholdAge20,"&lt;"&amp;BY9,WeightedRevAge20)-SUMIF(ThresholdAge20,"&lt;"&amp;BY9,WeightedMinAge20),MAX(CapacityAge20*АбонементНовых*BY9,MeanMinAge20)))</f>
        <v/>
      </c>
    </row>
    <row r="68" ht="15.75" customHeight="1" s="194">
      <c r="B68" s="56" t="inlineStr">
        <is>
          <t>21 мес.</t>
        </is>
      </c>
      <c r="C68" s="56" t="inlineStr">
        <is>
          <t>₽</t>
        </is>
      </c>
      <c r="D68" s="57" t="n"/>
      <c r="E68" s="85">
        <f>SUM(L68:W68)</f>
        <v/>
      </c>
      <c r="F68" s="85">
        <f>SUM(X68:AI68)</f>
        <v/>
      </c>
      <c r="G68" s="85">
        <f>SUM(AJ68:AU68)</f>
        <v/>
      </c>
      <c r="H68" s="85">
        <f>SUM(AV68:BG68)</f>
        <v/>
      </c>
      <c r="I68" s="85">
        <f>SUM(BH68:BS68)</f>
        <v/>
      </c>
      <c r="J68" s="86">
        <f>SUM(L68:BS68)</f>
        <v/>
      </c>
      <c r="L68" s="87">
        <f>IF(OR(L41=0,21&lt;=КаникулыРоялти),0,L41*IF(РоялтиПоГруппам="Да",MeanMinAge21+L9*SUMIF(ThresholdAge21,"&lt;"&amp;L9,WeightedRevAge21)-SUMIF(ThresholdAge21,"&lt;"&amp;L9,WeightedMinAge21),MAX(CapacityAge21*АбонементНовых*L9,MeanMinAge21)))</f>
        <v/>
      </c>
      <c r="M68" s="87">
        <f>IF(OR(M41=0,21&lt;=КаникулыРоялти),0,M41*IF(РоялтиПоГруппам="Да",MeanMinAge21+M9*SUMIF(ThresholdAge21,"&lt;"&amp;M9,WeightedRevAge21)-SUMIF(ThresholdAge21,"&lt;"&amp;M9,WeightedMinAge21),MAX(CapacityAge21*АбонементНовых*M9,MeanMinAge21)))</f>
        <v/>
      </c>
      <c r="N68" s="87">
        <f>IF(OR(N41=0,21&lt;=КаникулыРоялти),0,N41*IF(РоялтиПоГруппам="Да",MeanMinAge21+N9*SUMIF(ThresholdAge21,"&lt;"&amp;N9,WeightedRevAge21)-SUMIF(ThresholdAge21,"&lt;"&amp;N9,WeightedMinAge21),MAX(CapacityAge21*АбонементНовых*N9,MeanMinAge21)))</f>
        <v/>
      </c>
      <c r="O68" s="87">
        <f>IF(OR(O41=0,21&lt;=КаникулыРоялти),0,O41*IF(РоялтиПоГруппам="Да",MeanMinAge21+O9*SUMIF(ThresholdAge21,"&lt;"&amp;O9,WeightedRevAge21)-SUMIF(ThresholdAge21,"&lt;"&amp;O9,WeightedMinAge21),MAX(CapacityAge21*АбонементНовых*O9,MeanMinAge21)))</f>
        <v/>
      </c>
      <c r="P68" s="87">
        <f>IF(OR(P41=0,21&lt;=КаникулыРоялти),0,P41*IF(РоялтиПоГруппам="Да",MeanMinAge21+P9*SUMIF(ThresholdAge21,"&lt;"&amp;P9,WeightedRevAge21)-SUMIF(ThresholdAge21,"&lt;"&amp;P9,WeightedMinAge21),MAX(CapacityAge21*АбонементНовых*P9,MeanMinAge21)))</f>
        <v/>
      </c>
      <c r="Q68" s="87">
        <f>IF(OR(Q41=0,21&lt;=КаникулыРоялти),0,Q41*IF(РоялтиПоГруппам="Да",MeanMinAge21+Q9*SUMIF(ThresholdAge21,"&lt;"&amp;Q9,WeightedRevAge21)-SUMIF(ThresholdAge21,"&lt;"&amp;Q9,WeightedMinAge21),MAX(CapacityAge21*АбонементНовых*Q9,MeanMinAge21)))</f>
        <v/>
      </c>
      <c r="R68" s="87">
        <f>IF(OR(R41=0,21&lt;=КаникулыРоялти),0,R41*IF(РоялтиПоГруппам="Да",MeanMinAge21+R9*SUMIF(ThresholdAge21,"&lt;"&amp;R9,WeightedRevAge21)-SUMIF(ThresholdAge21,"&lt;"&amp;R9,WeightedMinAge21),MAX(CapacityAge21*АбонементНовых*R9,MeanMinAge21)))</f>
        <v/>
      </c>
      <c r="S68" s="87">
        <f>IF(OR(S41=0,21&lt;=КаникулыРоялти),0,S41*IF(РоялтиПоГруппам="Да",MeanMinAge21+S9*SUMIF(ThresholdAge21,"&lt;"&amp;S9,WeightedRevAge21)-SUMIF(ThresholdAge21,"&lt;"&amp;S9,WeightedMinAge21),MAX(CapacityAge21*АбонементНовых*S9,MeanMinAge21)))</f>
        <v/>
      </c>
      <c r="T68" s="87">
        <f>IF(OR(T41=0,21&lt;=КаникулыРоялти),0,T41*IF(РоялтиПоГруппам="Да",MeanMinAge21+T9*SUMIF(ThresholdAge21,"&lt;"&amp;T9,WeightedRevAge21)-SUMIF(ThresholdAge21,"&lt;"&amp;T9,WeightedMinAge21),MAX(CapacityAge21*АбонементНовых*T9,MeanMinAge21)))</f>
        <v/>
      </c>
      <c r="U68" s="87">
        <f>IF(OR(U41=0,21&lt;=КаникулыРоялти),0,U41*IF(РоялтиПоГруппам="Да",MeanMinAge21+U9*SUMIF(ThresholdAge21,"&lt;"&amp;U9,WeightedRevAge21)-SUMIF(ThresholdAge21,"&lt;"&amp;U9,WeightedMinAge21),MAX(CapacityAge21*АбонементНовых*U9,MeanMinAge21)))</f>
        <v/>
      </c>
      <c r="V68" s="87">
        <f>IF(OR(V41=0,21&lt;=КаникулыРоялти),0,V41*IF(РоялтиПоГруппам="Да",MeanMinAge21+V9*SUMIF(ThresholdAge21,"&lt;"&amp;V9,WeightedRevAge21)-SUMIF(ThresholdAge21,"&lt;"&amp;V9,WeightedMinAge21),MAX(CapacityAge21*АбонементНовых*V9,MeanMinAge21)))</f>
        <v/>
      </c>
      <c r="W68" s="87">
        <f>IF(OR(W41=0,21&lt;=КаникулыРоялти),0,W41*IF(РоялтиПоГруппам="Да",MeanMinAge21+W9*SUMIF(ThresholdAge21,"&lt;"&amp;W9,WeightedRevAge21)-SUMIF(ThresholdAge21,"&lt;"&amp;W9,WeightedMinAge21),MAX(CapacityAge21*АбонементНовых*W9,MeanMinAge21)))</f>
        <v/>
      </c>
      <c r="X68" s="87">
        <f>IF(OR(X41=0,21&lt;=КаникулыРоялти),0,X41*IF(РоялтиПоГруппам="Да",MeanMinAge21+X9*SUMIF(ThresholdAge21,"&lt;"&amp;X9,WeightedRevAge21)-SUMIF(ThresholdAge21,"&lt;"&amp;X9,WeightedMinAge21),MAX(CapacityAge21*АбонементНовых*X9,MeanMinAge21)))</f>
        <v/>
      </c>
      <c r="Y68" s="87">
        <f>IF(OR(Y41=0,21&lt;=КаникулыРоялти),0,Y41*IF(РоялтиПоГруппам="Да",MeanMinAge21+Y9*SUMIF(ThresholdAge21,"&lt;"&amp;Y9,WeightedRevAge21)-SUMIF(ThresholdAge21,"&lt;"&amp;Y9,WeightedMinAge21),MAX(CapacityAge21*АбонементНовых*Y9,MeanMinAge21)))</f>
        <v/>
      </c>
      <c r="Z68" s="87">
        <f>IF(OR(Z41=0,21&lt;=КаникулыРоялти),0,Z41*IF(РоялтиПоГруппам="Да",MeanMinAge21+Z9*SUMIF(ThresholdAge21,"&lt;"&amp;Z9,WeightedRevAge21)-SUMIF(ThresholdAge21,"&lt;"&amp;Z9,WeightedMinAge21),MAX(CapacityAge21*АбонементНовых*Z9,MeanMinAge21)))</f>
        <v/>
      </c>
      <c r="AA68" s="87">
        <f>IF(OR(AA41=0,21&lt;=КаникулыРоялти),0,AA41*IF(РоялтиПоГруппам="Да",MeanMinAge21+AA9*SUMIF(ThresholdAge21,"&lt;"&amp;AA9,WeightedRevAge21)-SUMIF(ThresholdAge21,"&lt;"&amp;AA9,WeightedMinAge21),MAX(CapacityAge21*АбонементНовых*AA9,MeanMinAge21)))</f>
        <v/>
      </c>
      <c r="AB68" s="87">
        <f>IF(OR(AB41=0,21&lt;=КаникулыРоялти),0,AB41*IF(РоялтиПоГруппам="Да",MeanMinAge21+AB9*SUMIF(ThresholdAge21,"&lt;"&amp;AB9,WeightedRevAge21)-SUMIF(ThresholdAge21,"&lt;"&amp;AB9,WeightedMinAge21),MAX(CapacityAge21*АбонементНовых*AB9,MeanMinAge21)))</f>
        <v/>
      </c>
      <c r="AC68" s="87">
        <f>IF(OR(AC41=0,21&lt;=КаникулыРоялти),0,AC41*IF(РоялтиПоГруппам="Да",MeanMinAge21+AC9*SUMIF(ThresholdAge21,"&lt;"&amp;AC9,WeightedRevAge21)-SUMIF(ThresholdAge21,"&lt;"&amp;AC9,WeightedMinAge21),MAX(CapacityAge21*АбонементНовых*AC9,MeanMinAge21)))</f>
        <v/>
      </c>
      <c r="AD68" s="87">
        <f>IF(OR(AD41=0,21&lt;=КаникулыРоялти),0,AD41*IF(РоялтиПоГруппам="Да",MeanMinAge21+AD9*SUMIF(ThresholdAge21,"&lt;"&amp;AD9,WeightedRevAge21)-SUMIF(ThresholdAge21,"&lt;"&amp;AD9,WeightedMinAge21),MAX(CapacityAge21*АбонементНовых*AD9,MeanMinAge21)))</f>
        <v/>
      </c>
      <c r="AE68" s="87">
        <f>IF(OR(AE41=0,21&lt;=КаникулыРоялти),0,AE41*IF(РоялтиПоГруппам="Да",MeanMinAge21+AE9*SUMIF(ThresholdAge21,"&lt;"&amp;AE9,WeightedRevAge21)-SUMIF(ThresholdAge21,"&lt;"&amp;AE9,WeightedMinAge21),MAX(CapacityAge21*АбонементНовых*AE9,MeanMinAge21)))</f>
        <v/>
      </c>
      <c r="AF68" s="87">
        <f>IF(OR(AF41=0,21&lt;=КаникулыРоялти),0,AF41*IF(РоялтиПоГруппам="Да",MeanMinAge21+AF9*SUMIF(ThresholdAge21,"&lt;"&amp;AF9,WeightedRevAge21)-SUMIF(ThresholdAge21,"&lt;"&amp;AF9,WeightedMinAge21),MAX(CapacityAge21*АбонементНовых*AF9,MeanMinAge21)))</f>
        <v/>
      </c>
      <c r="AG68" s="87">
        <f>IF(OR(AG41=0,21&lt;=КаникулыРоялти),0,AG41*IF(РоялтиПоГруппам="Да",MeanMinAge21+AG9*SUMIF(ThresholdAge21,"&lt;"&amp;AG9,WeightedRevAge21)-SUMIF(ThresholdAge21,"&lt;"&amp;AG9,WeightedMinAge21),MAX(CapacityAge21*АбонементНовых*AG9,MeanMinAge21)))</f>
        <v/>
      </c>
      <c r="AH68" s="87">
        <f>IF(OR(AH41=0,21&lt;=КаникулыРоялти),0,AH41*IF(РоялтиПоГруппам="Да",MeanMinAge21+AH9*SUMIF(ThresholdAge21,"&lt;"&amp;AH9,WeightedRevAge21)-SUMIF(ThresholdAge21,"&lt;"&amp;AH9,WeightedMinAge21),MAX(CapacityAge21*АбонементНовых*AH9,MeanMinAge21)))</f>
        <v/>
      </c>
      <c r="AI68" s="87">
        <f>IF(OR(AI41=0,21&lt;=КаникулыРоялти),0,AI41*IF(РоялтиПоГруппам="Да",MeanMinAge21+AI9*SUMIF(ThresholdAge21,"&lt;"&amp;AI9,WeightedRevAge21)-SUMIF(ThresholdAge21,"&lt;"&amp;AI9,WeightedMinAge21),MAX(CapacityAge21*АбонементНовых*AI9,MeanMinAge21)))</f>
        <v/>
      </c>
      <c r="AJ68" s="87">
        <f>IF(OR(AJ41=0,21&lt;=КаникулыРоялти),0,AJ41*IF(РоялтиПоГруппам="Да",MeanMinAge21+AJ9*SUMIF(ThresholdAge21,"&lt;"&amp;AJ9,WeightedRevAge21)-SUMIF(ThresholdAge21,"&lt;"&amp;AJ9,WeightedMinAge21),MAX(CapacityAge21*АбонементНовых*AJ9,MeanMinAge21)))</f>
        <v/>
      </c>
      <c r="AK68" s="87">
        <f>IF(OR(AK41=0,21&lt;=КаникулыРоялти),0,AK41*IF(РоялтиПоГруппам="Да",MeanMinAge21+AK9*SUMIF(ThresholdAge21,"&lt;"&amp;AK9,WeightedRevAge21)-SUMIF(ThresholdAge21,"&lt;"&amp;AK9,WeightedMinAge21),MAX(CapacityAge21*АбонементНовых*AK9,MeanMinAge21)))</f>
        <v/>
      </c>
      <c r="AL68" s="87">
        <f>IF(OR(AL41=0,21&lt;=КаникулыРоялти),0,AL41*IF(РоялтиПоГруппам="Да",MeanMinAge21+AL9*SUMIF(ThresholdAge21,"&lt;"&amp;AL9,WeightedRevAge21)-SUMIF(ThresholdAge21,"&lt;"&amp;AL9,WeightedMinAge21),MAX(CapacityAge21*АбонементНовых*AL9,MeanMinAge21)))</f>
        <v/>
      </c>
      <c r="AM68" s="87">
        <f>IF(OR(AM41=0,21&lt;=КаникулыРоялти),0,AM41*IF(РоялтиПоГруппам="Да",MeanMinAge21+AM9*SUMIF(ThresholdAge21,"&lt;"&amp;AM9,WeightedRevAge21)-SUMIF(ThresholdAge21,"&lt;"&amp;AM9,WeightedMinAge21),MAX(CapacityAge21*АбонементНовых*AM9,MeanMinAge21)))</f>
        <v/>
      </c>
      <c r="AN68" s="87">
        <f>IF(OR(AN41=0,21&lt;=КаникулыРоялти),0,AN41*IF(РоялтиПоГруппам="Да",MeanMinAge21+AN9*SUMIF(ThresholdAge21,"&lt;"&amp;AN9,WeightedRevAge21)-SUMIF(ThresholdAge21,"&lt;"&amp;AN9,WeightedMinAge21),MAX(CapacityAge21*АбонементНовых*AN9,MeanMinAge21)))</f>
        <v/>
      </c>
      <c r="AO68" s="87">
        <f>IF(OR(AO41=0,21&lt;=КаникулыРоялти),0,AO41*IF(РоялтиПоГруппам="Да",MeanMinAge21+AO9*SUMIF(ThresholdAge21,"&lt;"&amp;AO9,WeightedRevAge21)-SUMIF(ThresholdAge21,"&lt;"&amp;AO9,WeightedMinAge21),MAX(CapacityAge21*АбонементНовых*AO9,MeanMinAge21)))</f>
        <v/>
      </c>
      <c r="AP68" s="87">
        <f>IF(OR(AP41=0,21&lt;=КаникулыРоялти),0,AP41*IF(РоялтиПоГруппам="Да",MeanMinAge21+AP9*SUMIF(ThresholdAge21,"&lt;"&amp;AP9,WeightedRevAge21)-SUMIF(ThresholdAge21,"&lt;"&amp;AP9,WeightedMinAge21),MAX(CapacityAge21*АбонементНовых*AP9,MeanMinAge21)))</f>
        <v/>
      </c>
      <c r="AQ68" s="87">
        <f>IF(OR(AQ41=0,21&lt;=КаникулыРоялти),0,AQ41*IF(РоялтиПоГруппам="Да",MeanMinAge21+AQ9*SUMIF(ThresholdAge21,"&lt;"&amp;AQ9,WeightedRevAge21)-SUMIF(ThresholdAge21,"&lt;"&amp;AQ9,WeightedMinAge21),MAX(CapacityAge21*АбонементНовых*AQ9,MeanMinAge21)))</f>
        <v/>
      </c>
      <c r="AR68" s="87">
        <f>IF(OR(AR41=0,21&lt;=КаникулыРоялти),0,AR41*IF(РоялтиПоГруппам="Да",MeanMinAge21+AR9*SUMIF(ThresholdAge21,"&lt;"&amp;AR9,WeightedRevAge21)-SUMIF(ThresholdAge21,"&lt;"&amp;AR9,WeightedMinAge21),MAX(CapacityAge21*АбонементНовых*AR9,MeanMinAge21)))</f>
        <v/>
      </c>
      <c r="AS68" s="87">
        <f>IF(OR(AS41=0,21&lt;=КаникулыРоялти),0,AS41*IF(РоялтиПоГруппам="Да",MeanMinAge21+AS9*SUMIF(ThresholdAge21,"&lt;"&amp;AS9,WeightedRevAge21)-SUMIF(ThresholdAge21,"&lt;"&amp;AS9,WeightedMinAge21),MAX(CapacityAge21*АбонементНовых*AS9,MeanMinAge21)))</f>
        <v/>
      </c>
      <c r="AT68" s="87">
        <f>IF(OR(AT41=0,21&lt;=КаникулыРоялти),0,AT41*IF(РоялтиПоГруппам="Да",MeanMinAge21+AT9*SUMIF(ThresholdAge21,"&lt;"&amp;AT9,WeightedRevAge21)-SUMIF(ThresholdAge21,"&lt;"&amp;AT9,WeightedMinAge21),MAX(CapacityAge21*АбонементНовых*AT9,MeanMinAge21)))</f>
        <v/>
      </c>
      <c r="AU68" s="87">
        <f>IF(OR(AU41=0,21&lt;=КаникулыРоялти),0,AU41*IF(РоялтиПоГруппам="Да",MeanMinAge21+AU9*SUMIF(ThresholdAge21,"&lt;"&amp;AU9,WeightedRevAge21)-SUMIF(ThresholdAge21,"&lt;"&amp;AU9,WeightedMinAge21),MAX(CapacityAge21*АбонементНовых*AU9,MeanMinAge21)))</f>
        <v/>
      </c>
      <c r="AV68" s="87">
        <f>IF(OR(AV41=0,21&lt;=КаникулыРоялти),0,AV41*IF(РоялтиПоГруппам="Да",MeanMinAge21+AV9*SUMIF(ThresholdAge21,"&lt;"&amp;AV9,WeightedRevAge21)-SUMIF(ThresholdAge21,"&lt;"&amp;AV9,WeightedMinAge21),MAX(CapacityAge21*АбонементНовых*AV9,MeanMinAge21)))</f>
        <v/>
      </c>
      <c r="AW68" s="87">
        <f>IF(OR(AW41=0,21&lt;=КаникулыРоялти),0,AW41*IF(РоялтиПоГруппам="Да",MeanMinAge21+AW9*SUMIF(ThresholdAge21,"&lt;"&amp;AW9,WeightedRevAge21)-SUMIF(ThresholdAge21,"&lt;"&amp;AW9,WeightedMinAge21),MAX(CapacityAge21*АбонементНовых*AW9,MeanMinAge21)))</f>
        <v/>
      </c>
      <c r="AX68" s="87">
        <f>IF(OR(AX41=0,21&lt;=КаникулыРоялти),0,AX41*IF(РоялтиПоГруппам="Да",MeanMinAge21+AX9*SUMIF(ThresholdAge21,"&lt;"&amp;AX9,WeightedRevAge21)-SUMIF(ThresholdAge21,"&lt;"&amp;AX9,WeightedMinAge21),MAX(CapacityAge21*АбонементНовых*AX9,MeanMinAge21)))</f>
        <v/>
      </c>
      <c r="AY68" s="87">
        <f>IF(OR(AY41=0,21&lt;=КаникулыРоялти),0,AY41*IF(РоялтиПоГруппам="Да",MeanMinAge21+AY9*SUMIF(ThresholdAge21,"&lt;"&amp;AY9,WeightedRevAge21)-SUMIF(ThresholdAge21,"&lt;"&amp;AY9,WeightedMinAge21),MAX(CapacityAge21*АбонементНовых*AY9,MeanMinAge21)))</f>
        <v/>
      </c>
      <c r="AZ68" s="87">
        <f>IF(OR(AZ41=0,21&lt;=КаникулыРоялти),0,AZ41*IF(РоялтиПоГруппам="Да",MeanMinAge21+AZ9*SUMIF(ThresholdAge21,"&lt;"&amp;AZ9,WeightedRevAge21)-SUMIF(ThresholdAge21,"&lt;"&amp;AZ9,WeightedMinAge21),MAX(CapacityAge21*АбонементНовых*AZ9,MeanMinAge21)))</f>
        <v/>
      </c>
      <c r="BA68" s="87">
        <f>IF(OR(BA41=0,21&lt;=КаникулыРоялти),0,BA41*IF(РоялтиПоГруппам="Да",MeanMinAge21+BA9*SUMIF(ThresholdAge21,"&lt;"&amp;BA9,WeightedRevAge21)-SUMIF(ThresholdAge21,"&lt;"&amp;BA9,WeightedMinAge21),MAX(CapacityAge21*АбонементНовых*BA9,MeanMinAge21)))</f>
        <v/>
      </c>
      <c r="BB68" s="87">
        <f>IF(OR(BB41=0,21&lt;=КаникулыРоялти),0,BB41*IF(РоялтиПоГруппам="Да",MeanMinAge21+BB9*SUMIF(ThresholdAge21,"&lt;"&amp;BB9,WeightedRevAge21)-SUMIF(ThresholdAge21,"&lt;"&amp;BB9,WeightedMinAge21),MAX(CapacityAge21*АбонементНовых*BB9,MeanMinAge21)))</f>
        <v/>
      </c>
      <c r="BC68" s="87">
        <f>IF(OR(BC41=0,21&lt;=КаникулыРоялти),0,BC41*IF(РоялтиПоГруппам="Да",MeanMinAge21+BC9*SUMIF(ThresholdAge21,"&lt;"&amp;BC9,WeightedRevAge21)-SUMIF(ThresholdAge21,"&lt;"&amp;BC9,WeightedMinAge21),MAX(CapacityAge21*АбонементНовых*BC9,MeanMinAge21)))</f>
        <v/>
      </c>
      <c r="BD68" s="87">
        <f>IF(OR(BD41=0,21&lt;=КаникулыРоялти),0,BD41*IF(РоялтиПоГруппам="Да",MeanMinAge21+BD9*SUMIF(ThresholdAge21,"&lt;"&amp;BD9,WeightedRevAge21)-SUMIF(ThresholdAge21,"&lt;"&amp;BD9,WeightedMinAge21),MAX(CapacityAge21*АбонементНовых*BD9,MeanMinAge21)))</f>
        <v/>
      </c>
      <c r="BE68" s="87">
        <f>IF(OR(BE41=0,21&lt;=КаникулыРоялти),0,BE41*IF(РоялтиПоГруппам="Да",MeanMinAge21+BE9*SUMIF(ThresholdAge21,"&lt;"&amp;BE9,WeightedRevAge21)-SUMIF(ThresholdAge21,"&lt;"&amp;BE9,WeightedMinAge21),MAX(CapacityAge21*АбонементНовых*BE9,MeanMinAge21)))</f>
        <v/>
      </c>
      <c r="BF68" s="87">
        <f>IF(OR(BF41=0,21&lt;=КаникулыРоялти),0,BF41*IF(РоялтиПоГруппам="Да",MeanMinAge21+BF9*SUMIF(ThresholdAge21,"&lt;"&amp;BF9,WeightedRevAge21)-SUMIF(ThresholdAge21,"&lt;"&amp;BF9,WeightedMinAge21),MAX(CapacityAge21*АбонементНовых*BF9,MeanMinAge21)))</f>
        <v/>
      </c>
      <c r="BG68" s="87">
        <f>IF(OR(BG41=0,21&lt;=КаникулыРоялти),0,BG41*IF(РоялтиПоГруппам="Да",MeanMinAge21+BG9*SUMIF(ThresholdAge21,"&lt;"&amp;BG9,WeightedRevAge21)-SUMIF(ThresholdAge21,"&lt;"&amp;BG9,WeightedMinAge21),MAX(CapacityAge21*АбонементНовых*BG9,MeanMinAge21)))</f>
        <v/>
      </c>
      <c r="BH68" s="87">
        <f>IF(OR(BH41=0,21&lt;=КаникулыРоялти),0,BH41*IF(РоялтиПоГруппам="Да",MeanMinAge21+BH9*SUMIF(ThresholdAge21,"&lt;"&amp;BH9,WeightedRevAge21)-SUMIF(ThresholdAge21,"&lt;"&amp;BH9,WeightedMinAge21),MAX(CapacityAge21*АбонементНовых*BH9,MeanMinAge21)))</f>
        <v/>
      </c>
      <c r="BI68" s="87">
        <f>IF(OR(BI41=0,21&lt;=КаникулыРоялти),0,BI41*IF(РоялтиПоГруппам="Да",MeanMinAge21+BI9*SUMIF(ThresholdAge21,"&lt;"&amp;BI9,WeightedRevAge21)-SUMIF(ThresholdAge21,"&lt;"&amp;BI9,WeightedMinAge21),MAX(CapacityAge21*АбонементНовых*BI9,MeanMinAge21)))</f>
        <v/>
      </c>
      <c r="BJ68" s="87">
        <f>IF(OR(BJ41=0,21&lt;=КаникулыРоялти),0,BJ41*IF(РоялтиПоГруппам="Да",MeanMinAge21+BJ9*SUMIF(ThresholdAge21,"&lt;"&amp;BJ9,WeightedRevAge21)-SUMIF(ThresholdAge21,"&lt;"&amp;BJ9,WeightedMinAge21),MAX(CapacityAge21*АбонементНовых*BJ9,MeanMinAge21)))</f>
        <v/>
      </c>
      <c r="BK68" s="87">
        <f>IF(OR(BK41=0,21&lt;=КаникулыРоялти),0,BK41*IF(РоялтиПоГруппам="Да",MeanMinAge21+BK9*SUMIF(ThresholdAge21,"&lt;"&amp;BK9,WeightedRevAge21)-SUMIF(ThresholdAge21,"&lt;"&amp;BK9,WeightedMinAge21),MAX(CapacityAge21*АбонементНовых*BK9,MeanMinAge21)))</f>
        <v/>
      </c>
      <c r="BL68" s="87">
        <f>IF(OR(BL41=0,21&lt;=КаникулыРоялти),0,BL41*IF(РоялтиПоГруппам="Да",MeanMinAge21+BL9*SUMIF(ThresholdAge21,"&lt;"&amp;BL9,WeightedRevAge21)-SUMIF(ThresholdAge21,"&lt;"&amp;BL9,WeightedMinAge21),MAX(CapacityAge21*АбонементНовых*BL9,MeanMinAge21)))</f>
        <v/>
      </c>
      <c r="BM68" s="87">
        <f>IF(OR(BM41=0,21&lt;=КаникулыРоялти),0,BM41*IF(РоялтиПоГруппам="Да",MeanMinAge21+BM9*SUMIF(ThresholdAge21,"&lt;"&amp;BM9,WeightedRevAge21)-SUMIF(ThresholdAge21,"&lt;"&amp;BM9,WeightedMinAge21),MAX(CapacityAge21*АбонементНовых*BM9,MeanMinAge21)))</f>
        <v/>
      </c>
      <c r="BN68" s="87">
        <f>IF(OR(BN41=0,21&lt;=КаникулыРоялти),0,BN41*IF(РоялтиПоГруппам="Да",MeanMinAge21+BN9*SUMIF(ThresholdAge21,"&lt;"&amp;BN9,WeightedRevAge21)-SUMIF(ThresholdAge21,"&lt;"&amp;BN9,WeightedMinAge21),MAX(CapacityAge21*АбонементНовых*BN9,MeanMinAge21)))</f>
        <v/>
      </c>
      <c r="BO68" s="87">
        <f>IF(OR(BO41=0,21&lt;=КаникулыРоялти),0,BO41*IF(РоялтиПоГруппам="Да",MeanMinAge21+BO9*SUMIF(ThresholdAge21,"&lt;"&amp;BO9,WeightedRevAge21)-SUMIF(ThresholdAge21,"&lt;"&amp;BO9,WeightedMinAge21),MAX(CapacityAge21*АбонементНовых*BO9,MeanMinAge21)))</f>
        <v/>
      </c>
      <c r="BP68" s="87">
        <f>IF(OR(BP41=0,21&lt;=КаникулыРоялти),0,BP41*IF(РоялтиПоГруппам="Да",MeanMinAge21+BP9*SUMIF(ThresholdAge21,"&lt;"&amp;BP9,WeightedRevAge21)-SUMIF(ThresholdAge21,"&lt;"&amp;BP9,WeightedMinAge21),MAX(CapacityAge21*АбонементНовых*BP9,MeanMinAge21)))</f>
        <v/>
      </c>
      <c r="BQ68" s="87">
        <f>IF(OR(BQ41=0,21&lt;=КаникулыРоялти),0,BQ41*IF(РоялтиПоГруппам="Да",MeanMinAge21+BQ9*SUMIF(ThresholdAge21,"&lt;"&amp;BQ9,WeightedRevAge21)-SUMIF(ThresholdAge21,"&lt;"&amp;BQ9,WeightedMinAge21),MAX(CapacityAge21*АбонементНовых*BQ9,MeanMinAge21)))</f>
        <v/>
      </c>
      <c r="BR68" s="87">
        <f>IF(OR(BR41=0,21&lt;=КаникулыРоялти),0,BR41*IF(РоялтиПоГруппам="Да",MeanMinAge21+BR9*SUMIF(ThresholdAge21,"&lt;"&amp;BR9,WeightedRevAge21)-SUMIF(ThresholdAge21,"&lt;"&amp;BR9,WeightedMinAge21),MAX(CapacityAge21*АбонементНовых*BR9,MeanMinAge21)))</f>
        <v/>
      </c>
      <c r="BS68" s="87">
        <f>IF(OR(BS41=0,21&lt;=КаникулыРоялти),0,BS41*IF(РоялтиПоГруппам="Да",MeanMinAge21+BS9*SUMIF(ThresholdAge21,"&lt;"&amp;BS9,WeightedRevAge21)-SUMIF(ThresholdAge21,"&lt;"&amp;BS9,WeightedMinAge21),MAX(CapacityAge21*АбонементНовых*BS9,MeanMinAge21)))</f>
        <v/>
      </c>
      <c r="BT68" s="87">
        <f>IF(OR(BT41=0,21&lt;=КаникулыРоялти),0,BT41*IF(РоялтиПоГруппам="Да",MeanMinAge21+BT9*SUMIF(ThresholdAge21,"&lt;"&amp;BT9,WeightedRevAge21)-SUMIF(ThresholdAge21,"&lt;"&amp;BT9,WeightedMinAge21),MAX(CapacityAge21*АбонементНовых*BT9,MeanMinAge21)))</f>
        <v/>
      </c>
      <c r="BU68" s="87">
        <f>IF(OR(BU41=0,21&lt;=КаникулыРоялти),0,BU41*IF(РоялтиПоГруппам="Да",MeanMinAge21+BU9*SUMIF(ThresholdAge21,"&lt;"&amp;BU9,WeightedRevAge21)-SUMIF(ThresholdAge21,"&lt;"&amp;BU9,WeightedMinAge21),MAX(CapacityAge21*АбонементНовых*BU9,MeanMinAge21)))</f>
        <v/>
      </c>
      <c r="BV68" s="87">
        <f>IF(OR(BV41=0,21&lt;=КаникулыРоялти),0,BV41*IF(РоялтиПоГруппам="Да",MeanMinAge21+BV9*SUMIF(ThresholdAge21,"&lt;"&amp;BV9,WeightedRevAge21)-SUMIF(ThresholdAge21,"&lt;"&amp;BV9,WeightedMinAge21),MAX(CapacityAge21*АбонементНовых*BV9,MeanMinAge21)))</f>
        <v/>
      </c>
      <c r="BW68" s="87">
        <f>IF(OR(BW41=0,21&lt;=КаникулыРоялти),0,BW41*IF(РоялтиПоГруппам="Да",MeanMinAge21+BW9*SUMIF(ThresholdAge21,"&lt;"&amp;BW9,WeightedRevAge21)-SUMIF(ThresholdAge21,"&lt;"&amp;BW9,WeightedMinAge21),MAX(CapacityAge21*АбонементНовых*BW9,MeanMinAge21)))</f>
        <v/>
      </c>
      <c r="BX68" s="87">
        <f>IF(OR(BX41=0,21&lt;=КаникулыРоялти),0,BX41*IF(РоялтиПоГруппам="Да",MeanMinAge21+BX9*SUMIF(ThresholdAge21,"&lt;"&amp;BX9,WeightedRevAge21)-SUMIF(ThresholdAge21,"&lt;"&amp;BX9,WeightedMinAge21),MAX(CapacityAge21*АбонементНовых*BX9,MeanMinAge21)))</f>
        <v/>
      </c>
      <c r="BY68" s="87">
        <f>IF(OR(BY41=0,21&lt;=КаникулыРоялти),0,BY41*IF(РоялтиПоГруппам="Да",MeanMinAge21+BY9*SUMIF(ThresholdAge21,"&lt;"&amp;BY9,WeightedRevAge21)-SUMIF(ThresholdAge21,"&lt;"&amp;BY9,WeightedMinAge21),MAX(CapacityAge21*АбонементНовых*BY9,MeanMinAge21)))</f>
        <v/>
      </c>
    </row>
    <row r="69" ht="15.75" customHeight="1" s="194">
      <c r="B69" s="56" t="inlineStr">
        <is>
          <t>22 мес.</t>
        </is>
      </c>
      <c r="C69" s="56" t="inlineStr">
        <is>
          <t>₽</t>
        </is>
      </c>
      <c r="D69" s="57" t="n"/>
      <c r="E69" s="85">
        <f>SUM(L69:W69)</f>
        <v/>
      </c>
      <c r="F69" s="85">
        <f>SUM(X69:AI69)</f>
        <v/>
      </c>
      <c r="G69" s="85">
        <f>SUM(AJ69:AU69)</f>
        <v/>
      </c>
      <c r="H69" s="85">
        <f>SUM(AV69:BG69)</f>
        <v/>
      </c>
      <c r="I69" s="85">
        <f>SUM(BH69:BS69)</f>
        <v/>
      </c>
      <c r="J69" s="86">
        <f>SUM(L69:BS69)</f>
        <v/>
      </c>
      <c r="L69" s="87">
        <f>IF(OR(L42=0,22&lt;=КаникулыРоялти),0,L42*IF(РоялтиПоГруппам="Да",MeanMinAge22+L9*SUMIF(ThresholdAge22,"&lt;"&amp;L9,WeightedRevAge22)-SUMIF(ThresholdAge22,"&lt;"&amp;L9,WeightedMinAge22),MAX(CapacityAge22*АбонементНовых*L9,MeanMinAge22)))</f>
        <v/>
      </c>
      <c r="M69" s="87">
        <f>IF(OR(M42=0,22&lt;=КаникулыРоялти),0,M42*IF(РоялтиПоГруппам="Да",MeanMinAge22+M9*SUMIF(ThresholdAge22,"&lt;"&amp;M9,WeightedRevAge22)-SUMIF(ThresholdAge22,"&lt;"&amp;M9,WeightedMinAge22),MAX(CapacityAge22*АбонементНовых*M9,MeanMinAge22)))</f>
        <v/>
      </c>
      <c r="N69" s="87">
        <f>IF(OR(N42=0,22&lt;=КаникулыРоялти),0,N42*IF(РоялтиПоГруппам="Да",MeanMinAge22+N9*SUMIF(ThresholdAge22,"&lt;"&amp;N9,WeightedRevAge22)-SUMIF(ThresholdAge22,"&lt;"&amp;N9,WeightedMinAge22),MAX(CapacityAge22*АбонементНовых*N9,MeanMinAge22)))</f>
        <v/>
      </c>
      <c r="O69" s="87">
        <f>IF(OR(O42=0,22&lt;=КаникулыРоялти),0,O42*IF(РоялтиПоГруппам="Да",MeanMinAge22+O9*SUMIF(ThresholdAge22,"&lt;"&amp;O9,WeightedRevAge22)-SUMIF(ThresholdAge22,"&lt;"&amp;O9,WeightedMinAge22),MAX(CapacityAge22*АбонементНовых*O9,MeanMinAge22)))</f>
        <v/>
      </c>
      <c r="P69" s="87">
        <f>IF(OR(P42=0,22&lt;=КаникулыРоялти),0,P42*IF(РоялтиПоГруппам="Да",MeanMinAge22+P9*SUMIF(ThresholdAge22,"&lt;"&amp;P9,WeightedRevAge22)-SUMIF(ThresholdAge22,"&lt;"&amp;P9,WeightedMinAge22),MAX(CapacityAge22*АбонементНовых*P9,MeanMinAge22)))</f>
        <v/>
      </c>
      <c r="Q69" s="87">
        <f>IF(OR(Q42=0,22&lt;=КаникулыРоялти),0,Q42*IF(РоялтиПоГруппам="Да",MeanMinAge22+Q9*SUMIF(ThresholdAge22,"&lt;"&amp;Q9,WeightedRevAge22)-SUMIF(ThresholdAge22,"&lt;"&amp;Q9,WeightedMinAge22),MAX(CapacityAge22*АбонементНовых*Q9,MeanMinAge22)))</f>
        <v/>
      </c>
      <c r="R69" s="87">
        <f>IF(OR(R42=0,22&lt;=КаникулыРоялти),0,R42*IF(РоялтиПоГруппам="Да",MeanMinAge22+R9*SUMIF(ThresholdAge22,"&lt;"&amp;R9,WeightedRevAge22)-SUMIF(ThresholdAge22,"&lt;"&amp;R9,WeightedMinAge22),MAX(CapacityAge22*АбонементНовых*R9,MeanMinAge22)))</f>
        <v/>
      </c>
      <c r="S69" s="87">
        <f>IF(OR(S42=0,22&lt;=КаникулыРоялти),0,S42*IF(РоялтиПоГруппам="Да",MeanMinAge22+S9*SUMIF(ThresholdAge22,"&lt;"&amp;S9,WeightedRevAge22)-SUMIF(ThresholdAge22,"&lt;"&amp;S9,WeightedMinAge22),MAX(CapacityAge22*АбонементНовых*S9,MeanMinAge22)))</f>
        <v/>
      </c>
      <c r="T69" s="87">
        <f>IF(OR(T42=0,22&lt;=КаникулыРоялти),0,T42*IF(РоялтиПоГруппам="Да",MeanMinAge22+T9*SUMIF(ThresholdAge22,"&lt;"&amp;T9,WeightedRevAge22)-SUMIF(ThresholdAge22,"&lt;"&amp;T9,WeightedMinAge22),MAX(CapacityAge22*АбонементНовых*T9,MeanMinAge22)))</f>
        <v/>
      </c>
      <c r="U69" s="87">
        <f>IF(OR(U42=0,22&lt;=КаникулыРоялти),0,U42*IF(РоялтиПоГруппам="Да",MeanMinAge22+U9*SUMIF(ThresholdAge22,"&lt;"&amp;U9,WeightedRevAge22)-SUMIF(ThresholdAge22,"&lt;"&amp;U9,WeightedMinAge22),MAX(CapacityAge22*АбонементНовых*U9,MeanMinAge22)))</f>
        <v/>
      </c>
      <c r="V69" s="87">
        <f>IF(OR(V42=0,22&lt;=КаникулыРоялти),0,V42*IF(РоялтиПоГруппам="Да",MeanMinAge22+V9*SUMIF(ThresholdAge22,"&lt;"&amp;V9,WeightedRevAge22)-SUMIF(ThresholdAge22,"&lt;"&amp;V9,WeightedMinAge22),MAX(CapacityAge22*АбонементНовых*V9,MeanMinAge22)))</f>
        <v/>
      </c>
      <c r="W69" s="87">
        <f>IF(OR(W42=0,22&lt;=КаникулыРоялти),0,W42*IF(РоялтиПоГруппам="Да",MeanMinAge22+W9*SUMIF(ThresholdAge22,"&lt;"&amp;W9,WeightedRevAge22)-SUMIF(ThresholdAge22,"&lt;"&amp;W9,WeightedMinAge22),MAX(CapacityAge22*АбонементНовых*W9,MeanMinAge22)))</f>
        <v/>
      </c>
      <c r="X69" s="87">
        <f>IF(OR(X42=0,22&lt;=КаникулыРоялти),0,X42*IF(РоялтиПоГруппам="Да",MeanMinAge22+X9*SUMIF(ThresholdAge22,"&lt;"&amp;X9,WeightedRevAge22)-SUMIF(ThresholdAge22,"&lt;"&amp;X9,WeightedMinAge22),MAX(CapacityAge22*АбонементНовых*X9,MeanMinAge22)))</f>
        <v/>
      </c>
      <c r="Y69" s="87">
        <f>IF(OR(Y42=0,22&lt;=КаникулыРоялти),0,Y42*IF(РоялтиПоГруппам="Да",MeanMinAge22+Y9*SUMIF(ThresholdAge22,"&lt;"&amp;Y9,WeightedRevAge22)-SUMIF(ThresholdAge22,"&lt;"&amp;Y9,WeightedMinAge22),MAX(CapacityAge22*АбонементНовых*Y9,MeanMinAge22)))</f>
        <v/>
      </c>
      <c r="Z69" s="87">
        <f>IF(OR(Z42=0,22&lt;=КаникулыРоялти),0,Z42*IF(РоялтиПоГруппам="Да",MeanMinAge22+Z9*SUMIF(ThresholdAge22,"&lt;"&amp;Z9,WeightedRevAge22)-SUMIF(ThresholdAge22,"&lt;"&amp;Z9,WeightedMinAge22),MAX(CapacityAge22*АбонементНовых*Z9,MeanMinAge22)))</f>
        <v/>
      </c>
      <c r="AA69" s="87">
        <f>IF(OR(AA42=0,22&lt;=КаникулыРоялти),0,AA42*IF(РоялтиПоГруппам="Да",MeanMinAge22+AA9*SUMIF(ThresholdAge22,"&lt;"&amp;AA9,WeightedRevAge22)-SUMIF(ThresholdAge22,"&lt;"&amp;AA9,WeightedMinAge22),MAX(CapacityAge22*АбонементНовых*AA9,MeanMinAge22)))</f>
        <v/>
      </c>
      <c r="AB69" s="87">
        <f>IF(OR(AB42=0,22&lt;=КаникулыРоялти),0,AB42*IF(РоялтиПоГруппам="Да",MeanMinAge22+AB9*SUMIF(ThresholdAge22,"&lt;"&amp;AB9,WeightedRevAge22)-SUMIF(ThresholdAge22,"&lt;"&amp;AB9,WeightedMinAge22),MAX(CapacityAge22*АбонементНовых*AB9,MeanMinAge22)))</f>
        <v/>
      </c>
      <c r="AC69" s="87">
        <f>IF(OR(AC42=0,22&lt;=КаникулыРоялти),0,AC42*IF(РоялтиПоГруппам="Да",MeanMinAge22+AC9*SUMIF(ThresholdAge22,"&lt;"&amp;AC9,WeightedRevAge22)-SUMIF(ThresholdAge22,"&lt;"&amp;AC9,WeightedMinAge22),MAX(CapacityAge22*АбонементНовых*AC9,MeanMinAge22)))</f>
        <v/>
      </c>
      <c r="AD69" s="87">
        <f>IF(OR(AD42=0,22&lt;=КаникулыРоялти),0,AD42*IF(РоялтиПоГруппам="Да",MeanMinAge22+AD9*SUMIF(ThresholdAge22,"&lt;"&amp;AD9,WeightedRevAge22)-SUMIF(ThresholdAge22,"&lt;"&amp;AD9,WeightedMinAge22),MAX(CapacityAge22*АбонементНовых*AD9,MeanMinAge22)))</f>
        <v/>
      </c>
      <c r="AE69" s="87">
        <f>IF(OR(AE42=0,22&lt;=КаникулыРоялти),0,AE42*IF(РоялтиПоГруппам="Да",MeanMinAge22+AE9*SUMIF(ThresholdAge22,"&lt;"&amp;AE9,WeightedRevAge22)-SUMIF(ThresholdAge22,"&lt;"&amp;AE9,WeightedMinAge22),MAX(CapacityAge22*АбонементНовых*AE9,MeanMinAge22)))</f>
        <v/>
      </c>
      <c r="AF69" s="87">
        <f>IF(OR(AF42=0,22&lt;=КаникулыРоялти),0,AF42*IF(РоялтиПоГруппам="Да",MeanMinAge22+AF9*SUMIF(ThresholdAge22,"&lt;"&amp;AF9,WeightedRevAge22)-SUMIF(ThresholdAge22,"&lt;"&amp;AF9,WeightedMinAge22),MAX(CapacityAge22*АбонементНовых*AF9,MeanMinAge22)))</f>
        <v/>
      </c>
      <c r="AG69" s="87">
        <f>IF(OR(AG42=0,22&lt;=КаникулыРоялти),0,AG42*IF(РоялтиПоГруппам="Да",MeanMinAge22+AG9*SUMIF(ThresholdAge22,"&lt;"&amp;AG9,WeightedRevAge22)-SUMIF(ThresholdAge22,"&lt;"&amp;AG9,WeightedMinAge22),MAX(CapacityAge22*АбонементНовых*AG9,MeanMinAge22)))</f>
        <v/>
      </c>
      <c r="AH69" s="87">
        <f>IF(OR(AH42=0,22&lt;=КаникулыРоялти),0,AH42*IF(РоялтиПоГруппам="Да",MeanMinAge22+AH9*SUMIF(ThresholdAge22,"&lt;"&amp;AH9,WeightedRevAge22)-SUMIF(ThresholdAge22,"&lt;"&amp;AH9,WeightedMinAge22),MAX(CapacityAge22*АбонементНовых*AH9,MeanMinAge22)))</f>
        <v/>
      </c>
      <c r="AI69" s="87">
        <f>IF(OR(AI42=0,22&lt;=КаникулыРоялти),0,AI42*IF(РоялтиПоГруппам="Да",MeanMinAge22+AI9*SUMIF(ThresholdAge22,"&lt;"&amp;AI9,WeightedRevAge22)-SUMIF(ThresholdAge22,"&lt;"&amp;AI9,WeightedMinAge22),MAX(CapacityAge22*АбонементНовых*AI9,MeanMinAge22)))</f>
        <v/>
      </c>
      <c r="AJ69" s="87">
        <f>IF(OR(AJ42=0,22&lt;=КаникулыРоялти),0,AJ42*IF(РоялтиПоГруппам="Да",MeanMinAge22+AJ9*SUMIF(ThresholdAge22,"&lt;"&amp;AJ9,WeightedRevAge22)-SUMIF(ThresholdAge22,"&lt;"&amp;AJ9,WeightedMinAge22),MAX(CapacityAge22*АбонементНовых*AJ9,MeanMinAge22)))</f>
        <v/>
      </c>
      <c r="AK69" s="87">
        <f>IF(OR(AK42=0,22&lt;=КаникулыРоялти),0,AK42*IF(РоялтиПоГруппам="Да",MeanMinAge22+AK9*SUMIF(ThresholdAge22,"&lt;"&amp;AK9,WeightedRevAge22)-SUMIF(ThresholdAge22,"&lt;"&amp;AK9,WeightedMinAge22),MAX(CapacityAge22*АбонементНовых*AK9,MeanMinAge22)))</f>
        <v/>
      </c>
      <c r="AL69" s="87">
        <f>IF(OR(AL42=0,22&lt;=КаникулыРоялти),0,AL42*IF(РоялтиПоГруппам="Да",MeanMinAge22+AL9*SUMIF(ThresholdAge22,"&lt;"&amp;AL9,WeightedRevAge22)-SUMIF(ThresholdAge22,"&lt;"&amp;AL9,WeightedMinAge22),MAX(CapacityAge22*АбонементНовых*AL9,MeanMinAge22)))</f>
        <v/>
      </c>
      <c r="AM69" s="87">
        <f>IF(OR(AM42=0,22&lt;=КаникулыРоялти),0,AM42*IF(РоялтиПоГруппам="Да",MeanMinAge22+AM9*SUMIF(ThresholdAge22,"&lt;"&amp;AM9,WeightedRevAge22)-SUMIF(ThresholdAge22,"&lt;"&amp;AM9,WeightedMinAge22),MAX(CapacityAge22*АбонементНовых*AM9,MeanMinAge22)))</f>
        <v/>
      </c>
      <c r="AN69" s="87">
        <f>IF(OR(AN42=0,22&lt;=КаникулыРоялти),0,AN42*IF(РоялтиПоГруппам="Да",MeanMinAge22+AN9*SUMIF(ThresholdAge22,"&lt;"&amp;AN9,WeightedRevAge22)-SUMIF(ThresholdAge22,"&lt;"&amp;AN9,WeightedMinAge22),MAX(CapacityAge22*АбонементНовых*AN9,MeanMinAge22)))</f>
        <v/>
      </c>
      <c r="AO69" s="87">
        <f>IF(OR(AO42=0,22&lt;=КаникулыРоялти),0,AO42*IF(РоялтиПоГруппам="Да",MeanMinAge22+AO9*SUMIF(ThresholdAge22,"&lt;"&amp;AO9,WeightedRevAge22)-SUMIF(ThresholdAge22,"&lt;"&amp;AO9,WeightedMinAge22),MAX(CapacityAge22*АбонементНовых*AO9,MeanMinAge22)))</f>
        <v/>
      </c>
      <c r="AP69" s="87">
        <f>IF(OR(AP42=0,22&lt;=КаникулыРоялти),0,AP42*IF(РоялтиПоГруппам="Да",MeanMinAge22+AP9*SUMIF(ThresholdAge22,"&lt;"&amp;AP9,WeightedRevAge22)-SUMIF(ThresholdAge22,"&lt;"&amp;AP9,WeightedMinAge22),MAX(CapacityAge22*АбонементНовых*AP9,MeanMinAge22)))</f>
        <v/>
      </c>
      <c r="AQ69" s="87">
        <f>IF(OR(AQ42=0,22&lt;=КаникулыРоялти),0,AQ42*IF(РоялтиПоГруппам="Да",MeanMinAge22+AQ9*SUMIF(ThresholdAge22,"&lt;"&amp;AQ9,WeightedRevAge22)-SUMIF(ThresholdAge22,"&lt;"&amp;AQ9,WeightedMinAge22),MAX(CapacityAge22*АбонементНовых*AQ9,MeanMinAge22)))</f>
        <v/>
      </c>
      <c r="AR69" s="87">
        <f>IF(OR(AR42=0,22&lt;=КаникулыРоялти),0,AR42*IF(РоялтиПоГруппам="Да",MeanMinAge22+AR9*SUMIF(ThresholdAge22,"&lt;"&amp;AR9,WeightedRevAge22)-SUMIF(ThresholdAge22,"&lt;"&amp;AR9,WeightedMinAge22),MAX(CapacityAge22*АбонементНовых*AR9,MeanMinAge22)))</f>
        <v/>
      </c>
      <c r="AS69" s="87">
        <f>IF(OR(AS42=0,22&lt;=КаникулыРоялти),0,AS42*IF(РоялтиПоГруппам="Да",MeanMinAge22+AS9*SUMIF(ThresholdAge22,"&lt;"&amp;AS9,WeightedRevAge22)-SUMIF(ThresholdAge22,"&lt;"&amp;AS9,WeightedMinAge22),MAX(CapacityAge22*АбонементНовых*AS9,MeanMinAge22)))</f>
        <v/>
      </c>
      <c r="AT69" s="87">
        <f>IF(OR(AT42=0,22&lt;=КаникулыРоялти),0,AT42*IF(РоялтиПоГруппам="Да",MeanMinAge22+AT9*SUMIF(ThresholdAge22,"&lt;"&amp;AT9,WeightedRevAge22)-SUMIF(ThresholdAge22,"&lt;"&amp;AT9,WeightedMinAge22),MAX(CapacityAge22*АбонементНовых*AT9,MeanMinAge22)))</f>
        <v/>
      </c>
      <c r="AU69" s="87">
        <f>IF(OR(AU42=0,22&lt;=КаникулыРоялти),0,AU42*IF(РоялтиПоГруппам="Да",MeanMinAge22+AU9*SUMIF(ThresholdAge22,"&lt;"&amp;AU9,WeightedRevAge22)-SUMIF(ThresholdAge22,"&lt;"&amp;AU9,WeightedMinAge22),MAX(CapacityAge22*АбонементНовых*AU9,MeanMinAge22)))</f>
        <v/>
      </c>
      <c r="AV69" s="87">
        <f>IF(OR(AV42=0,22&lt;=КаникулыРоялти),0,AV42*IF(РоялтиПоГруппам="Да",MeanMinAge22+AV9*SUMIF(ThresholdAge22,"&lt;"&amp;AV9,WeightedRevAge22)-SUMIF(ThresholdAge22,"&lt;"&amp;AV9,WeightedMinAge22),MAX(CapacityAge22*АбонементНовых*AV9,MeanMinAge22)))</f>
        <v/>
      </c>
      <c r="AW69" s="87">
        <f>IF(OR(AW42=0,22&lt;=КаникулыРоялти),0,AW42*IF(РоялтиПоГруппам="Да",MeanMinAge22+AW9*SUMIF(ThresholdAge22,"&lt;"&amp;AW9,WeightedRevAge22)-SUMIF(ThresholdAge22,"&lt;"&amp;AW9,WeightedMinAge22),MAX(CapacityAge22*АбонементНовых*AW9,MeanMinAge22)))</f>
        <v/>
      </c>
      <c r="AX69" s="87">
        <f>IF(OR(AX42=0,22&lt;=КаникулыРоялти),0,AX42*IF(РоялтиПоГруппам="Да",MeanMinAge22+AX9*SUMIF(ThresholdAge22,"&lt;"&amp;AX9,WeightedRevAge22)-SUMIF(ThresholdAge22,"&lt;"&amp;AX9,WeightedMinAge22),MAX(CapacityAge22*АбонементНовых*AX9,MeanMinAge22)))</f>
        <v/>
      </c>
      <c r="AY69" s="87">
        <f>IF(OR(AY42=0,22&lt;=КаникулыРоялти),0,AY42*IF(РоялтиПоГруппам="Да",MeanMinAge22+AY9*SUMIF(ThresholdAge22,"&lt;"&amp;AY9,WeightedRevAge22)-SUMIF(ThresholdAge22,"&lt;"&amp;AY9,WeightedMinAge22),MAX(CapacityAge22*АбонементНовых*AY9,MeanMinAge22)))</f>
        <v/>
      </c>
      <c r="AZ69" s="87">
        <f>IF(OR(AZ42=0,22&lt;=КаникулыРоялти),0,AZ42*IF(РоялтиПоГруппам="Да",MeanMinAge22+AZ9*SUMIF(ThresholdAge22,"&lt;"&amp;AZ9,WeightedRevAge22)-SUMIF(ThresholdAge22,"&lt;"&amp;AZ9,WeightedMinAge22),MAX(CapacityAge22*АбонементНовых*AZ9,MeanMinAge22)))</f>
        <v/>
      </c>
      <c r="BA69" s="87">
        <f>IF(OR(BA42=0,22&lt;=КаникулыРоялти),0,BA42*IF(РоялтиПоГруппам="Да",MeanMinAge22+BA9*SUMIF(ThresholdAge22,"&lt;"&amp;BA9,WeightedRevAge22)-SUMIF(ThresholdAge22,"&lt;"&amp;BA9,WeightedMinAge22),MAX(CapacityAge22*АбонементНовых*BA9,MeanMinAge22)))</f>
        <v/>
      </c>
      <c r="BB69" s="87">
        <f>IF(OR(BB42=0,22&lt;=КаникулыРоялти),0,BB42*IF(РоялтиПоГруппам="Да",MeanMinAge22+BB9*SUMIF(ThresholdAge22,"&lt;"&amp;BB9,WeightedRevAge22)-SUMIF(ThresholdAge22,"&lt;"&amp;BB9,WeightedMinAge22),MAX(CapacityAge22*АбонементНовых*BB9,MeanMinAge22)))</f>
        <v/>
      </c>
      <c r="BC69" s="87">
        <f>IF(OR(BC42=0,22&lt;=КаникулыРоялти),0,BC42*IF(РоялтиПоГруппам="Да",MeanMinAge22+BC9*SUMIF(ThresholdAge22,"&lt;"&amp;BC9,WeightedRevAge22)-SUMIF(ThresholdAge22,"&lt;"&amp;BC9,WeightedMinAge22),MAX(CapacityAge22*АбонементНовых*BC9,MeanMinAge22)))</f>
        <v/>
      </c>
      <c r="BD69" s="87">
        <f>IF(OR(BD42=0,22&lt;=КаникулыРоялти),0,BD42*IF(РоялтиПоГруппам="Да",MeanMinAge22+BD9*SUMIF(ThresholdAge22,"&lt;"&amp;BD9,WeightedRevAge22)-SUMIF(ThresholdAge22,"&lt;"&amp;BD9,WeightedMinAge22),MAX(CapacityAge22*АбонементНовых*BD9,MeanMinAge22)))</f>
        <v/>
      </c>
      <c r="BE69" s="87">
        <f>IF(OR(BE42=0,22&lt;=КаникулыРоялти),0,BE42*IF(РоялтиПоГруппам="Да",MeanMinAge22+BE9*SUMIF(ThresholdAge22,"&lt;"&amp;BE9,WeightedRevAge22)-SUMIF(ThresholdAge22,"&lt;"&amp;BE9,WeightedMinAge22),MAX(CapacityAge22*АбонементНовых*BE9,MeanMinAge22)))</f>
        <v/>
      </c>
      <c r="BF69" s="87">
        <f>IF(OR(BF42=0,22&lt;=КаникулыРоялти),0,BF42*IF(РоялтиПоГруппам="Да",MeanMinAge22+BF9*SUMIF(ThresholdAge22,"&lt;"&amp;BF9,WeightedRevAge22)-SUMIF(ThresholdAge22,"&lt;"&amp;BF9,WeightedMinAge22),MAX(CapacityAge22*АбонементНовых*BF9,MeanMinAge22)))</f>
        <v/>
      </c>
      <c r="BG69" s="87">
        <f>IF(OR(BG42=0,22&lt;=КаникулыРоялти),0,BG42*IF(РоялтиПоГруппам="Да",MeanMinAge22+BG9*SUMIF(ThresholdAge22,"&lt;"&amp;BG9,WeightedRevAge22)-SUMIF(ThresholdAge22,"&lt;"&amp;BG9,WeightedMinAge22),MAX(CapacityAge22*АбонементНовых*BG9,MeanMinAge22)))</f>
        <v/>
      </c>
      <c r="BH69" s="87">
        <f>IF(OR(BH42=0,22&lt;=КаникулыРоялти),0,BH42*IF(РоялтиПоГруппам="Да",MeanMinAge22+BH9*SUMIF(ThresholdAge22,"&lt;"&amp;BH9,WeightedRevAge22)-SUMIF(ThresholdAge22,"&lt;"&amp;BH9,WeightedMinAge22),MAX(CapacityAge22*АбонементНовых*BH9,MeanMinAge22)))</f>
        <v/>
      </c>
      <c r="BI69" s="87">
        <f>IF(OR(BI42=0,22&lt;=КаникулыРоялти),0,BI42*IF(РоялтиПоГруппам="Да",MeanMinAge22+BI9*SUMIF(ThresholdAge22,"&lt;"&amp;BI9,WeightedRevAge22)-SUMIF(ThresholdAge22,"&lt;"&amp;BI9,WeightedMinAge22),MAX(CapacityAge22*АбонементНовых*BI9,MeanMinAge22)))</f>
        <v/>
      </c>
      <c r="BJ69" s="87">
        <f>IF(OR(BJ42=0,22&lt;=КаникулыРоялти),0,BJ42*IF(РоялтиПоГруппам="Да",MeanMinAge22+BJ9*SUMIF(ThresholdAge22,"&lt;"&amp;BJ9,WeightedRevAge22)-SUMIF(ThresholdAge22,"&lt;"&amp;BJ9,WeightedMinAge22),MAX(CapacityAge22*АбонементНовых*BJ9,MeanMinAge22)))</f>
        <v/>
      </c>
      <c r="BK69" s="87">
        <f>IF(OR(BK42=0,22&lt;=КаникулыРоялти),0,BK42*IF(РоялтиПоГруппам="Да",MeanMinAge22+BK9*SUMIF(ThresholdAge22,"&lt;"&amp;BK9,WeightedRevAge22)-SUMIF(ThresholdAge22,"&lt;"&amp;BK9,WeightedMinAge22),MAX(CapacityAge22*АбонементНовых*BK9,MeanMinAge22)))</f>
        <v/>
      </c>
      <c r="BL69" s="87">
        <f>IF(OR(BL42=0,22&lt;=КаникулыРоялти),0,BL42*IF(РоялтиПоГруппам="Да",MeanMinAge22+BL9*SUMIF(ThresholdAge22,"&lt;"&amp;BL9,WeightedRevAge22)-SUMIF(ThresholdAge22,"&lt;"&amp;BL9,WeightedMinAge22),MAX(CapacityAge22*АбонементНовых*BL9,MeanMinAge22)))</f>
        <v/>
      </c>
      <c r="BM69" s="87">
        <f>IF(OR(BM42=0,22&lt;=КаникулыРоялти),0,BM42*IF(РоялтиПоГруппам="Да",MeanMinAge22+BM9*SUMIF(ThresholdAge22,"&lt;"&amp;BM9,WeightedRevAge22)-SUMIF(ThresholdAge22,"&lt;"&amp;BM9,WeightedMinAge22),MAX(CapacityAge22*АбонементНовых*BM9,MeanMinAge22)))</f>
        <v/>
      </c>
      <c r="BN69" s="87">
        <f>IF(OR(BN42=0,22&lt;=КаникулыРоялти),0,BN42*IF(РоялтиПоГруппам="Да",MeanMinAge22+BN9*SUMIF(ThresholdAge22,"&lt;"&amp;BN9,WeightedRevAge22)-SUMIF(ThresholdAge22,"&lt;"&amp;BN9,WeightedMinAge22),MAX(CapacityAge22*АбонементНовых*BN9,MeanMinAge22)))</f>
        <v/>
      </c>
      <c r="BO69" s="87">
        <f>IF(OR(BO42=0,22&lt;=КаникулыРоялти),0,BO42*IF(РоялтиПоГруппам="Да",MeanMinAge22+BO9*SUMIF(ThresholdAge22,"&lt;"&amp;BO9,WeightedRevAge22)-SUMIF(ThresholdAge22,"&lt;"&amp;BO9,WeightedMinAge22),MAX(CapacityAge22*АбонементНовых*BO9,MeanMinAge22)))</f>
        <v/>
      </c>
      <c r="BP69" s="87">
        <f>IF(OR(BP42=0,22&lt;=КаникулыРоялти),0,BP42*IF(РоялтиПоГруппам="Да",MeanMinAge22+BP9*SUMIF(ThresholdAge22,"&lt;"&amp;BP9,WeightedRevAge22)-SUMIF(ThresholdAge22,"&lt;"&amp;BP9,WeightedMinAge22),MAX(CapacityAge22*АбонементНовых*BP9,MeanMinAge22)))</f>
        <v/>
      </c>
      <c r="BQ69" s="87">
        <f>IF(OR(BQ42=0,22&lt;=КаникулыРоялти),0,BQ42*IF(РоялтиПоГруппам="Да",MeanMinAge22+BQ9*SUMIF(ThresholdAge22,"&lt;"&amp;BQ9,WeightedRevAge22)-SUMIF(ThresholdAge22,"&lt;"&amp;BQ9,WeightedMinAge22),MAX(CapacityAge22*АбонементНовых*BQ9,MeanMinAge22)))</f>
        <v/>
      </c>
      <c r="BR69" s="87">
        <f>IF(OR(BR42=0,22&lt;=КаникулыРоялти),0,BR42*IF(РоялтиПоГруппам="Да",MeanMinAge22+BR9*SUMIF(ThresholdAge22,"&lt;"&amp;BR9,WeightedRevAge22)-SUMIF(ThresholdAge22,"&lt;"&amp;BR9,WeightedMinAge22),MAX(CapacityAge22*АбонементНовых*BR9,MeanMinAge22)))</f>
        <v/>
      </c>
      <c r="BS69" s="87">
        <f>IF(OR(BS42=0,22&lt;=КаникулыРоялти),0,BS42*IF(РоялтиПоГруппам="Да",MeanMinAge22+BS9*SUMIF(ThresholdAge22,"&lt;"&amp;BS9,WeightedRevAge22)-SUMIF(ThresholdAge22,"&lt;"&amp;BS9,WeightedMinAge22),MAX(CapacityAge22*АбонементНовых*BS9,MeanMinAge22)))</f>
        <v/>
      </c>
      <c r="BT69" s="87">
        <f>IF(OR(BT42=0,22&lt;=КаникулыРоялти),0,BT42*IF(РоялтиПоГруппам="Да",MeanMinAge22+BT9*SUMIF(ThresholdAge22,"&lt;"&amp;BT9,WeightedRevAge22)-SUMIF(ThresholdAge22,"&lt;"&amp;BT9,WeightedMinAge22),MAX(CapacityAge22*АбонементНовых*BT9,MeanMinAge22)))</f>
        <v/>
      </c>
      <c r="BU69" s="87">
        <f>IF(OR(BU42=0,22&lt;=КаникулыРоялти),0,BU42*IF(РоялтиПоГруппам="Да",MeanMinAge22+BU9*SUMIF(ThresholdAge22,"&lt;"&amp;BU9,WeightedRevAge22)-SUMIF(ThresholdAge22,"&lt;"&amp;BU9,WeightedMinAge22),MAX(CapacityAge22*АбонементНовых*BU9,MeanMinAge22)))</f>
        <v/>
      </c>
      <c r="BV69" s="87">
        <f>IF(OR(BV42=0,22&lt;=КаникулыРоялти),0,BV42*IF(РоялтиПоГруппам="Да",MeanMinAge22+BV9*SUMIF(ThresholdAge22,"&lt;"&amp;BV9,WeightedRevAge22)-SUMIF(ThresholdAge22,"&lt;"&amp;BV9,WeightedMinAge22),MAX(CapacityAge22*АбонементНовых*BV9,MeanMinAge22)))</f>
        <v/>
      </c>
      <c r="BW69" s="87">
        <f>IF(OR(BW42=0,22&lt;=КаникулыРоялти),0,BW42*IF(РоялтиПоГруппам="Да",MeanMinAge22+BW9*SUMIF(ThresholdAge22,"&lt;"&amp;BW9,WeightedRevAge22)-SUMIF(ThresholdAge22,"&lt;"&amp;BW9,WeightedMinAge22),MAX(CapacityAge22*АбонементНовых*BW9,MeanMinAge22)))</f>
        <v/>
      </c>
      <c r="BX69" s="87">
        <f>IF(OR(BX42=0,22&lt;=КаникулыРоялти),0,BX42*IF(РоялтиПоГруппам="Да",MeanMinAge22+BX9*SUMIF(ThresholdAge22,"&lt;"&amp;BX9,WeightedRevAge22)-SUMIF(ThresholdAge22,"&lt;"&amp;BX9,WeightedMinAge22),MAX(CapacityAge22*АбонементНовых*BX9,MeanMinAge22)))</f>
        <v/>
      </c>
      <c r="BY69" s="87">
        <f>IF(OR(BY42=0,22&lt;=КаникулыРоялти),0,BY42*IF(РоялтиПоГруппам="Да",MeanMinAge22+BY9*SUMIF(ThresholdAge22,"&lt;"&amp;BY9,WeightedRevAge22)-SUMIF(ThresholdAge22,"&lt;"&amp;BY9,WeightedMinAge22),MAX(CapacityAge22*АбонементНовых*BY9,MeanMinAge22)))</f>
        <v/>
      </c>
    </row>
    <row r="70" ht="15.75" customHeight="1" s="194">
      <c r="B70" s="56" t="inlineStr">
        <is>
          <t>23 мес.</t>
        </is>
      </c>
      <c r="C70" s="56" t="inlineStr">
        <is>
          <t>₽</t>
        </is>
      </c>
      <c r="D70" s="57" t="n"/>
      <c r="E70" s="85">
        <f>SUM(L70:W70)</f>
        <v/>
      </c>
      <c r="F70" s="85">
        <f>SUM(X70:AI70)</f>
        <v/>
      </c>
      <c r="G70" s="85">
        <f>SUM(AJ70:AU70)</f>
        <v/>
      </c>
      <c r="H70" s="85">
        <f>SUM(AV70:BG70)</f>
        <v/>
      </c>
      <c r="I70" s="85">
        <f>SUM(BH70:BS70)</f>
        <v/>
      </c>
      <c r="J70" s="86">
        <f>SUM(L70:BS70)</f>
        <v/>
      </c>
      <c r="L70" s="87">
        <f>IF(OR(L43=0,23&lt;=КаникулыРоялти),0,L43*IF(РоялтиПоГруппам="Да",MeanMinAge23+L9*SUMIF(ThresholdAge23,"&lt;"&amp;L9,WeightedRevAge23)-SUMIF(ThresholdAge23,"&lt;"&amp;L9,WeightedMinAge23),MAX(CapacityAge23*АбонементНовых*L9,MeanMinAge23)))</f>
        <v/>
      </c>
      <c r="M70" s="87">
        <f>IF(OR(M43=0,23&lt;=КаникулыРоялти),0,M43*IF(РоялтиПоГруппам="Да",MeanMinAge23+M9*SUMIF(ThresholdAge23,"&lt;"&amp;M9,WeightedRevAge23)-SUMIF(ThresholdAge23,"&lt;"&amp;M9,WeightedMinAge23),MAX(CapacityAge23*АбонементНовых*M9,MeanMinAge23)))</f>
        <v/>
      </c>
      <c r="N70" s="87">
        <f>IF(OR(N43=0,23&lt;=КаникулыРоялти),0,N43*IF(РоялтиПоГруппам="Да",MeanMinAge23+N9*SUMIF(ThresholdAge23,"&lt;"&amp;N9,WeightedRevAge23)-SUMIF(ThresholdAge23,"&lt;"&amp;N9,WeightedMinAge23),MAX(CapacityAge23*АбонементНовых*N9,MeanMinAge23)))</f>
        <v/>
      </c>
      <c r="O70" s="87">
        <f>IF(OR(O43=0,23&lt;=КаникулыРоялти),0,O43*IF(РоялтиПоГруппам="Да",MeanMinAge23+O9*SUMIF(ThresholdAge23,"&lt;"&amp;O9,WeightedRevAge23)-SUMIF(ThresholdAge23,"&lt;"&amp;O9,WeightedMinAge23),MAX(CapacityAge23*АбонементНовых*O9,MeanMinAge23)))</f>
        <v/>
      </c>
      <c r="P70" s="87">
        <f>IF(OR(P43=0,23&lt;=КаникулыРоялти),0,P43*IF(РоялтиПоГруппам="Да",MeanMinAge23+P9*SUMIF(ThresholdAge23,"&lt;"&amp;P9,WeightedRevAge23)-SUMIF(ThresholdAge23,"&lt;"&amp;P9,WeightedMinAge23),MAX(CapacityAge23*АбонементНовых*P9,MeanMinAge23)))</f>
        <v/>
      </c>
      <c r="Q70" s="87">
        <f>IF(OR(Q43=0,23&lt;=КаникулыРоялти),0,Q43*IF(РоялтиПоГруппам="Да",MeanMinAge23+Q9*SUMIF(ThresholdAge23,"&lt;"&amp;Q9,WeightedRevAge23)-SUMIF(ThresholdAge23,"&lt;"&amp;Q9,WeightedMinAge23),MAX(CapacityAge23*АбонементНовых*Q9,MeanMinAge23)))</f>
        <v/>
      </c>
      <c r="R70" s="87">
        <f>IF(OR(R43=0,23&lt;=КаникулыРоялти),0,R43*IF(РоялтиПоГруппам="Да",MeanMinAge23+R9*SUMIF(ThresholdAge23,"&lt;"&amp;R9,WeightedRevAge23)-SUMIF(ThresholdAge23,"&lt;"&amp;R9,WeightedMinAge23),MAX(CapacityAge23*АбонементНовых*R9,MeanMinAge23)))</f>
        <v/>
      </c>
      <c r="S70" s="87">
        <f>IF(OR(S43=0,23&lt;=КаникулыРоялти),0,S43*IF(РоялтиПоГруппам="Да",MeanMinAge23+S9*SUMIF(ThresholdAge23,"&lt;"&amp;S9,WeightedRevAge23)-SUMIF(ThresholdAge23,"&lt;"&amp;S9,WeightedMinAge23),MAX(CapacityAge23*АбонементНовых*S9,MeanMinAge23)))</f>
        <v/>
      </c>
      <c r="T70" s="87">
        <f>IF(OR(T43=0,23&lt;=КаникулыРоялти),0,T43*IF(РоялтиПоГруппам="Да",MeanMinAge23+T9*SUMIF(ThresholdAge23,"&lt;"&amp;T9,WeightedRevAge23)-SUMIF(ThresholdAge23,"&lt;"&amp;T9,WeightedMinAge23),MAX(CapacityAge23*АбонементНовых*T9,MeanMinAge23)))</f>
        <v/>
      </c>
      <c r="U70" s="87">
        <f>IF(OR(U43=0,23&lt;=КаникулыРоялти),0,U43*IF(РоялтиПоГруппам="Да",MeanMinAge23+U9*SUMIF(ThresholdAge23,"&lt;"&amp;U9,WeightedRevAge23)-SUMIF(ThresholdAge23,"&lt;"&amp;U9,WeightedMinAge23),MAX(CapacityAge23*АбонементНовых*U9,MeanMinAge23)))</f>
        <v/>
      </c>
      <c r="V70" s="87">
        <f>IF(OR(V43=0,23&lt;=КаникулыРоялти),0,V43*IF(РоялтиПоГруппам="Да",MeanMinAge23+V9*SUMIF(ThresholdAge23,"&lt;"&amp;V9,WeightedRevAge23)-SUMIF(ThresholdAge23,"&lt;"&amp;V9,WeightedMinAge23),MAX(CapacityAge23*АбонементНовых*V9,MeanMinAge23)))</f>
        <v/>
      </c>
      <c r="W70" s="87">
        <f>IF(OR(W43=0,23&lt;=КаникулыРоялти),0,W43*IF(РоялтиПоГруппам="Да",MeanMinAge23+W9*SUMIF(ThresholdAge23,"&lt;"&amp;W9,WeightedRevAge23)-SUMIF(ThresholdAge23,"&lt;"&amp;W9,WeightedMinAge23),MAX(CapacityAge23*АбонементНовых*W9,MeanMinAge23)))</f>
        <v/>
      </c>
      <c r="X70" s="87">
        <f>IF(OR(X43=0,23&lt;=КаникулыРоялти),0,X43*IF(РоялтиПоГруппам="Да",MeanMinAge23+X9*SUMIF(ThresholdAge23,"&lt;"&amp;X9,WeightedRevAge23)-SUMIF(ThresholdAge23,"&lt;"&amp;X9,WeightedMinAge23),MAX(CapacityAge23*АбонементНовых*X9,MeanMinAge23)))</f>
        <v/>
      </c>
      <c r="Y70" s="87">
        <f>IF(OR(Y43=0,23&lt;=КаникулыРоялти),0,Y43*IF(РоялтиПоГруппам="Да",MeanMinAge23+Y9*SUMIF(ThresholdAge23,"&lt;"&amp;Y9,WeightedRevAge23)-SUMIF(ThresholdAge23,"&lt;"&amp;Y9,WeightedMinAge23),MAX(CapacityAge23*АбонементНовых*Y9,MeanMinAge23)))</f>
        <v/>
      </c>
      <c r="Z70" s="87">
        <f>IF(OR(Z43=0,23&lt;=КаникулыРоялти),0,Z43*IF(РоялтиПоГруппам="Да",MeanMinAge23+Z9*SUMIF(ThresholdAge23,"&lt;"&amp;Z9,WeightedRevAge23)-SUMIF(ThresholdAge23,"&lt;"&amp;Z9,WeightedMinAge23),MAX(CapacityAge23*АбонементНовых*Z9,MeanMinAge23)))</f>
        <v/>
      </c>
      <c r="AA70" s="87">
        <f>IF(OR(AA43=0,23&lt;=КаникулыРоялти),0,AA43*IF(РоялтиПоГруппам="Да",MeanMinAge23+AA9*SUMIF(ThresholdAge23,"&lt;"&amp;AA9,WeightedRevAge23)-SUMIF(ThresholdAge23,"&lt;"&amp;AA9,WeightedMinAge23),MAX(CapacityAge23*АбонементНовых*AA9,MeanMinAge23)))</f>
        <v/>
      </c>
      <c r="AB70" s="87">
        <f>IF(OR(AB43=0,23&lt;=КаникулыРоялти),0,AB43*IF(РоялтиПоГруппам="Да",MeanMinAge23+AB9*SUMIF(ThresholdAge23,"&lt;"&amp;AB9,WeightedRevAge23)-SUMIF(ThresholdAge23,"&lt;"&amp;AB9,WeightedMinAge23),MAX(CapacityAge23*АбонементНовых*AB9,MeanMinAge23)))</f>
        <v/>
      </c>
      <c r="AC70" s="87">
        <f>IF(OR(AC43=0,23&lt;=КаникулыРоялти),0,AC43*IF(РоялтиПоГруппам="Да",MeanMinAge23+AC9*SUMIF(ThresholdAge23,"&lt;"&amp;AC9,WeightedRevAge23)-SUMIF(ThresholdAge23,"&lt;"&amp;AC9,WeightedMinAge23),MAX(CapacityAge23*АбонементНовых*AC9,MeanMinAge23)))</f>
        <v/>
      </c>
      <c r="AD70" s="87">
        <f>IF(OR(AD43=0,23&lt;=КаникулыРоялти),0,AD43*IF(РоялтиПоГруппам="Да",MeanMinAge23+AD9*SUMIF(ThresholdAge23,"&lt;"&amp;AD9,WeightedRevAge23)-SUMIF(ThresholdAge23,"&lt;"&amp;AD9,WeightedMinAge23),MAX(CapacityAge23*АбонементНовых*AD9,MeanMinAge23)))</f>
        <v/>
      </c>
      <c r="AE70" s="87">
        <f>IF(OR(AE43=0,23&lt;=КаникулыРоялти),0,AE43*IF(РоялтиПоГруппам="Да",MeanMinAge23+AE9*SUMIF(ThresholdAge23,"&lt;"&amp;AE9,WeightedRevAge23)-SUMIF(ThresholdAge23,"&lt;"&amp;AE9,WeightedMinAge23),MAX(CapacityAge23*АбонементНовых*AE9,MeanMinAge23)))</f>
        <v/>
      </c>
      <c r="AF70" s="87">
        <f>IF(OR(AF43=0,23&lt;=КаникулыРоялти),0,AF43*IF(РоялтиПоГруппам="Да",MeanMinAge23+AF9*SUMIF(ThresholdAge23,"&lt;"&amp;AF9,WeightedRevAge23)-SUMIF(ThresholdAge23,"&lt;"&amp;AF9,WeightedMinAge23),MAX(CapacityAge23*АбонементНовых*AF9,MeanMinAge23)))</f>
        <v/>
      </c>
      <c r="AG70" s="87">
        <f>IF(OR(AG43=0,23&lt;=КаникулыРоялти),0,AG43*IF(РоялтиПоГруппам="Да",MeanMinAge23+AG9*SUMIF(ThresholdAge23,"&lt;"&amp;AG9,WeightedRevAge23)-SUMIF(ThresholdAge23,"&lt;"&amp;AG9,WeightedMinAge23),MAX(CapacityAge23*АбонементНовых*AG9,MeanMinAge23)))</f>
        <v/>
      </c>
      <c r="AH70" s="87">
        <f>IF(OR(AH43=0,23&lt;=КаникулыРоялти),0,AH43*IF(РоялтиПоГруппам="Да",MeanMinAge23+AH9*SUMIF(ThresholdAge23,"&lt;"&amp;AH9,WeightedRevAge23)-SUMIF(ThresholdAge23,"&lt;"&amp;AH9,WeightedMinAge23),MAX(CapacityAge23*АбонементНовых*AH9,MeanMinAge23)))</f>
        <v/>
      </c>
      <c r="AI70" s="87">
        <f>IF(OR(AI43=0,23&lt;=КаникулыРоялти),0,AI43*IF(РоялтиПоГруппам="Да",MeanMinAge23+AI9*SUMIF(ThresholdAge23,"&lt;"&amp;AI9,WeightedRevAge23)-SUMIF(ThresholdAge23,"&lt;"&amp;AI9,WeightedMinAge23),MAX(CapacityAge23*АбонементНовых*AI9,MeanMinAge23)))</f>
        <v/>
      </c>
      <c r="AJ70" s="87">
        <f>IF(OR(AJ43=0,23&lt;=КаникулыРоялти),0,AJ43*IF(РоялтиПоГруппам="Да",MeanMinAge23+AJ9*SUMIF(ThresholdAge23,"&lt;"&amp;AJ9,WeightedRevAge23)-SUMIF(ThresholdAge23,"&lt;"&amp;AJ9,WeightedMinAge23),MAX(CapacityAge23*АбонементНовых*AJ9,MeanMinAge23)))</f>
        <v/>
      </c>
      <c r="AK70" s="87">
        <f>IF(OR(AK43=0,23&lt;=КаникулыРоялти),0,AK43*IF(РоялтиПоГруппам="Да",MeanMinAge23+AK9*SUMIF(ThresholdAge23,"&lt;"&amp;AK9,WeightedRevAge23)-SUMIF(ThresholdAge23,"&lt;"&amp;AK9,WeightedMinAge23),MAX(CapacityAge23*АбонементНовых*AK9,MeanMinAge23)))</f>
        <v/>
      </c>
      <c r="AL70" s="87">
        <f>IF(OR(AL43=0,23&lt;=КаникулыРоялти),0,AL43*IF(РоялтиПоГруппам="Да",MeanMinAge23+AL9*SUMIF(ThresholdAge23,"&lt;"&amp;AL9,WeightedRevAge23)-SUMIF(ThresholdAge23,"&lt;"&amp;AL9,WeightedMinAge23),MAX(CapacityAge23*АбонементНовых*AL9,MeanMinAge23)))</f>
        <v/>
      </c>
      <c r="AM70" s="87">
        <f>IF(OR(AM43=0,23&lt;=КаникулыРоялти),0,AM43*IF(РоялтиПоГруппам="Да",MeanMinAge23+AM9*SUMIF(ThresholdAge23,"&lt;"&amp;AM9,WeightedRevAge23)-SUMIF(ThresholdAge23,"&lt;"&amp;AM9,WeightedMinAge23),MAX(CapacityAge23*АбонементНовых*AM9,MeanMinAge23)))</f>
        <v/>
      </c>
      <c r="AN70" s="87">
        <f>IF(OR(AN43=0,23&lt;=КаникулыРоялти),0,AN43*IF(РоялтиПоГруппам="Да",MeanMinAge23+AN9*SUMIF(ThresholdAge23,"&lt;"&amp;AN9,WeightedRevAge23)-SUMIF(ThresholdAge23,"&lt;"&amp;AN9,WeightedMinAge23),MAX(CapacityAge23*АбонементНовых*AN9,MeanMinAge23)))</f>
        <v/>
      </c>
      <c r="AO70" s="87">
        <f>IF(OR(AO43=0,23&lt;=КаникулыРоялти),0,AO43*IF(РоялтиПоГруппам="Да",MeanMinAge23+AO9*SUMIF(ThresholdAge23,"&lt;"&amp;AO9,WeightedRevAge23)-SUMIF(ThresholdAge23,"&lt;"&amp;AO9,WeightedMinAge23),MAX(CapacityAge23*АбонементНовых*AO9,MeanMinAge23)))</f>
        <v/>
      </c>
      <c r="AP70" s="87">
        <f>IF(OR(AP43=0,23&lt;=КаникулыРоялти),0,AP43*IF(РоялтиПоГруппам="Да",MeanMinAge23+AP9*SUMIF(ThresholdAge23,"&lt;"&amp;AP9,WeightedRevAge23)-SUMIF(ThresholdAge23,"&lt;"&amp;AP9,WeightedMinAge23),MAX(CapacityAge23*АбонементНовых*AP9,MeanMinAge23)))</f>
        <v/>
      </c>
      <c r="AQ70" s="87">
        <f>IF(OR(AQ43=0,23&lt;=КаникулыРоялти),0,AQ43*IF(РоялтиПоГруппам="Да",MeanMinAge23+AQ9*SUMIF(ThresholdAge23,"&lt;"&amp;AQ9,WeightedRevAge23)-SUMIF(ThresholdAge23,"&lt;"&amp;AQ9,WeightedMinAge23),MAX(CapacityAge23*АбонементНовых*AQ9,MeanMinAge23)))</f>
        <v/>
      </c>
      <c r="AR70" s="87">
        <f>IF(OR(AR43=0,23&lt;=КаникулыРоялти),0,AR43*IF(РоялтиПоГруппам="Да",MeanMinAge23+AR9*SUMIF(ThresholdAge23,"&lt;"&amp;AR9,WeightedRevAge23)-SUMIF(ThresholdAge23,"&lt;"&amp;AR9,WeightedMinAge23),MAX(CapacityAge23*АбонементНовых*AR9,MeanMinAge23)))</f>
        <v/>
      </c>
      <c r="AS70" s="87">
        <f>IF(OR(AS43=0,23&lt;=КаникулыРоялти),0,AS43*IF(РоялтиПоГруппам="Да",MeanMinAge23+AS9*SUMIF(ThresholdAge23,"&lt;"&amp;AS9,WeightedRevAge23)-SUMIF(ThresholdAge23,"&lt;"&amp;AS9,WeightedMinAge23),MAX(CapacityAge23*АбонементНовых*AS9,MeanMinAge23)))</f>
        <v/>
      </c>
      <c r="AT70" s="87">
        <f>IF(OR(AT43=0,23&lt;=КаникулыРоялти),0,AT43*IF(РоялтиПоГруппам="Да",MeanMinAge23+AT9*SUMIF(ThresholdAge23,"&lt;"&amp;AT9,WeightedRevAge23)-SUMIF(ThresholdAge23,"&lt;"&amp;AT9,WeightedMinAge23),MAX(CapacityAge23*АбонементНовых*AT9,MeanMinAge23)))</f>
        <v/>
      </c>
      <c r="AU70" s="87">
        <f>IF(OR(AU43=0,23&lt;=КаникулыРоялти),0,AU43*IF(РоялтиПоГруппам="Да",MeanMinAge23+AU9*SUMIF(ThresholdAge23,"&lt;"&amp;AU9,WeightedRevAge23)-SUMIF(ThresholdAge23,"&lt;"&amp;AU9,WeightedMinAge23),MAX(CapacityAge23*АбонементНовых*AU9,MeanMinAge23)))</f>
        <v/>
      </c>
      <c r="AV70" s="87">
        <f>IF(OR(AV43=0,23&lt;=КаникулыРоялти),0,AV43*IF(РоялтиПоГруппам="Да",MeanMinAge23+AV9*SUMIF(ThresholdAge23,"&lt;"&amp;AV9,WeightedRevAge23)-SUMIF(ThresholdAge23,"&lt;"&amp;AV9,WeightedMinAge23),MAX(CapacityAge23*АбонементНовых*AV9,MeanMinAge23)))</f>
        <v/>
      </c>
      <c r="AW70" s="87">
        <f>IF(OR(AW43=0,23&lt;=КаникулыРоялти),0,AW43*IF(РоялтиПоГруппам="Да",MeanMinAge23+AW9*SUMIF(ThresholdAge23,"&lt;"&amp;AW9,WeightedRevAge23)-SUMIF(ThresholdAge23,"&lt;"&amp;AW9,WeightedMinAge23),MAX(CapacityAge23*АбонементНовых*AW9,MeanMinAge23)))</f>
        <v/>
      </c>
      <c r="AX70" s="87">
        <f>IF(OR(AX43=0,23&lt;=КаникулыРоялти),0,AX43*IF(РоялтиПоГруппам="Да",MeanMinAge23+AX9*SUMIF(ThresholdAge23,"&lt;"&amp;AX9,WeightedRevAge23)-SUMIF(ThresholdAge23,"&lt;"&amp;AX9,WeightedMinAge23),MAX(CapacityAge23*АбонементНовых*AX9,MeanMinAge23)))</f>
        <v/>
      </c>
      <c r="AY70" s="87">
        <f>IF(OR(AY43=0,23&lt;=КаникулыРоялти),0,AY43*IF(РоялтиПоГруппам="Да",MeanMinAge23+AY9*SUMIF(ThresholdAge23,"&lt;"&amp;AY9,WeightedRevAge23)-SUMIF(ThresholdAge23,"&lt;"&amp;AY9,WeightedMinAge23),MAX(CapacityAge23*АбонементНовых*AY9,MeanMinAge23)))</f>
        <v/>
      </c>
      <c r="AZ70" s="87">
        <f>IF(OR(AZ43=0,23&lt;=КаникулыРоялти),0,AZ43*IF(РоялтиПоГруппам="Да",MeanMinAge23+AZ9*SUMIF(ThresholdAge23,"&lt;"&amp;AZ9,WeightedRevAge23)-SUMIF(ThresholdAge23,"&lt;"&amp;AZ9,WeightedMinAge23),MAX(CapacityAge23*АбонементНовых*AZ9,MeanMinAge23)))</f>
        <v/>
      </c>
      <c r="BA70" s="87">
        <f>IF(OR(BA43=0,23&lt;=КаникулыРоялти),0,BA43*IF(РоялтиПоГруппам="Да",MeanMinAge23+BA9*SUMIF(ThresholdAge23,"&lt;"&amp;BA9,WeightedRevAge23)-SUMIF(ThresholdAge23,"&lt;"&amp;BA9,WeightedMinAge23),MAX(CapacityAge23*АбонементНовых*BA9,MeanMinAge23)))</f>
        <v/>
      </c>
      <c r="BB70" s="87">
        <f>IF(OR(BB43=0,23&lt;=КаникулыРоялти),0,BB43*IF(РоялтиПоГруппам="Да",MeanMinAge23+BB9*SUMIF(ThresholdAge23,"&lt;"&amp;BB9,WeightedRevAge23)-SUMIF(ThresholdAge23,"&lt;"&amp;BB9,WeightedMinAge23),MAX(CapacityAge23*АбонементНовых*BB9,MeanMinAge23)))</f>
        <v/>
      </c>
      <c r="BC70" s="87">
        <f>IF(OR(BC43=0,23&lt;=КаникулыРоялти),0,BC43*IF(РоялтиПоГруппам="Да",MeanMinAge23+BC9*SUMIF(ThresholdAge23,"&lt;"&amp;BC9,WeightedRevAge23)-SUMIF(ThresholdAge23,"&lt;"&amp;BC9,WeightedMinAge23),MAX(CapacityAge23*АбонементНовых*BC9,MeanMinAge23)))</f>
        <v/>
      </c>
      <c r="BD70" s="87">
        <f>IF(OR(BD43=0,23&lt;=КаникулыРоялти),0,BD43*IF(РоялтиПоГруппам="Да",MeanMinAge23+BD9*SUMIF(ThresholdAge23,"&lt;"&amp;BD9,WeightedRevAge23)-SUMIF(ThresholdAge23,"&lt;"&amp;BD9,WeightedMinAge23),MAX(CapacityAge23*АбонементНовых*BD9,MeanMinAge23)))</f>
        <v/>
      </c>
      <c r="BE70" s="87">
        <f>IF(OR(BE43=0,23&lt;=КаникулыРоялти),0,BE43*IF(РоялтиПоГруппам="Да",MeanMinAge23+BE9*SUMIF(ThresholdAge23,"&lt;"&amp;BE9,WeightedRevAge23)-SUMIF(ThresholdAge23,"&lt;"&amp;BE9,WeightedMinAge23),MAX(CapacityAge23*АбонементНовых*BE9,MeanMinAge23)))</f>
        <v/>
      </c>
      <c r="BF70" s="87">
        <f>IF(OR(BF43=0,23&lt;=КаникулыРоялти),0,BF43*IF(РоялтиПоГруппам="Да",MeanMinAge23+BF9*SUMIF(ThresholdAge23,"&lt;"&amp;BF9,WeightedRevAge23)-SUMIF(ThresholdAge23,"&lt;"&amp;BF9,WeightedMinAge23),MAX(CapacityAge23*АбонементНовых*BF9,MeanMinAge23)))</f>
        <v/>
      </c>
      <c r="BG70" s="87">
        <f>IF(OR(BG43=0,23&lt;=КаникулыРоялти),0,BG43*IF(РоялтиПоГруппам="Да",MeanMinAge23+BG9*SUMIF(ThresholdAge23,"&lt;"&amp;BG9,WeightedRevAge23)-SUMIF(ThresholdAge23,"&lt;"&amp;BG9,WeightedMinAge23),MAX(CapacityAge23*АбонементНовых*BG9,MeanMinAge23)))</f>
        <v/>
      </c>
      <c r="BH70" s="87">
        <f>IF(OR(BH43=0,23&lt;=КаникулыРоялти),0,BH43*IF(РоялтиПоГруппам="Да",MeanMinAge23+BH9*SUMIF(ThresholdAge23,"&lt;"&amp;BH9,WeightedRevAge23)-SUMIF(ThresholdAge23,"&lt;"&amp;BH9,WeightedMinAge23),MAX(CapacityAge23*АбонементНовых*BH9,MeanMinAge23)))</f>
        <v/>
      </c>
      <c r="BI70" s="87">
        <f>IF(OR(BI43=0,23&lt;=КаникулыРоялти),0,BI43*IF(РоялтиПоГруппам="Да",MeanMinAge23+BI9*SUMIF(ThresholdAge23,"&lt;"&amp;BI9,WeightedRevAge23)-SUMIF(ThresholdAge23,"&lt;"&amp;BI9,WeightedMinAge23),MAX(CapacityAge23*АбонементНовых*BI9,MeanMinAge23)))</f>
        <v/>
      </c>
      <c r="BJ70" s="87">
        <f>IF(OR(BJ43=0,23&lt;=КаникулыРоялти),0,BJ43*IF(РоялтиПоГруппам="Да",MeanMinAge23+BJ9*SUMIF(ThresholdAge23,"&lt;"&amp;BJ9,WeightedRevAge23)-SUMIF(ThresholdAge23,"&lt;"&amp;BJ9,WeightedMinAge23),MAX(CapacityAge23*АбонементНовых*BJ9,MeanMinAge23)))</f>
        <v/>
      </c>
      <c r="BK70" s="87">
        <f>IF(OR(BK43=0,23&lt;=КаникулыРоялти),0,BK43*IF(РоялтиПоГруппам="Да",MeanMinAge23+BK9*SUMIF(ThresholdAge23,"&lt;"&amp;BK9,WeightedRevAge23)-SUMIF(ThresholdAge23,"&lt;"&amp;BK9,WeightedMinAge23),MAX(CapacityAge23*АбонементНовых*BK9,MeanMinAge23)))</f>
        <v/>
      </c>
      <c r="BL70" s="87">
        <f>IF(OR(BL43=0,23&lt;=КаникулыРоялти),0,BL43*IF(РоялтиПоГруппам="Да",MeanMinAge23+BL9*SUMIF(ThresholdAge23,"&lt;"&amp;BL9,WeightedRevAge23)-SUMIF(ThresholdAge23,"&lt;"&amp;BL9,WeightedMinAge23),MAX(CapacityAge23*АбонементНовых*BL9,MeanMinAge23)))</f>
        <v/>
      </c>
      <c r="BM70" s="87">
        <f>IF(OR(BM43=0,23&lt;=КаникулыРоялти),0,BM43*IF(РоялтиПоГруппам="Да",MeanMinAge23+BM9*SUMIF(ThresholdAge23,"&lt;"&amp;BM9,WeightedRevAge23)-SUMIF(ThresholdAge23,"&lt;"&amp;BM9,WeightedMinAge23),MAX(CapacityAge23*АбонементНовых*BM9,MeanMinAge23)))</f>
        <v/>
      </c>
      <c r="BN70" s="87">
        <f>IF(OR(BN43=0,23&lt;=КаникулыРоялти),0,BN43*IF(РоялтиПоГруппам="Да",MeanMinAge23+BN9*SUMIF(ThresholdAge23,"&lt;"&amp;BN9,WeightedRevAge23)-SUMIF(ThresholdAge23,"&lt;"&amp;BN9,WeightedMinAge23),MAX(CapacityAge23*АбонементНовых*BN9,MeanMinAge23)))</f>
        <v/>
      </c>
      <c r="BO70" s="87">
        <f>IF(OR(BO43=0,23&lt;=КаникулыРоялти),0,BO43*IF(РоялтиПоГруппам="Да",MeanMinAge23+BO9*SUMIF(ThresholdAge23,"&lt;"&amp;BO9,WeightedRevAge23)-SUMIF(ThresholdAge23,"&lt;"&amp;BO9,WeightedMinAge23),MAX(CapacityAge23*АбонементНовых*BO9,MeanMinAge23)))</f>
        <v/>
      </c>
      <c r="BP70" s="87">
        <f>IF(OR(BP43=0,23&lt;=КаникулыРоялти),0,BP43*IF(РоялтиПоГруппам="Да",MeanMinAge23+BP9*SUMIF(ThresholdAge23,"&lt;"&amp;BP9,WeightedRevAge23)-SUMIF(ThresholdAge23,"&lt;"&amp;BP9,WeightedMinAge23),MAX(CapacityAge23*АбонементНовых*BP9,MeanMinAge23)))</f>
        <v/>
      </c>
      <c r="BQ70" s="87">
        <f>IF(OR(BQ43=0,23&lt;=КаникулыРоялти),0,BQ43*IF(РоялтиПоГруппам="Да",MeanMinAge23+BQ9*SUMIF(ThresholdAge23,"&lt;"&amp;BQ9,WeightedRevAge23)-SUMIF(ThresholdAge23,"&lt;"&amp;BQ9,WeightedMinAge23),MAX(CapacityAge23*АбонементНовых*BQ9,MeanMinAge23)))</f>
        <v/>
      </c>
      <c r="BR70" s="87">
        <f>IF(OR(BR43=0,23&lt;=КаникулыРоялти),0,BR43*IF(РоялтиПоГруппам="Да",MeanMinAge23+BR9*SUMIF(ThresholdAge23,"&lt;"&amp;BR9,WeightedRevAge23)-SUMIF(ThresholdAge23,"&lt;"&amp;BR9,WeightedMinAge23),MAX(CapacityAge23*АбонементНовых*BR9,MeanMinAge23)))</f>
        <v/>
      </c>
      <c r="BS70" s="87">
        <f>IF(OR(BS43=0,23&lt;=КаникулыРоялти),0,BS43*IF(РоялтиПоГруппам="Да",MeanMinAge23+BS9*SUMIF(ThresholdAge23,"&lt;"&amp;BS9,WeightedRevAge23)-SUMIF(ThresholdAge23,"&lt;"&amp;BS9,WeightedMinAge23),MAX(CapacityAge23*АбонементНовых*BS9,MeanMinAge23)))</f>
        <v/>
      </c>
      <c r="BT70" s="87">
        <f>IF(OR(BT43=0,23&lt;=КаникулыРоялти),0,BT43*IF(РоялтиПоГруппам="Да",MeanMinAge23+BT9*SUMIF(ThresholdAge23,"&lt;"&amp;BT9,WeightedRevAge23)-SUMIF(ThresholdAge23,"&lt;"&amp;BT9,WeightedMinAge23),MAX(CapacityAge23*АбонементНовых*BT9,MeanMinAge23)))</f>
        <v/>
      </c>
      <c r="BU70" s="87">
        <f>IF(OR(BU43=0,23&lt;=КаникулыРоялти),0,BU43*IF(РоялтиПоГруппам="Да",MeanMinAge23+BU9*SUMIF(ThresholdAge23,"&lt;"&amp;BU9,WeightedRevAge23)-SUMIF(ThresholdAge23,"&lt;"&amp;BU9,WeightedMinAge23),MAX(CapacityAge23*АбонементНовых*BU9,MeanMinAge23)))</f>
        <v/>
      </c>
      <c r="BV70" s="87">
        <f>IF(OR(BV43=0,23&lt;=КаникулыРоялти),0,BV43*IF(РоялтиПоГруппам="Да",MeanMinAge23+BV9*SUMIF(ThresholdAge23,"&lt;"&amp;BV9,WeightedRevAge23)-SUMIF(ThresholdAge23,"&lt;"&amp;BV9,WeightedMinAge23),MAX(CapacityAge23*АбонементНовых*BV9,MeanMinAge23)))</f>
        <v/>
      </c>
      <c r="BW70" s="87">
        <f>IF(OR(BW43=0,23&lt;=КаникулыРоялти),0,BW43*IF(РоялтиПоГруппам="Да",MeanMinAge23+BW9*SUMIF(ThresholdAge23,"&lt;"&amp;BW9,WeightedRevAge23)-SUMIF(ThresholdAge23,"&lt;"&amp;BW9,WeightedMinAge23),MAX(CapacityAge23*АбонементНовых*BW9,MeanMinAge23)))</f>
        <v/>
      </c>
      <c r="BX70" s="87">
        <f>IF(OR(BX43=0,23&lt;=КаникулыРоялти),0,BX43*IF(РоялтиПоГруппам="Да",MeanMinAge23+BX9*SUMIF(ThresholdAge23,"&lt;"&amp;BX9,WeightedRevAge23)-SUMIF(ThresholdAge23,"&lt;"&amp;BX9,WeightedMinAge23),MAX(CapacityAge23*АбонементНовых*BX9,MeanMinAge23)))</f>
        <v/>
      </c>
      <c r="BY70" s="87">
        <f>IF(OR(BY43=0,23&lt;=КаникулыРоялти),0,BY43*IF(РоялтиПоГруппам="Да",MeanMinAge23+BY9*SUMIF(ThresholdAge23,"&lt;"&amp;BY9,WeightedRevAge23)-SUMIF(ThresholdAge23,"&lt;"&amp;BY9,WeightedMinAge23),MAX(CapacityAge23*АбонементНовых*BY9,MeanMinAge23)))</f>
        <v/>
      </c>
    </row>
    <row r="71" ht="15.75" customHeight="1" s="194">
      <c r="B71" s="56" t="inlineStr">
        <is>
          <t>24 мес.</t>
        </is>
      </c>
      <c r="C71" s="56" t="inlineStr">
        <is>
          <t>₽</t>
        </is>
      </c>
      <c r="D71" s="57" t="n"/>
      <c r="E71" s="85">
        <f>SUM(L71:W71)</f>
        <v/>
      </c>
      <c r="F71" s="85">
        <f>SUM(X71:AI71)</f>
        <v/>
      </c>
      <c r="G71" s="85">
        <f>SUM(AJ71:AU71)</f>
        <v/>
      </c>
      <c r="H71" s="85">
        <f>SUM(AV71:BG71)</f>
        <v/>
      </c>
      <c r="I71" s="85">
        <f>SUM(BH71:BS71)</f>
        <v/>
      </c>
      <c r="J71" s="86">
        <f>SUM(L71:BS71)</f>
        <v/>
      </c>
      <c r="L71" s="87">
        <f>IF(OR(L44=0,24&lt;=КаникулыРоялти),0,L44*IF(РоялтиПоГруппам="Да",MeanMinAge24+L9*SUMIF(ThresholdAge24,"&lt;"&amp;L9,WeightedRevAge24)-SUMIF(ThresholdAge24,"&lt;"&amp;L9,WeightedMinAge24),MAX(CapacityAge24*АбонементНовых*L9,MeanMinAge24)))</f>
        <v/>
      </c>
      <c r="M71" s="87">
        <f>IF(OR(M44=0,24&lt;=КаникулыРоялти),0,M44*IF(РоялтиПоГруппам="Да",MeanMinAge24+M9*SUMIF(ThresholdAge24,"&lt;"&amp;M9,WeightedRevAge24)-SUMIF(ThresholdAge24,"&lt;"&amp;M9,WeightedMinAge24),MAX(CapacityAge24*АбонементНовых*M9,MeanMinAge24)))</f>
        <v/>
      </c>
      <c r="N71" s="87">
        <f>IF(OR(N44=0,24&lt;=КаникулыРоялти),0,N44*IF(РоялтиПоГруппам="Да",MeanMinAge24+N9*SUMIF(ThresholdAge24,"&lt;"&amp;N9,WeightedRevAge24)-SUMIF(ThresholdAge24,"&lt;"&amp;N9,WeightedMinAge24),MAX(CapacityAge24*АбонементНовых*N9,MeanMinAge24)))</f>
        <v/>
      </c>
      <c r="O71" s="87">
        <f>IF(OR(O44=0,24&lt;=КаникулыРоялти),0,O44*IF(РоялтиПоГруппам="Да",MeanMinAge24+O9*SUMIF(ThresholdAge24,"&lt;"&amp;O9,WeightedRevAge24)-SUMIF(ThresholdAge24,"&lt;"&amp;O9,WeightedMinAge24),MAX(CapacityAge24*АбонементНовых*O9,MeanMinAge24)))</f>
        <v/>
      </c>
      <c r="P71" s="87">
        <f>IF(OR(P44=0,24&lt;=КаникулыРоялти),0,P44*IF(РоялтиПоГруппам="Да",MeanMinAge24+P9*SUMIF(ThresholdAge24,"&lt;"&amp;P9,WeightedRevAge24)-SUMIF(ThresholdAge24,"&lt;"&amp;P9,WeightedMinAge24),MAX(CapacityAge24*АбонементНовых*P9,MeanMinAge24)))</f>
        <v/>
      </c>
      <c r="Q71" s="87">
        <f>IF(OR(Q44=0,24&lt;=КаникулыРоялти),0,Q44*IF(РоялтиПоГруппам="Да",MeanMinAge24+Q9*SUMIF(ThresholdAge24,"&lt;"&amp;Q9,WeightedRevAge24)-SUMIF(ThresholdAge24,"&lt;"&amp;Q9,WeightedMinAge24),MAX(CapacityAge24*АбонементНовых*Q9,MeanMinAge24)))</f>
        <v/>
      </c>
      <c r="R71" s="87">
        <f>IF(OR(R44=0,24&lt;=КаникулыРоялти),0,R44*IF(РоялтиПоГруппам="Да",MeanMinAge24+R9*SUMIF(ThresholdAge24,"&lt;"&amp;R9,WeightedRevAge24)-SUMIF(ThresholdAge24,"&lt;"&amp;R9,WeightedMinAge24),MAX(CapacityAge24*АбонементНовых*R9,MeanMinAge24)))</f>
        <v/>
      </c>
      <c r="S71" s="87">
        <f>IF(OR(S44=0,24&lt;=КаникулыРоялти),0,S44*IF(РоялтиПоГруппам="Да",MeanMinAge24+S9*SUMIF(ThresholdAge24,"&lt;"&amp;S9,WeightedRevAge24)-SUMIF(ThresholdAge24,"&lt;"&amp;S9,WeightedMinAge24),MAX(CapacityAge24*АбонементНовых*S9,MeanMinAge24)))</f>
        <v/>
      </c>
      <c r="T71" s="87">
        <f>IF(OR(T44=0,24&lt;=КаникулыРоялти),0,T44*IF(РоялтиПоГруппам="Да",MeanMinAge24+T9*SUMIF(ThresholdAge24,"&lt;"&amp;T9,WeightedRevAge24)-SUMIF(ThresholdAge24,"&lt;"&amp;T9,WeightedMinAge24),MAX(CapacityAge24*АбонементНовых*T9,MeanMinAge24)))</f>
        <v/>
      </c>
      <c r="U71" s="87">
        <f>IF(OR(U44=0,24&lt;=КаникулыРоялти),0,U44*IF(РоялтиПоГруппам="Да",MeanMinAge24+U9*SUMIF(ThresholdAge24,"&lt;"&amp;U9,WeightedRevAge24)-SUMIF(ThresholdAge24,"&lt;"&amp;U9,WeightedMinAge24),MAX(CapacityAge24*АбонементНовых*U9,MeanMinAge24)))</f>
        <v/>
      </c>
      <c r="V71" s="87">
        <f>IF(OR(V44=0,24&lt;=КаникулыРоялти),0,V44*IF(РоялтиПоГруппам="Да",MeanMinAge24+V9*SUMIF(ThresholdAge24,"&lt;"&amp;V9,WeightedRevAge24)-SUMIF(ThresholdAge24,"&lt;"&amp;V9,WeightedMinAge24),MAX(CapacityAge24*АбонементНовых*V9,MeanMinAge24)))</f>
        <v/>
      </c>
      <c r="W71" s="87">
        <f>IF(OR(W44=0,24&lt;=КаникулыРоялти),0,W44*IF(РоялтиПоГруппам="Да",MeanMinAge24+W9*SUMIF(ThresholdAge24,"&lt;"&amp;W9,WeightedRevAge24)-SUMIF(ThresholdAge24,"&lt;"&amp;W9,WeightedMinAge24),MAX(CapacityAge24*АбонементНовых*W9,MeanMinAge24)))</f>
        <v/>
      </c>
      <c r="X71" s="87">
        <f>IF(OR(X44=0,24&lt;=КаникулыРоялти),0,X44*IF(РоялтиПоГруппам="Да",MeanMinAge24+X9*SUMIF(ThresholdAge24,"&lt;"&amp;X9,WeightedRevAge24)-SUMIF(ThresholdAge24,"&lt;"&amp;X9,WeightedMinAge24),MAX(CapacityAge24*АбонементНовых*X9,MeanMinAge24)))</f>
        <v/>
      </c>
      <c r="Y71" s="87">
        <f>IF(OR(Y44=0,24&lt;=КаникулыРоялти),0,Y44*IF(РоялтиПоГруппам="Да",MeanMinAge24+Y9*SUMIF(ThresholdAge24,"&lt;"&amp;Y9,WeightedRevAge24)-SUMIF(ThresholdAge24,"&lt;"&amp;Y9,WeightedMinAge24),MAX(CapacityAge24*АбонементНовых*Y9,MeanMinAge24)))</f>
        <v/>
      </c>
      <c r="Z71" s="87">
        <f>IF(OR(Z44=0,24&lt;=КаникулыРоялти),0,Z44*IF(РоялтиПоГруппам="Да",MeanMinAge24+Z9*SUMIF(ThresholdAge24,"&lt;"&amp;Z9,WeightedRevAge24)-SUMIF(ThresholdAge24,"&lt;"&amp;Z9,WeightedMinAge24),MAX(CapacityAge24*АбонементНовых*Z9,MeanMinAge24)))</f>
        <v/>
      </c>
      <c r="AA71" s="87">
        <f>IF(OR(AA44=0,24&lt;=КаникулыРоялти),0,AA44*IF(РоялтиПоГруппам="Да",MeanMinAge24+AA9*SUMIF(ThresholdAge24,"&lt;"&amp;AA9,WeightedRevAge24)-SUMIF(ThresholdAge24,"&lt;"&amp;AA9,WeightedMinAge24),MAX(CapacityAge24*АбонементНовых*AA9,MeanMinAge24)))</f>
        <v/>
      </c>
      <c r="AB71" s="87">
        <f>IF(OR(AB44=0,24&lt;=КаникулыРоялти),0,AB44*IF(РоялтиПоГруппам="Да",MeanMinAge24+AB9*SUMIF(ThresholdAge24,"&lt;"&amp;AB9,WeightedRevAge24)-SUMIF(ThresholdAge24,"&lt;"&amp;AB9,WeightedMinAge24),MAX(CapacityAge24*АбонементНовых*AB9,MeanMinAge24)))</f>
        <v/>
      </c>
      <c r="AC71" s="87">
        <f>IF(OR(AC44=0,24&lt;=КаникулыРоялти),0,AC44*IF(РоялтиПоГруппам="Да",MeanMinAge24+AC9*SUMIF(ThresholdAge24,"&lt;"&amp;AC9,WeightedRevAge24)-SUMIF(ThresholdAge24,"&lt;"&amp;AC9,WeightedMinAge24),MAX(CapacityAge24*АбонементНовых*AC9,MeanMinAge24)))</f>
        <v/>
      </c>
      <c r="AD71" s="87">
        <f>IF(OR(AD44=0,24&lt;=КаникулыРоялти),0,AD44*IF(РоялтиПоГруппам="Да",MeanMinAge24+AD9*SUMIF(ThresholdAge24,"&lt;"&amp;AD9,WeightedRevAge24)-SUMIF(ThresholdAge24,"&lt;"&amp;AD9,WeightedMinAge24),MAX(CapacityAge24*АбонементНовых*AD9,MeanMinAge24)))</f>
        <v/>
      </c>
      <c r="AE71" s="87">
        <f>IF(OR(AE44=0,24&lt;=КаникулыРоялти),0,AE44*IF(РоялтиПоГруппам="Да",MeanMinAge24+AE9*SUMIF(ThresholdAge24,"&lt;"&amp;AE9,WeightedRevAge24)-SUMIF(ThresholdAge24,"&lt;"&amp;AE9,WeightedMinAge24),MAX(CapacityAge24*АбонементНовых*AE9,MeanMinAge24)))</f>
        <v/>
      </c>
      <c r="AF71" s="87">
        <f>IF(OR(AF44=0,24&lt;=КаникулыРоялти),0,AF44*IF(РоялтиПоГруппам="Да",MeanMinAge24+AF9*SUMIF(ThresholdAge24,"&lt;"&amp;AF9,WeightedRevAge24)-SUMIF(ThresholdAge24,"&lt;"&amp;AF9,WeightedMinAge24),MAX(CapacityAge24*АбонементНовых*AF9,MeanMinAge24)))</f>
        <v/>
      </c>
      <c r="AG71" s="87">
        <f>IF(OR(AG44=0,24&lt;=КаникулыРоялти),0,AG44*IF(РоялтиПоГруппам="Да",MeanMinAge24+AG9*SUMIF(ThresholdAge24,"&lt;"&amp;AG9,WeightedRevAge24)-SUMIF(ThresholdAge24,"&lt;"&amp;AG9,WeightedMinAge24),MAX(CapacityAge24*АбонементНовых*AG9,MeanMinAge24)))</f>
        <v/>
      </c>
      <c r="AH71" s="87">
        <f>IF(OR(AH44=0,24&lt;=КаникулыРоялти),0,AH44*IF(РоялтиПоГруппам="Да",MeanMinAge24+AH9*SUMIF(ThresholdAge24,"&lt;"&amp;AH9,WeightedRevAge24)-SUMIF(ThresholdAge24,"&lt;"&amp;AH9,WeightedMinAge24),MAX(CapacityAge24*АбонементНовых*AH9,MeanMinAge24)))</f>
        <v/>
      </c>
      <c r="AI71" s="87">
        <f>IF(OR(AI44=0,24&lt;=КаникулыРоялти),0,AI44*IF(РоялтиПоГруппам="Да",MeanMinAge24+AI9*SUMIF(ThresholdAge24,"&lt;"&amp;AI9,WeightedRevAge24)-SUMIF(ThresholdAge24,"&lt;"&amp;AI9,WeightedMinAge24),MAX(CapacityAge24*АбонементНовых*AI9,MeanMinAge24)))</f>
        <v/>
      </c>
      <c r="AJ71" s="87">
        <f>IF(OR(AJ44=0,24&lt;=КаникулыРоялти),0,AJ44*IF(РоялтиПоГруппам="Да",MeanMinAge24+AJ9*SUMIF(ThresholdAge24,"&lt;"&amp;AJ9,WeightedRevAge24)-SUMIF(ThresholdAge24,"&lt;"&amp;AJ9,WeightedMinAge24),MAX(CapacityAge24*АбонементНовых*AJ9,MeanMinAge24)))</f>
        <v/>
      </c>
      <c r="AK71" s="87">
        <f>IF(OR(AK44=0,24&lt;=КаникулыРоялти),0,AK44*IF(РоялтиПоГруппам="Да",MeanMinAge24+AK9*SUMIF(ThresholdAge24,"&lt;"&amp;AK9,WeightedRevAge24)-SUMIF(ThresholdAge24,"&lt;"&amp;AK9,WeightedMinAge24),MAX(CapacityAge24*АбонементНовых*AK9,MeanMinAge24)))</f>
        <v/>
      </c>
      <c r="AL71" s="87">
        <f>IF(OR(AL44=0,24&lt;=КаникулыРоялти),0,AL44*IF(РоялтиПоГруппам="Да",MeanMinAge24+AL9*SUMIF(ThresholdAge24,"&lt;"&amp;AL9,WeightedRevAge24)-SUMIF(ThresholdAge24,"&lt;"&amp;AL9,WeightedMinAge24),MAX(CapacityAge24*АбонементНовых*AL9,MeanMinAge24)))</f>
        <v/>
      </c>
      <c r="AM71" s="87">
        <f>IF(OR(AM44=0,24&lt;=КаникулыРоялти),0,AM44*IF(РоялтиПоГруппам="Да",MeanMinAge24+AM9*SUMIF(ThresholdAge24,"&lt;"&amp;AM9,WeightedRevAge24)-SUMIF(ThresholdAge24,"&lt;"&amp;AM9,WeightedMinAge24),MAX(CapacityAge24*АбонементНовых*AM9,MeanMinAge24)))</f>
        <v/>
      </c>
      <c r="AN71" s="87">
        <f>IF(OR(AN44=0,24&lt;=КаникулыРоялти),0,AN44*IF(РоялтиПоГруппам="Да",MeanMinAge24+AN9*SUMIF(ThresholdAge24,"&lt;"&amp;AN9,WeightedRevAge24)-SUMIF(ThresholdAge24,"&lt;"&amp;AN9,WeightedMinAge24),MAX(CapacityAge24*АбонементНовых*AN9,MeanMinAge24)))</f>
        <v/>
      </c>
      <c r="AO71" s="87">
        <f>IF(OR(AO44=0,24&lt;=КаникулыРоялти),0,AO44*IF(РоялтиПоГруппам="Да",MeanMinAge24+AO9*SUMIF(ThresholdAge24,"&lt;"&amp;AO9,WeightedRevAge24)-SUMIF(ThresholdAge24,"&lt;"&amp;AO9,WeightedMinAge24),MAX(CapacityAge24*АбонементНовых*AO9,MeanMinAge24)))</f>
        <v/>
      </c>
      <c r="AP71" s="87">
        <f>IF(OR(AP44=0,24&lt;=КаникулыРоялти),0,AP44*IF(РоялтиПоГруппам="Да",MeanMinAge24+AP9*SUMIF(ThresholdAge24,"&lt;"&amp;AP9,WeightedRevAge24)-SUMIF(ThresholdAge24,"&lt;"&amp;AP9,WeightedMinAge24),MAX(CapacityAge24*АбонементНовых*AP9,MeanMinAge24)))</f>
        <v/>
      </c>
      <c r="AQ71" s="87">
        <f>IF(OR(AQ44=0,24&lt;=КаникулыРоялти),0,AQ44*IF(РоялтиПоГруппам="Да",MeanMinAge24+AQ9*SUMIF(ThresholdAge24,"&lt;"&amp;AQ9,WeightedRevAge24)-SUMIF(ThresholdAge24,"&lt;"&amp;AQ9,WeightedMinAge24),MAX(CapacityAge24*АбонементНовых*AQ9,MeanMinAge24)))</f>
        <v/>
      </c>
      <c r="AR71" s="87">
        <f>IF(OR(AR44=0,24&lt;=КаникулыРоялти),0,AR44*IF(РоялтиПоГруппам="Да",MeanMinAge24+AR9*SUMIF(ThresholdAge24,"&lt;"&amp;AR9,WeightedRevAge24)-SUMIF(ThresholdAge24,"&lt;"&amp;AR9,WeightedMinAge24),MAX(CapacityAge24*АбонементНовых*AR9,MeanMinAge24)))</f>
        <v/>
      </c>
      <c r="AS71" s="87">
        <f>IF(OR(AS44=0,24&lt;=КаникулыРоялти),0,AS44*IF(РоялтиПоГруппам="Да",MeanMinAge24+AS9*SUMIF(ThresholdAge24,"&lt;"&amp;AS9,WeightedRevAge24)-SUMIF(ThresholdAge24,"&lt;"&amp;AS9,WeightedMinAge24),MAX(CapacityAge24*АбонементНовых*AS9,MeanMinAge24)))</f>
        <v/>
      </c>
      <c r="AT71" s="87">
        <f>IF(OR(AT44=0,24&lt;=КаникулыРоялти),0,AT44*IF(РоялтиПоГруппам="Да",MeanMinAge24+AT9*SUMIF(ThresholdAge24,"&lt;"&amp;AT9,WeightedRevAge24)-SUMIF(ThresholdAge24,"&lt;"&amp;AT9,WeightedMinAge24),MAX(CapacityAge24*АбонементНовых*AT9,MeanMinAge24)))</f>
        <v/>
      </c>
      <c r="AU71" s="87">
        <f>IF(OR(AU44=0,24&lt;=КаникулыРоялти),0,AU44*IF(РоялтиПоГруппам="Да",MeanMinAge24+AU9*SUMIF(ThresholdAge24,"&lt;"&amp;AU9,WeightedRevAge24)-SUMIF(ThresholdAge24,"&lt;"&amp;AU9,WeightedMinAge24),MAX(CapacityAge24*АбонементНовых*AU9,MeanMinAge24)))</f>
        <v/>
      </c>
      <c r="AV71" s="87">
        <f>IF(OR(AV44=0,24&lt;=КаникулыРоялти),0,AV44*IF(РоялтиПоГруппам="Да",MeanMinAge24+AV9*SUMIF(ThresholdAge24,"&lt;"&amp;AV9,WeightedRevAge24)-SUMIF(ThresholdAge24,"&lt;"&amp;AV9,WeightedMinAge24),MAX(CapacityAge24*АбонементНовых*AV9,MeanMinAge24)))</f>
        <v/>
      </c>
      <c r="AW71" s="87">
        <f>IF(OR(AW44=0,24&lt;=КаникулыРоялти),0,AW44*IF(РоялтиПоГруппам="Да",MeanMinAge24+AW9*SUMIF(ThresholdAge24,"&lt;"&amp;AW9,WeightedRevAge24)-SUMIF(ThresholdAge24,"&lt;"&amp;AW9,WeightedMinAge24),MAX(CapacityAge24*АбонементНовых*AW9,MeanMinAge24)))</f>
        <v/>
      </c>
      <c r="AX71" s="87">
        <f>IF(OR(AX44=0,24&lt;=КаникулыРоялти),0,AX44*IF(РоялтиПоГруппам="Да",MeanMinAge24+AX9*SUMIF(ThresholdAge24,"&lt;"&amp;AX9,WeightedRevAge24)-SUMIF(ThresholdAge24,"&lt;"&amp;AX9,WeightedMinAge24),MAX(CapacityAge24*АбонементНовых*AX9,MeanMinAge24)))</f>
        <v/>
      </c>
      <c r="AY71" s="87">
        <f>IF(OR(AY44=0,24&lt;=КаникулыРоялти),0,AY44*IF(РоялтиПоГруппам="Да",MeanMinAge24+AY9*SUMIF(ThresholdAge24,"&lt;"&amp;AY9,WeightedRevAge24)-SUMIF(ThresholdAge24,"&lt;"&amp;AY9,WeightedMinAge24),MAX(CapacityAge24*АбонементНовых*AY9,MeanMinAge24)))</f>
        <v/>
      </c>
      <c r="AZ71" s="87">
        <f>IF(OR(AZ44=0,24&lt;=КаникулыРоялти),0,AZ44*IF(РоялтиПоГруппам="Да",MeanMinAge24+AZ9*SUMIF(ThresholdAge24,"&lt;"&amp;AZ9,WeightedRevAge24)-SUMIF(ThresholdAge24,"&lt;"&amp;AZ9,WeightedMinAge24),MAX(CapacityAge24*АбонементНовых*AZ9,MeanMinAge24)))</f>
        <v/>
      </c>
      <c r="BA71" s="87">
        <f>IF(OR(BA44=0,24&lt;=КаникулыРоялти),0,BA44*IF(РоялтиПоГруппам="Да",MeanMinAge24+BA9*SUMIF(ThresholdAge24,"&lt;"&amp;BA9,WeightedRevAge24)-SUMIF(ThresholdAge24,"&lt;"&amp;BA9,WeightedMinAge24),MAX(CapacityAge24*АбонементНовых*BA9,MeanMinAge24)))</f>
        <v/>
      </c>
      <c r="BB71" s="87">
        <f>IF(OR(BB44=0,24&lt;=КаникулыРоялти),0,BB44*IF(РоялтиПоГруппам="Да",MeanMinAge24+BB9*SUMIF(ThresholdAge24,"&lt;"&amp;BB9,WeightedRevAge24)-SUMIF(ThresholdAge24,"&lt;"&amp;BB9,WeightedMinAge24),MAX(CapacityAge24*АбонементНовых*BB9,MeanMinAge24)))</f>
        <v/>
      </c>
      <c r="BC71" s="87">
        <f>IF(OR(BC44=0,24&lt;=КаникулыРоялти),0,BC44*IF(РоялтиПоГруппам="Да",MeanMinAge24+BC9*SUMIF(ThresholdAge24,"&lt;"&amp;BC9,WeightedRevAge24)-SUMIF(ThresholdAge24,"&lt;"&amp;BC9,WeightedMinAge24),MAX(CapacityAge24*АбонементНовых*BC9,MeanMinAge24)))</f>
        <v/>
      </c>
      <c r="BD71" s="87">
        <f>IF(OR(BD44=0,24&lt;=КаникулыРоялти),0,BD44*IF(РоялтиПоГруппам="Да",MeanMinAge24+BD9*SUMIF(ThresholdAge24,"&lt;"&amp;BD9,WeightedRevAge24)-SUMIF(ThresholdAge24,"&lt;"&amp;BD9,WeightedMinAge24),MAX(CapacityAge24*АбонементНовых*BD9,MeanMinAge24)))</f>
        <v/>
      </c>
      <c r="BE71" s="87">
        <f>IF(OR(BE44=0,24&lt;=КаникулыРоялти),0,BE44*IF(РоялтиПоГруппам="Да",MeanMinAge24+BE9*SUMIF(ThresholdAge24,"&lt;"&amp;BE9,WeightedRevAge24)-SUMIF(ThresholdAge24,"&lt;"&amp;BE9,WeightedMinAge24),MAX(CapacityAge24*АбонементНовых*BE9,MeanMinAge24)))</f>
        <v/>
      </c>
      <c r="BF71" s="87">
        <f>IF(OR(BF44=0,24&lt;=КаникулыРоялти),0,BF44*IF(РоялтиПоГруппам="Да",MeanMinAge24+BF9*SUMIF(ThresholdAge24,"&lt;"&amp;BF9,WeightedRevAge24)-SUMIF(ThresholdAge24,"&lt;"&amp;BF9,WeightedMinAge24),MAX(CapacityAge24*АбонементНовых*BF9,MeanMinAge24)))</f>
        <v/>
      </c>
      <c r="BG71" s="87">
        <f>IF(OR(BG44=0,24&lt;=КаникулыРоялти),0,BG44*IF(РоялтиПоГруппам="Да",MeanMinAge24+BG9*SUMIF(ThresholdAge24,"&lt;"&amp;BG9,WeightedRevAge24)-SUMIF(ThresholdAge24,"&lt;"&amp;BG9,WeightedMinAge24),MAX(CapacityAge24*АбонементНовых*BG9,MeanMinAge24)))</f>
        <v/>
      </c>
      <c r="BH71" s="87">
        <f>IF(OR(BH44=0,24&lt;=КаникулыРоялти),0,BH44*IF(РоялтиПоГруппам="Да",MeanMinAge24+BH9*SUMIF(ThresholdAge24,"&lt;"&amp;BH9,WeightedRevAge24)-SUMIF(ThresholdAge24,"&lt;"&amp;BH9,WeightedMinAge24),MAX(CapacityAge24*АбонементНовых*BH9,MeanMinAge24)))</f>
        <v/>
      </c>
      <c r="BI71" s="87">
        <f>IF(OR(BI44=0,24&lt;=КаникулыРоялти),0,BI44*IF(РоялтиПоГруппам="Да",MeanMinAge24+BI9*SUMIF(ThresholdAge24,"&lt;"&amp;BI9,WeightedRevAge24)-SUMIF(ThresholdAge24,"&lt;"&amp;BI9,WeightedMinAge24),MAX(CapacityAge24*АбонементНовых*BI9,MeanMinAge24)))</f>
        <v/>
      </c>
      <c r="BJ71" s="87">
        <f>IF(OR(BJ44=0,24&lt;=КаникулыРоялти),0,BJ44*IF(РоялтиПоГруппам="Да",MeanMinAge24+BJ9*SUMIF(ThresholdAge24,"&lt;"&amp;BJ9,WeightedRevAge24)-SUMIF(ThresholdAge24,"&lt;"&amp;BJ9,WeightedMinAge24),MAX(CapacityAge24*АбонементНовых*BJ9,MeanMinAge24)))</f>
        <v/>
      </c>
      <c r="BK71" s="87">
        <f>IF(OR(BK44=0,24&lt;=КаникулыРоялти),0,BK44*IF(РоялтиПоГруппам="Да",MeanMinAge24+BK9*SUMIF(ThresholdAge24,"&lt;"&amp;BK9,WeightedRevAge24)-SUMIF(ThresholdAge24,"&lt;"&amp;BK9,WeightedMinAge24),MAX(CapacityAge24*АбонементНовых*BK9,MeanMinAge24)))</f>
        <v/>
      </c>
      <c r="BL71" s="87">
        <f>IF(OR(BL44=0,24&lt;=КаникулыРоялти),0,BL44*IF(РоялтиПоГруппам="Да",MeanMinAge24+BL9*SUMIF(ThresholdAge24,"&lt;"&amp;BL9,WeightedRevAge24)-SUMIF(ThresholdAge24,"&lt;"&amp;BL9,WeightedMinAge24),MAX(CapacityAge24*АбонементНовых*BL9,MeanMinAge24)))</f>
        <v/>
      </c>
      <c r="BM71" s="87">
        <f>IF(OR(BM44=0,24&lt;=КаникулыРоялти),0,BM44*IF(РоялтиПоГруппам="Да",MeanMinAge24+BM9*SUMIF(ThresholdAge24,"&lt;"&amp;BM9,WeightedRevAge24)-SUMIF(ThresholdAge24,"&lt;"&amp;BM9,WeightedMinAge24),MAX(CapacityAge24*АбонементНовых*BM9,MeanMinAge24)))</f>
        <v/>
      </c>
      <c r="BN71" s="87">
        <f>IF(OR(BN44=0,24&lt;=КаникулыРоялти),0,BN44*IF(РоялтиПоГруппам="Да",MeanMinAge24+BN9*SUMIF(ThresholdAge24,"&lt;"&amp;BN9,WeightedRevAge24)-SUMIF(ThresholdAge24,"&lt;"&amp;BN9,WeightedMinAge24),MAX(CapacityAge24*АбонементНовых*BN9,MeanMinAge24)))</f>
        <v/>
      </c>
      <c r="BO71" s="87">
        <f>IF(OR(BO44=0,24&lt;=КаникулыРоялти),0,BO44*IF(РоялтиПоГруппам="Да",MeanMinAge24+BO9*SUMIF(ThresholdAge24,"&lt;"&amp;BO9,WeightedRevAge24)-SUMIF(ThresholdAge24,"&lt;"&amp;BO9,WeightedMinAge24),MAX(CapacityAge24*АбонементНовых*BO9,MeanMinAge24)))</f>
        <v/>
      </c>
      <c r="BP71" s="87">
        <f>IF(OR(BP44=0,24&lt;=КаникулыРоялти),0,BP44*IF(РоялтиПоГруппам="Да",MeanMinAge24+BP9*SUMIF(ThresholdAge24,"&lt;"&amp;BP9,WeightedRevAge24)-SUMIF(ThresholdAge24,"&lt;"&amp;BP9,WeightedMinAge24),MAX(CapacityAge24*АбонементНовых*BP9,MeanMinAge24)))</f>
        <v/>
      </c>
      <c r="BQ71" s="87">
        <f>IF(OR(BQ44=0,24&lt;=КаникулыРоялти),0,BQ44*IF(РоялтиПоГруппам="Да",MeanMinAge24+BQ9*SUMIF(ThresholdAge24,"&lt;"&amp;BQ9,WeightedRevAge24)-SUMIF(ThresholdAge24,"&lt;"&amp;BQ9,WeightedMinAge24),MAX(CapacityAge24*АбонементНовых*BQ9,MeanMinAge24)))</f>
        <v/>
      </c>
      <c r="BR71" s="87">
        <f>IF(OR(BR44=0,24&lt;=КаникулыРоялти),0,BR44*IF(РоялтиПоГруппам="Да",MeanMinAge24+BR9*SUMIF(ThresholdAge24,"&lt;"&amp;BR9,WeightedRevAge24)-SUMIF(ThresholdAge24,"&lt;"&amp;BR9,WeightedMinAge24),MAX(CapacityAge24*АбонементНовых*BR9,MeanMinAge24)))</f>
        <v/>
      </c>
      <c r="BS71" s="87">
        <f>IF(OR(BS44=0,24&lt;=КаникулыРоялти),0,BS44*IF(РоялтиПоГруппам="Да",MeanMinAge24+BS9*SUMIF(ThresholdAge24,"&lt;"&amp;BS9,WeightedRevAge24)-SUMIF(ThresholdAge24,"&lt;"&amp;BS9,WeightedMinAge24),MAX(CapacityAge24*АбонементНовых*BS9,MeanMinAge24)))</f>
        <v/>
      </c>
      <c r="BT71" s="87">
        <f>IF(OR(BT44=0,24&lt;=КаникулыРоялти),0,BT44*IF(РоялтиПоГруппам="Да",MeanMinAge24+BT9*SUMIF(ThresholdAge24,"&lt;"&amp;BT9,WeightedRevAge24)-SUMIF(ThresholdAge24,"&lt;"&amp;BT9,WeightedMinAge24),MAX(CapacityAge24*АбонементНовых*BT9,MeanMinAge24)))</f>
        <v/>
      </c>
      <c r="BU71" s="87">
        <f>IF(OR(BU44=0,24&lt;=КаникулыРоялти),0,BU44*IF(РоялтиПоГруппам="Да",MeanMinAge24+BU9*SUMIF(ThresholdAge24,"&lt;"&amp;BU9,WeightedRevAge24)-SUMIF(ThresholdAge24,"&lt;"&amp;BU9,WeightedMinAge24),MAX(CapacityAge24*АбонементНовых*BU9,MeanMinAge24)))</f>
        <v/>
      </c>
      <c r="BV71" s="87">
        <f>IF(OR(BV44=0,24&lt;=КаникулыРоялти),0,BV44*IF(РоялтиПоГруппам="Да",MeanMinAge24+BV9*SUMIF(ThresholdAge24,"&lt;"&amp;BV9,WeightedRevAge24)-SUMIF(ThresholdAge24,"&lt;"&amp;BV9,WeightedMinAge24),MAX(CapacityAge24*АбонементНовых*BV9,MeanMinAge24)))</f>
        <v/>
      </c>
      <c r="BW71" s="87">
        <f>IF(OR(BW44=0,24&lt;=КаникулыРоялти),0,BW44*IF(РоялтиПоГруппам="Да",MeanMinAge24+BW9*SUMIF(ThresholdAge24,"&lt;"&amp;BW9,WeightedRevAge24)-SUMIF(ThresholdAge24,"&lt;"&amp;BW9,WeightedMinAge24),MAX(CapacityAge24*АбонементНовых*BW9,MeanMinAge24)))</f>
        <v/>
      </c>
      <c r="BX71" s="87">
        <f>IF(OR(BX44=0,24&lt;=КаникулыРоялти),0,BX44*IF(РоялтиПоГруппам="Да",MeanMinAge24+BX9*SUMIF(ThresholdAge24,"&lt;"&amp;BX9,WeightedRevAge24)-SUMIF(ThresholdAge24,"&lt;"&amp;BX9,WeightedMinAge24),MAX(CapacityAge24*АбонементНовых*BX9,MeanMinAge24)))</f>
        <v/>
      </c>
      <c r="BY71" s="87">
        <f>IF(OR(BY44=0,24&lt;=КаникулыРоялти),0,BY44*IF(РоялтиПоГруппам="Да",MeanMinAge24+BY9*SUMIF(ThresholdAge24,"&lt;"&amp;BY9,WeightedRevAge24)-SUMIF(ThresholdAge24,"&lt;"&amp;BY9,WeightedMinAge24),MAX(CapacityAge24*АбонементНовых*BY9,MeanMinAge24)))</f>
        <v/>
      </c>
    </row>
    <row r="72" ht="15.75" customHeight="1" s="194">
      <c r="B72" s="56" t="inlineStr">
        <is>
          <t>25+ мес.</t>
        </is>
      </c>
      <c r="C72" s="56" t="inlineStr">
        <is>
          <t>₽</t>
        </is>
      </c>
      <c r="D72" s="57" t="n"/>
      <c r="E72" s="85">
        <f>SUM(L72:W72)</f>
        <v/>
      </c>
      <c r="F72" s="85">
        <f>SUM(X72:AI72)</f>
        <v/>
      </c>
      <c r="G72" s="85">
        <f>SUM(AJ72:AU72)</f>
        <v/>
      </c>
      <c r="H72" s="85">
        <f>SUM(AV72:BG72)</f>
        <v/>
      </c>
      <c r="I72" s="85">
        <f>SUM(BH72:BS72)</f>
        <v/>
      </c>
      <c r="J72" s="86">
        <f>SUM(L72:BS72)</f>
        <v/>
      </c>
      <c r="L72" s="87">
        <f>IF(OR(L45=0,25&lt;=КаникулыРоялти),0,L45*IF(РоялтиПоГруппам="Да",MeanMinAge25+L9*SUMIF(ThresholdAge25,"&lt;"&amp;L9,WeightedRevAge25)-SUMIF(ThresholdAge25,"&lt;"&amp;L9,WeightedMinAge25),MAX(CapacityAge25*АбонементНовых*L9,MeanMinAge25)))</f>
        <v/>
      </c>
      <c r="M72" s="87">
        <f>IF(OR(M45=0,25&lt;=КаникулыРоялти),0,M45*IF(РоялтиПоГруппам="Да",MeanMinAge25+M9*SUMIF(ThresholdAge25,"&lt;"&amp;M9,WeightedRevAge25)-SUMIF(ThresholdAge25,"&lt;"&amp;M9,WeightedMinAge25),MAX(CapacityAge25*АбонементНовых*M9,MeanMinAge25)))</f>
        <v/>
      </c>
      <c r="N72" s="87">
        <f>IF(OR(N45=0,25&lt;=КаникулыРоялти),0,N45*IF(РоялтиПоГруппам="Да",MeanMinAge25+N9*SUMIF(ThresholdAge25,"&lt;"&amp;N9,WeightedRevAge25)-SUMIF(ThresholdAge25,"&lt;"&amp;N9,WeightedMinAge25),MAX(CapacityAge25*АбонементНовых*N9,MeanMinAge25)))</f>
        <v/>
      </c>
      <c r="O72" s="87">
        <f>IF(OR(O45=0,25&lt;=КаникулыРоялти),0,O45*IF(РоялтиПоГруппам="Да",MeanMinAge25+O9*SUMIF(ThresholdAge25,"&lt;"&amp;O9,WeightedRevAge25)-SUMIF(ThresholdAge25,"&lt;"&amp;O9,WeightedMinAge25),MAX(CapacityAge25*АбонементНовых*O9,MeanMinAge25)))</f>
        <v/>
      </c>
      <c r="P72" s="87">
        <f>IF(OR(P45=0,25&lt;=КаникулыРоялти),0,P45*IF(РоялтиПоГруппам="Да",MeanMinAge25+P9*SUMIF(ThresholdAge25,"&lt;"&amp;P9,WeightedRevAge25)-SUMIF(ThresholdAge25,"&lt;"&amp;P9,WeightedMinAge25),MAX(CapacityAge25*АбонементНовых*P9,MeanMinAge25)))</f>
        <v/>
      </c>
      <c r="Q72" s="87">
        <f>IF(OR(Q45=0,25&lt;=КаникулыРоялти),0,Q45*IF(РоялтиПоГруппам="Да",MeanMinAge25+Q9*SUMIF(ThresholdAge25,"&lt;"&amp;Q9,WeightedRevAge25)-SUMIF(ThresholdAge25,"&lt;"&amp;Q9,WeightedMinAge25),MAX(CapacityAge25*АбонементНовых*Q9,MeanMinAge25)))</f>
        <v/>
      </c>
      <c r="R72" s="87">
        <f>IF(OR(R45=0,25&lt;=КаникулыРоялти),0,R45*IF(РоялтиПоГруппам="Да",MeanMinAge25+R9*SUMIF(ThresholdAge25,"&lt;"&amp;R9,WeightedRevAge25)-SUMIF(ThresholdAge25,"&lt;"&amp;R9,WeightedMinAge25),MAX(CapacityAge25*АбонементНовых*R9,MeanMinAge25)))</f>
        <v/>
      </c>
      <c r="S72" s="87">
        <f>IF(OR(S45=0,25&lt;=КаникулыРоялти),0,S45*IF(РоялтиПоГруппам="Да",MeanMinAge25+S9*SUMIF(ThresholdAge25,"&lt;"&amp;S9,WeightedRevAge25)-SUMIF(ThresholdAge25,"&lt;"&amp;S9,WeightedMinAge25),MAX(CapacityAge25*АбонементНовых*S9,MeanMinAge25)))</f>
        <v/>
      </c>
      <c r="T72" s="87">
        <f>IF(OR(T45=0,25&lt;=КаникулыРоялти),0,T45*IF(РоялтиПоГруппам="Да",MeanMinAge25+T9*SUMIF(ThresholdAge25,"&lt;"&amp;T9,WeightedRevAge25)-SUMIF(ThresholdAge25,"&lt;"&amp;T9,WeightedMinAge25),MAX(CapacityAge25*АбонементНовых*T9,MeanMinAge25)))</f>
        <v/>
      </c>
      <c r="U72" s="87">
        <f>IF(OR(U45=0,25&lt;=КаникулыРоялти),0,U45*IF(РоялтиПоГруппам="Да",MeanMinAge25+U9*SUMIF(ThresholdAge25,"&lt;"&amp;U9,WeightedRevAge25)-SUMIF(ThresholdAge25,"&lt;"&amp;U9,WeightedMinAge25),MAX(CapacityAge25*АбонементНовых*U9,MeanMinAge25)))</f>
        <v/>
      </c>
      <c r="V72" s="87">
        <f>IF(OR(V45=0,25&lt;=КаникулыРоялти),0,V45*IF(РоялтиПоГруппам="Да",MeanMinAge25+V9*SUMIF(ThresholdAge25,"&lt;"&amp;V9,WeightedRevAge25)-SUMIF(ThresholdAge25,"&lt;"&amp;V9,WeightedMinAge25),MAX(CapacityAge25*АбонементНовых*V9,MeanMinAge25)))</f>
        <v/>
      </c>
      <c r="W72" s="87">
        <f>IF(OR(W45=0,25&lt;=КаникулыРоялти),0,W45*IF(РоялтиПоГруппам="Да",MeanMinAge25+W9*SUMIF(ThresholdAge25,"&lt;"&amp;W9,WeightedRevAge25)-SUMIF(ThresholdAge25,"&lt;"&amp;W9,WeightedMinAge25),MAX(CapacityAge25*АбонементНовых*W9,MeanMinAge25)))</f>
        <v/>
      </c>
      <c r="X72" s="87">
        <f>IF(OR(X45=0,25&lt;=КаникулыРоялти),0,X45*IF(РоялтиПоГруппам="Да",MeanMinAge25+X9*SUMIF(ThresholdAge25,"&lt;"&amp;X9,WeightedRevAge25)-SUMIF(ThresholdAge25,"&lt;"&amp;X9,WeightedMinAge25),MAX(CapacityAge25*АбонементНовых*X9,MeanMinAge25)))</f>
        <v/>
      </c>
      <c r="Y72" s="87">
        <f>IF(OR(Y45=0,25&lt;=КаникулыРоялти),0,Y45*IF(РоялтиПоГруппам="Да",MeanMinAge25+Y9*SUMIF(ThresholdAge25,"&lt;"&amp;Y9,WeightedRevAge25)-SUMIF(ThresholdAge25,"&lt;"&amp;Y9,WeightedMinAge25),MAX(CapacityAge25*АбонементНовых*Y9,MeanMinAge25)))</f>
        <v/>
      </c>
      <c r="Z72" s="87">
        <f>IF(OR(Z45=0,25&lt;=КаникулыРоялти),0,Z45*IF(РоялтиПоГруппам="Да",MeanMinAge25+Z9*SUMIF(ThresholdAge25,"&lt;"&amp;Z9,WeightedRevAge25)-SUMIF(ThresholdAge25,"&lt;"&amp;Z9,WeightedMinAge25),MAX(CapacityAge25*АбонементНовых*Z9,MeanMinAge25)))</f>
        <v/>
      </c>
      <c r="AA72" s="87">
        <f>IF(OR(AA45=0,25&lt;=КаникулыРоялти),0,AA45*IF(РоялтиПоГруппам="Да",MeanMinAge25+AA9*SUMIF(ThresholdAge25,"&lt;"&amp;AA9,WeightedRevAge25)-SUMIF(ThresholdAge25,"&lt;"&amp;AA9,WeightedMinAge25),MAX(CapacityAge25*АбонементНовых*AA9,MeanMinAge25)))</f>
        <v/>
      </c>
      <c r="AB72" s="87">
        <f>IF(OR(AB45=0,25&lt;=КаникулыРоялти),0,AB45*IF(РоялтиПоГруппам="Да",MeanMinAge25+AB9*SUMIF(ThresholdAge25,"&lt;"&amp;AB9,WeightedRevAge25)-SUMIF(ThresholdAge25,"&lt;"&amp;AB9,WeightedMinAge25),MAX(CapacityAge25*АбонементНовых*AB9,MeanMinAge25)))</f>
        <v/>
      </c>
      <c r="AC72" s="87">
        <f>IF(OR(AC45=0,25&lt;=КаникулыРоялти),0,AC45*IF(РоялтиПоГруппам="Да",MeanMinAge25+AC9*SUMIF(ThresholdAge25,"&lt;"&amp;AC9,WeightedRevAge25)-SUMIF(ThresholdAge25,"&lt;"&amp;AC9,WeightedMinAge25),MAX(CapacityAge25*АбонементНовых*AC9,MeanMinAge25)))</f>
        <v/>
      </c>
      <c r="AD72" s="87">
        <f>IF(OR(AD45=0,25&lt;=КаникулыРоялти),0,AD45*IF(РоялтиПоГруппам="Да",MeanMinAge25+AD9*SUMIF(ThresholdAge25,"&lt;"&amp;AD9,WeightedRevAge25)-SUMIF(ThresholdAge25,"&lt;"&amp;AD9,WeightedMinAge25),MAX(CapacityAge25*АбонементНовых*AD9,MeanMinAge25)))</f>
        <v/>
      </c>
      <c r="AE72" s="87">
        <f>IF(OR(AE45=0,25&lt;=КаникулыРоялти),0,AE45*IF(РоялтиПоГруппам="Да",MeanMinAge25+AE9*SUMIF(ThresholdAge25,"&lt;"&amp;AE9,WeightedRevAge25)-SUMIF(ThresholdAge25,"&lt;"&amp;AE9,WeightedMinAge25),MAX(CapacityAge25*АбонементНовых*AE9,MeanMinAge25)))</f>
        <v/>
      </c>
      <c r="AF72" s="87">
        <f>IF(OR(AF45=0,25&lt;=КаникулыРоялти),0,AF45*IF(РоялтиПоГруппам="Да",MeanMinAge25+AF9*SUMIF(ThresholdAge25,"&lt;"&amp;AF9,WeightedRevAge25)-SUMIF(ThresholdAge25,"&lt;"&amp;AF9,WeightedMinAge25),MAX(CapacityAge25*АбонементНовых*AF9,MeanMinAge25)))</f>
        <v/>
      </c>
      <c r="AG72" s="87">
        <f>IF(OR(AG45=0,25&lt;=КаникулыРоялти),0,AG45*IF(РоялтиПоГруппам="Да",MeanMinAge25+AG9*SUMIF(ThresholdAge25,"&lt;"&amp;AG9,WeightedRevAge25)-SUMIF(ThresholdAge25,"&lt;"&amp;AG9,WeightedMinAge25),MAX(CapacityAge25*АбонементНовых*AG9,MeanMinAge25)))</f>
        <v/>
      </c>
      <c r="AH72" s="87">
        <f>IF(OR(AH45=0,25&lt;=КаникулыРоялти),0,AH45*IF(РоялтиПоГруппам="Да",MeanMinAge25+AH9*SUMIF(ThresholdAge25,"&lt;"&amp;AH9,WeightedRevAge25)-SUMIF(ThresholdAge25,"&lt;"&amp;AH9,WeightedMinAge25),MAX(CapacityAge25*АбонементНовых*AH9,MeanMinAge25)))</f>
        <v/>
      </c>
      <c r="AI72" s="87">
        <f>IF(OR(AI45=0,25&lt;=КаникулыРоялти),0,AI45*IF(РоялтиПоГруппам="Да",MeanMinAge25+AI9*SUMIF(ThresholdAge25,"&lt;"&amp;AI9,WeightedRevAge25)-SUMIF(ThresholdAge25,"&lt;"&amp;AI9,WeightedMinAge25),MAX(CapacityAge25*АбонементНовых*AI9,MeanMinAge25)))</f>
        <v/>
      </c>
      <c r="AJ72" s="87">
        <f>IF(OR(AJ45=0,25&lt;=КаникулыРоялти),0,AJ45*IF(РоялтиПоГруппам="Да",MeanMinAge25+AJ9*SUMIF(ThresholdAge25,"&lt;"&amp;AJ9,WeightedRevAge25)-SUMIF(ThresholdAge25,"&lt;"&amp;AJ9,WeightedMinAge25),MAX(CapacityAge25*АбонементНовых*AJ9,MeanMinAge25)))</f>
        <v/>
      </c>
      <c r="AK72" s="87">
        <f>IF(OR(AK45=0,25&lt;=КаникулыРоялти),0,AK45*IF(РоялтиПоГруппам="Да",MeanMinAge25+AK9*SUMIF(ThresholdAge25,"&lt;"&amp;AK9,WeightedRevAge25)-SUMIF(ThresholdAge25,"&lt;"&amp;AK9,WeightedMinAge25),MAX(CapacityAge25*АбонементНовых*AK9,MeanMinAge25)))</f>
        <v/>
      </c>
      <c r="AL72" s="87">
        <f>IF(OR(AL45=0,25&lt;=КаникулыРоялти),0,AL45*IF(РоялтиПоГруппам="Да",MeanMinAge25+AL9*SUMIF(ThresholdAge25,"&lt;"&amp;AL9,WeightedRevAge25)-SUMIF(ThresholdAge25,"&lt;"&amp;AL9,WeightedMinAge25),MAX(CapacityAge25*АбонементНовых*AL9,MeanMinAge25)))</f>
        <v/>
      </c>
      <c r="AM72" s="87">
        <f>IF(OR(AM45=0,25&lt;=КаникулыРоялти),0,AM45*IF(РоялтиПоГруппам="Да",MeanMinAge25+AM9*SUMIF(ThresholdAge25,"&lt;"&amp;AM9,WeightedRevAge25)-SUMIF(ThresholdAge25,"&lt;"&amp;AM9,WeightedMinAge25),MAX(CapacityAge25*АбонементНовых*AM9,MeanMinAge25)))</f>
        <v/>
      </c>
      <c r="AN72" s="87">
        <f>IF(OR(AN45=0,25&lt;=КаникулыРоялти),0,AN45*IF(РоялтиПоГруппам="Да",MeanMinAge25+AN9*SUMIF(ThresholdAge25,"&lt;"&amp;AN9,WeightedRevAge25)-SUMIF(ThresholdAge25,"&lt;"&amp;AN9,WeightedMinAge25),MAX(CapacityAge25*АбонементНовых*AN9,MeanMinAge25)))</f>
        <v/>
      </c>
      <c r="AO72" s="87">
        <f>IF(OR(AO45=0,25&lt;=КаникулыРоялти),0,AO45*IF(РоялтиПоГруппам="Да",MeanMinAge25+AO9*SUMIF(ThresholdAge25,"&lt;"&amp;AO9,WeightedRevAge25)-SUMIF(ThresholdAge25,"&lt;"&amp;AO9,WeightedMinAge25),MAX(CapacityAge25*АбонементНовых*AO9,MeanMinAge25)))</f>
        <v/>
      </c>
      <c r="AP72" s="87">
        <f>IF(OR(AP45=0,25&lt;=КаникулыРоялти),0,AP45*IF(РоялтиПоГруппам="Да",MeanMinAge25+AP9*SUMIF(ThresholdAge25,"&lt;"&amp;AP9,WeightedRevAge25)-SUMIF(ThresholdAge25,"&lt;"&amp;AP9,WeightedMinAge25),MAX(CapacityAge25*АбонементНовых*AP9,MeanMinAge25)))</f>
        <v/>
      </c>
      <c r="AQ72" s="87">
        <f>IF(OR(AQ45=0,25&lt;=КаникулыРоялти),0,AQ45*IF(РоялтиПоГруппам="Да",MeanMinAge25+AQ9*SUMIF(ThresholdAge25,"&lt;"&amp;AQ9,WeightedRevAge25)-SUMIF(ThresholdAge25,"&lt;"&amp;AQ9,WeightedMinAge25),MAX(CapacityAge25*АбонементНовых*AQ9,MeanMinAge25)))</f>
        <v/>
      </c>
      <c r="AR72" s="87">
        <f>IF(OR(AR45=0,25&lt;=КаникулыРоялти),0,AR45*IF(РоялтиПоГруппам="Да",MeanMinAge25+AR9*SUMIF(ThresholdAge25,"&lt;"&amp;AR9,WeightedRevAge25)-SUMIF(ThresholdAge25,"&lt;"&amp;AR9,WeightedMinAge25),MAX(CapacityAge25*АбонементНовых*AR9,MeanMinAge25)))</f>
        <v/>
      </c>
      <c r="AS72" s="87">
        <f>IF(OR(AS45=0,25&lt;=КаникулыРоялти),0,AS45*IF(РоялтиПоГруппам="Да",MeanMinAge25+AS9*SUMIF(ThresholdAge25,"&lt;"&amp;AS9,WeightedRevAge25)-SUMIF(ThresholdAge25,"&lt;"&amp;AS9,WeightedMinAge25),MAX(CapacityAge25*АбонементНовых*AS9,MeanMinAge25)))</f>
        <v/>
      </c>
      <c r="AT72" s="87">
        <f>IF(OR(AT45=0,25&lt;=КаникулыРоялти),0,AT45*IF(РоялтиПоГруппам="Да",MeanMinAge25+AT9*SUMIF(ThresholdAge25,"&lt;"&amp;AT9,WeightedRevAge25)-SUMIF(ThresholdAge25,"&lt;"&amp;AT9,WeightedMinAge25),MAX(CapacityAge25*АбонементНовых*AT9,MeanMinAge25)))</f>
        <v/>
      </c>
      <c r="AU72" s="87">
        <f>IF(OR(AU45=0,25&lt;=КаникулыРоялти),0,AU45*IF(РоялтиПоГруппам="Да",MeanMinAge25+AU9*SUMIF(ThresholdAge25,"&lt;"&amp;AU9,WeightedRevAge25)-SUMIF(ThresholdAge25,"&lt;"&amp;AU9,WeightedMinAge25),MAX(CapacityAge25*АбонементНовых*AU9,MeanMinAge25)))</f>
        <v/>
      </c>
      <c r="AV72" s="87">
        <f>IF(OR(AV45=0,25&lt;=КаникулыРоялти),0,AV45*IF(РоялтиПоГруппам="Да",MeanMinAge25+AV9*SUMIF(ThresholdAge25,"&lt;"&amp;AV9,WeightedRevAge25)-SUMIF(ThresholdAge25,"&lt;"&amp;AV9,WeightedMinAge25),MAX(CapacityAge25*АбонементНовых*AV9,MeanMinAge25)))</f>
        <v/>
      </c>
      <c r="AW72" s="87">
        <f>IF(OR(AW45=0,25&lt;=КаникулыРоялти),0,AW45*IF(РоялтиПоГруппам="Да",MeanMinAge25+AW9*SUMIF(ThresholdAge25,"&lt;"&amp;AW9,WeightedRevAge25)-SUMIF(ThresholdAge25,"&lt;"&amp;AW9,WeightedMinAge25),MAX(CapacityAge25*АбонементНовых*AW9,MeanMinAge25)))</f>
        <v/>
      </c>
      <c r="AX72" s="87">
        <f>IF(OR(AX45=0,25&lt;=КаникулыРоялти),0,AX45*IF(РоялтиПоГруппам="Да",MeanMinAge25+AX9*SUMIF(ThresholdAge25,"&lt;"&amp;AX9,WeightedRevAge25)-SUMIF(ThresholdAge25,"&lt;"&amp;AX9,WeightedMinAge25),MAX(CapacityAge25*АбонементНовых*AX9,MeanMinAge25)))</f>
        <v/>
      </c>
      <c r="AY72" s="87">
        <f>IF(OR(AY45=0,25&lt;=КаникулыРоялти),0,AY45*IF(РоялтиПоГруппам="Да",MeanMinAge25+AY9*SUMIF(ThresholdAge25,"&lt;"&amp;AY9,WeightedRevAge25)-SUMIF(ThresholdAge25,"&lt;"&amp;AY9,WeightedMinAge25),MAX(CapacityAge25*АбонементНовых*AY9,MeanMinAge25)))</f>
        <v/>
      </c>
      <c r="AZ72" s="87">
        <f>IF(OR(AZ45=0,25&lt;=КаникулыРоялти),0,AZ45*IF(РоялтиПоГруппам="Да",MeanMinAge25+AZ9*SUMIF(ThresholdAge25,"&lt;"&amp;AZ9,WeightedRevAge25)-SUMIF(ThresholdAge25,"&lt;"&amp;AZ9,WeightedMinAge25),MAX(CapacityAge25*АбонементНовых*AZ9,MeanMinAge25)))</f>
        <v/>
      </c>
      <c r="BA72" s="87">
        <f>IF(OR(BA45=0,25&lt;=КаникулыРоялти),0,BA45*IF(РоялтиПоГруппам="Да",MeanMinAge25+BA9*SUMIF(ThresholdAge25,"&lt;"&amp;BA9,WeightedRevAge25)-SUMIF(ThresholdAge25,"&lt;"&amp;BA9,WeightedMinAge25),MAX(CapacityAge25*АбонементНовых*BA9,MeanMinAge25)))</f>
        <v/>
      </c>
      <c r="BB72" s="87">
        <f>IF(OR(BB45=0,25&lt;=КаникулыРоялти),0,BB45*IF(РоялтиПоГруппам="Да",MeanMinAge25+BB9*SUMIF(ThresholdAge25,"&lt;"&amp;BB9,WeightedRevAge25)-SUMIF(ThresholdAge25,"&lt;"&amp;BB9,WeightedMinAge25),MAX(CapacityAge25*АбонементНовых*BB9,MeanMinAge25)))</f>
        <v/>
      </c>
      <c r="BC72" s="87">
        <f>IF(OR(BC45=0,25&lt;=КаникулыРоялти),0,BC45*IF(РоялтиПоГруппам="Да",MeanMinAge25+BC9*SUMIF(ThresholdAge25,"&lt;"&amp;BC9,WeightedRevAge25)-SUMIF(ThresholdAge25,"&lt;"&amp;BC9,WeightedMinAge25),MAX(CapacityAge25*АбонементНовых*BC9,MeanMinAge25)))</f>
        <v/>
      </c>
      <c r="BD72" s="87">
        <f>IF(OR(BD45=0,25&lt;=КаникулыРоялти),0,BD45*IF(РоялтиПоГруппам="Да",MeanMinAge25+BD9*SUMIF(ThresholdAge25,"&lt;"&amp;BD9,WeightedRevAge25)-SUMIF(ThresholdAge25,"&lt;"&amp;BD9,WeightedMinAge25),MAX(CapacityAge25*АбонементНовых*BD9,MeanMinAge25)))</f>
        <v/>
      </c>
      <c r="BE72" s="87">
        <f>IF(OR(BE45=0,25&lt;=КаникулыРоялти),0,BE45*IF(РоялтиПоГруппам="Да",MeanMinAge25+BE9*SUMIF(ThresholdAge25,"&lt;"&amp;BE9,WeightedRevAge25)-SUMIF(ThresholdAge25,"&lt;"&amp;BE9,WeightedMinAge25),MAX(CapacityAge25*АбонементНовых*BE9,MeanMinAge25)))</f>
        <v/>
      </c>
      <c r="BF72" s="87">
        <f>IF(OR(BF45=0,25&lt;=КаникулыРоялти),0,BF45*IF(РоялтиПоГруппам="Да",MeanMinAge25+BF9*SUMIF(ThresholdAge25,"&lt;"&amp;BF9,WeightedRevAge25)-SUMIF(ThresholdAge25,"&lt;"&amp;BF9,WeightedMinAge25),MAX(CapacityAge25*АбонементНовых*BF9,MeanMinAge25)))</f>
        <v/>
      </c>
      <c r="BG72" s="87">
        <f>IF(OR(BG45=0,25&lt;=КаникулыРоялти),0,BG45*IF(РоялтиПоГруппам="Да",MeanMinAge25+BG9*SUMIF(ThresholdAge25,"&lt;"&amp;BG9,WeightedRevAge25)-SUMIF(ThresholdAge25,"&lt;"&amp;BG9,WeightedMinAge25),MAX(CapacityAge25*АбонементНовых*BG9,MeanMinAge25)))</f>
        <v/>
      </c>
      <c r="BH72" s="87">
        <f>IF(OR(BH45=0,25&lt;=КаникулыРоялти),0,BH45*IF(РоялтиПоГруппам="Да",MeanMinAge25+BH9*SUMIF(ThresholdAge25,"&lt;"&amp;BH9,WeightedRevAge25)-SUMIF(ThresholdAge25,"&lt;"&amp;BH9,WeightedMinAge25),MAX(CapacityAge25*АбонементНовых*BH9,MeanMinAge25)))</f>
        <v/>
      </c>
      <c r="BI72" s="87">
        <f>IF(OR(BI45=0,25&lt;=КаникулыРоялти),0,BI45*IF(РоялтиПоГруппам="Да",MeanMinAge25+BI9*SUMIF(ThresholdAge25,"&lt;"&amp;BI9,WeightedRevAge25)-SUMIF(ThresholdAge25,"&lt;"&amp;BI9,WeightedMinAge25),MAX(CapacityAge25*АбонементНовых*BI9,MeanMinAge25)))</f>
        <v/>
      </c>
      <c r="BJ72" s="87">
        <f>IF(OR(BJ45=0,25&lt;=КаникулыРоялти),0,BJ45*IF(РоялтиПоГруппам="Да",MeanMinAge25+BJ9*SUMIF(ThresholdAge25,"&lt;"&amp;BJ9,WeightedRevAge25)-SUMIF(ThresholdAge25,"&lt;"&amp;BJ9,WeightedMinAge25),MAX(CapacityAge25*АбонементНовых*BJ9,MeanMinAge25)))</f>
        <v/>
      </c>
      <c r="BK72" s="87">
        <f>IF(OR(BK45=0,25&lt;=КаникулыРоялти),0,BK45*IF(РоялтиПоГруппам="Да",MeanMinAge25+BK9*SUMIF(ThresholdAge25,"&lt;"&amp;BK9,WeightedRevAge25)-SUMIF(ThresholdAge25,"&lt;"&amp;BK9,WeightedMinAge25),MAX(CapacityAge25*АбонементНовых*BK9,MeanMinAge25)))</f>
        <v/>
      </c>
      <c r="BL72" s="87">
        <f>IF(OR(BL45=0,25&lt;=КаникулыРоялти),0,BL45*IF(РоялтиПоГруппам="Да",MeanMinAge25+BL9*SUMIF(ThresholdAge25,"&lt;"&amp;BL9,WeightedRevAge25)-SUMIF(ThresholdAge25,"&lt;"&amp;BL9,WeightedMinAge25),MAX(CapacityAge25*АбонементНовых*BL9,MeanMinAge25)))</f>
        <v/>
      </c>
      <c r="BM72" s="87">
        <f>IF(OR(BM45=0,25&lt;=КаникулыРоялти),0,BM45*IF(РоялтиПоГруппам="Да",MeanMinAge25+BM9*SUMIF(ThresholdAge25,"&lt;"&amp;BM9,WeightedRevAge25)-SUMIF(ThresholdAge25,"&lt;"&amp;BM9,WeightedMinAge25),MAX(CapacityAge25*АбонементНовых*BM9,MeanMinAge25)))</f>
        <v/>
      </c>
      <c r="BN72" s="87">
        <f>IF(OR(BN45=0,25&lt;=КаникулыРоялти),0,BN45*IF(РоялтиПоГруппам="Да",MeanMinAge25+BN9*SUMIF(ThresholdAge25,"&lt;"&amp;BN9,WeightedRevAge25)-SUMIF(ThresholdAge25,"&lt;"&amp;BN9,WeightedMinAge25),MAX(CapacityAge25*АбонементНовых*BN9,MeanMinAge25)))</f>
        <v/>
      </c>
      <c r="BO72" s="87">
        <f>IF(OR(BO45=0,25&lt;=КаникулыРоялти),0,BO45*IF(РоялтиПоГруппам="Да",MeanMinAge25+BO9*SUMIF(ThresholdAge25,"&lt;"&amp;BO9,WeightedRevAge25)-SUMIF(ThresholdAge25,"&lt;"&amp;BO9,WeightedMinAge25),MAX(CapacityAge25*АбонементНовых*BO9,MeanMinAge25)))</f>
        <v/>
      </c>
      <c r="BP72" s="87">
        <f>IF(OR(BP45=0,25&lt;=КаникулыРоялти),0,BP45*IF(РоялтиПоГруппам="Да",MeanMinAge25+BP9*SUMIF(ThresholdAge25,"&lt;"&amp;BP9,WeightedRevAge25)-SUMIF(ThresholdAge25,"&lt;"&amp;BP9,WeightedMinAge25),MAX(CapacityAge25*АбонементНовых*BP9,MeanMinAge25)))</f>
        <v/>
      </c>
      <c r="BQ72" s="87">
        <f>IF(OR(BQ45=0,25&lt;=КаникулыРоялти),0,BQ45*IF(РоялтиПоГруппам="Да",MeanMinAge25+BQ9*SUMIF(ThresholdAge25,"&lt;"&amp;BQ9,WeightedRevAge25)-SUMIF(ThresholdAge25,"&lt;"&amp;BQ9,WeightedMinAge25),MAX(CapacityAge25*АбонементНовых*BQ9,MeanMinAge25)))</f>
        <v/>
      </c>
      <c r="BR72" s="87">
        <f>IF(OR(BR45=0,25&lt;=КаникулыРоялти),0,BR45*IF(РоялтиПоГруппам="Да",MeanMinAge25+BR9*SUMIF(ThresholdAge25,"&lt;"&amp;BR9,WeightedRevAge25)-SUMIF(ThresholdAge25,"&lt;"&amp;BR9,WeightedMinAge25),MAX(CapacityAge25*АбонементНовых*BR9,MeanMinAge25)))</f>
        <v/>
      </c>
      <c r="BS72" s="87">
        <f>IF(OR(BS45=0,25&lt;=КаникулыРоялти),0,BS45*IF(РоялтиПоГруппам="Да",MeanMinAge25+BS9*SUMIF(ThresholdAge25,"&lt;"&amp;BS9,WeightedRevAge25)-SUMIF(ThresholdAge25,"&lt;"&amp;BS9,WeightedMinAge25),MAX(CapacityAge25*АбонементНовых*BS9,MeanMinAge25)))</f>
        <v/>
      </c>
      <c r="BT72" s="87">
        <f>IF(OR(BT45=0,25&lt;=КаникулыРоялти),0,BT45*IF(РоялтиПоГруппам="Да",MeanMinAge25+BT9*SUMIF(ThresholdAge25,"&lt;"&amp;BT9,WeightedRevAge25)-SUMIF(ThresholdAge25,"&lt;"&amp;BT9,WeightedMinAge25),MAX(CapacityAge25*АбонементНовых*BT9,MeanMinAge25)))</f>
        <v/>
      </c>
      <c r="BU72" s="87">
        <f>IF(OR(BU45=0,25&lt;=КаникулыРоялти),0,BU45*IF(РоялтиПоГруппам="Да",MeanMinAge25+BU9*SUMIF(ThresholdAge25,"&lt;"&amp;BU9,WeightedRevAge25)-SUMIF(ThresholdAge25,"&lt;"&amp;BU9,WeightedMinAge25),MAX(CapacityAge25*АбонементНовых*BU9,MeanMinAge25)))</f>
        <v/>
      </c>
      <c r="BV72" s="87">
        <f>IF(OR(BV45=0,25&lt;=КаникулыРоялти),0,BV45*IF(РоялтиПоГруппам="Да",MeanMinAge25+BV9*SUMIF(ThresholdAge25,"&lt;"&amp;BV9,WeightedRevAge25)-SUMIF(ThresholdAge25,"&lt;"&amp;BV9,WeightedMinAge25),MAX(CapacityAge25*АбонементНовых*BV9,MeanMinAge25)))</f>
        <v/>
      </c>
      <c r="BW72" s="87">
        <f>IF(OR(BW45=0,25&lt;=КаникулыРоялти),0,BW45*IF(РоялтиПоГруппам="Да",MeanMinAge25+BW9*SUMIF(ThresholdAge25,"&lt;"&amp;BW9,WeightedRevAge25)-SUMIF(ThresholdAge25,"&lt;"&amp;BW9,WeightedMinAge25),MAX(CapacityAge25*АбонементНовых*BW9,MeanMinAge25)))</f>
        <v/>
      </c>
      <c r="BX72" s="87">
        <f>IF(OR(BX45=0,25&lt;=КаникулыРоялти),0,BX45*IF(РоялтиПоГруппам="Да",MeanMinAge25+BX9*SUMIF(ThresholdAge25,"&lt;"&amp;BX9,WeightedRevAge25)-SUMIF(ThresholdAge25,"&lt;"&amp;BX9,WeightedMinAge25),MAX(CapacityAge25*АбонементНовых*BX9,MeanMinAge25)))</f>
        <v/>
      </c>
      <c r="BY72" s="87">
        <f>IF(OR(BY45=0,25&lt;=КаникулыРоялти),0,BY45*IF(РоялтиПоГруппам="Да",MeanMinAge25+BY9*SUMIF(ThresholdAge25,"&lt;"&amp;BY9,WeightedRevAge25)-SUMIF(ThresholdAge25,"&lt;"&amp;BY9,WeightedMinAge25),MAX(CapacityAge25*АбонементНовых*BY9,MeanMinAge25)))</f>
        <v/>
      </c>
    </row>
    <row r="73" ht="15.75" customHeight="1" s="194"/>
    <row r="74" ht="15.75" customHeight="1" s="194">
      <c r="B74" s="54" t="inlineStr">
        <is>
          <t>Роялти новых школ по возрасту — новая ставка</t>
        </is>
      </c>
      <c r="C74" s="55" t="n"/>
      <c r="D74" s="55" t="n"/>
      <c r="E74" s="55" t="n"/>
      <c r="F74" s="55" t="n"/>
      <c r="G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  <c r="S74" s="55" t="n"/>
      <c r="T74" s="55" t="n"/>
      <c r="U74" s="55" t="n"/>
      <c r="V74" s="55" t="n"/>
      <c r="W74" s="55" t="n"/>
      <c r="X74" s="55" t="n"/>
      <c r="Y74" s="55" t="n"/>
      <c r="Z74" s="55" t="n"/>
      <c r="AA74" s="55" t="n"/>
      <c r="AB74" s="55" t="n"/>
      <c r="AC74" s="55" t="n"/>
      <c r="AD74" s="55" t="n"/>
      <c r="AE74" s="55" t="n"/>
      <c r="AF74" s="55" t="n"/>
      <c r="AG74" s="55" t="n"/>
      <c r="AH74" s="55" t="n"/>
      <c r="AI74" s="55" t="n"/>
      <c r="AJ74" s="55" t="n"/>
      <c r="AK74" s="55" t="n"/>
      <c r="AL74" s="55" t="n"/>
      <c r="AM74" s="55" t="n"/>
      <c r="AN74" s="55" t="n"/>
      <c r="AO74" s="55" t="n"/>
      <c r="AP74" s="55" t="n"/>
      <c r="AQ74" s="55" t="n"/>
      <c r="AR74" s="55" t="n"/>
      <c r="AS74" s="55" t="n"/>
      <c r="AT74" s="55" t="n"/>
      <c r="AU74" s="55" t="n"/>
      <c r="AV74" s="55" t="n"/>
      <c r="AW74" s="55" t="n"/>
      <c r="AX74" s="55" t="n"/>
      <c r="AY74" s="55" t="n"/>
      <c r="AZ74" s="55" t="n"/>
      <c r="BA74" s="55" t="n"/>
      <c r="BB74" s="55" t="n"/>
      <c r="BC74" s="55" t="n"/>
      <c r="BD74" s="55" t="n"/>
      <c r="BE74" s="55" t="n"/>
      <c r="BF74" s="55" t="n"/>
      <c r="BG74" s="55" t="n"/>
      <c r="BH74" s="55" t="n"/>
      <c r="BI74" s="55" t="n"/>
      <c r="BJ74" s="55" t="n"/>
      <c r="BK74" s="55" t="n"/>
      <c r="BL74" s="55" t="n"/>
      <c r="BM74" s="55" t="n"/>
      <c r="BN74" s="55" t="n"/>
      <c r="BO74" s="55" t="n"/>
      <c r="BP74" s="55" t="n"/>
      <c r="BQ74" s="55" t="n"/>
      <c r="BR74" s="55" t="n"/>
      <c r="BS74" s="55" t="n"/>
      <c r="BT74" s="55" t="n"/>
      <c r="BU74" s="55" t="n"/>
      <c r="BV74" s="55" t="n"/>
      <c r="BW74" s="55" t="n"/>
      <c r="BX74" s="55" t="n"/>
      <c r="BY74" s="55" t="n"/>
    </row>
    <row r="75" ht="15.75" customHeight="1" s="194">
      <c r="B75" s="56" t="inlineStr">
        <is>
          <t>1 мес.</t>
        </is>
      </c>
      <c r="C75" s="56" t="inlineStr">
        <is>
          <t>₽</t>
        </is>
      </c>
      <c r="D75" s="57" t="n"/>
      <c r="E75" s="85">
        <f>SUM(L75:W75)</f>
        <v/>
      </c>
      <c r="F75" s="85">
        <f>SUM(X75:AI75)</f>
        <v/>
      </c>
      <c r="G75" s="85">
        <f>SUM(AJ75:AU75)</f>
        <v/>
      </c>
      <c r="H75" s="85">
        <f>SUM(AV75:BG75)</f>
        <v/>
      </c>
      <c r="I75" s="85">
        <f>SUM(BH75:BS75)</f>
        <v/>
      </c>
      <c r="J75" s="86">
        <f>SUM(L75:BS75)</f>
        <v/>
      </c>
      <c r="L75" s="87">
        <f>IF(OR(('03_Сеть'!L23-L21)=0,1&lt;=КаникулыРоялти),0,('03_Сеть'!L23-L21)*IF(РоялтиПоГруппам="Да",MeanMinAge01+L10*SUMIF(ThresholdAge01,"&lt;"&amp;L10,WeightedRevAge01)-SUMIF(ThresholdAge01,"&lt;"&amp;L10,WeightedMinAge01),MAX(CapacityAge01*АбонементНовых*L10,MeanMinAge01)))</f>
        <v/>
      </c>
      <c r="M75" s="87">
        <f>IF(OR(('03_Сеть'!M23-M21)=0,1&lt;=КаникулыРоялти),0,('03_Сеть'!M23-M21)*IF(РоялтиПоГруппам="Да",MeanMinAge01+M10*SUMIF(ThresholdAge01,"&lt;"&amp;M10,WeightedRevAge01)-SUMIF(ThresholdAge01,"&lt;"&amp;M10,WeightedMinAge01),MAX(CapacityAge01*АбонементНовых*M10,MeanMinAge01)))</f>
        <v/>
      </c>
      <c r="N75" s="87">
        <f>IF(OR(('03_Сеть'!N23-N21)=0,1&lt;=КаникулыРоялти),0,('03_Сеть'!N23-N21)*IF(РоялтиПоГруппам="Да",MeanMinAge01+N10*SUMIF(ThresholdAge01,"&lt;"&amp;N10,WeightedRevAge01)-SUMIF(ThresholdAge01,"&lt;"&amp;N10,WeightedMinAge01),MAX(CapacityAge01*АбонементНовых*N10,MeanMinAge01)))</f>
        <v/>
      </c>
      <c r="O75" s="87">
        <f>IF(OR(('03_Сеть'!O23-O21)=0,1&lt;=КаникулыРоялти),0,('03_Сеть'!O23-O21)*IF(РоялтиПоГруппам="Да",MeanMinAge01+O10*SUMIF(ThresholdAge01,"&lt;"&amp;O10,WeightedRevAge01)-SUMIF(ThresholdAge01,"&lt;"&amp;O10,WeightedMinAge01),MAX(CapacityAge01*АбонементНовых*O10,MeanMinAge01)))</f>
        <v/>
      </c>
      <c r="P75" s="87">
        <f>IF(OR(('03_Сеть'!P23-P21)=0,1&lt;=КаникулыРоялти),0,('03_Сеть'!P23-P21)*IF(РоялтиПоГруппам="Да",MeanMinAge01+P10*SUMIF(ThresholdAge01,"&lt;"&amp;P10,WeightedRevAge01)-SUMIF(ThresholdAge01,"&lt;"&amp;P10,WeightedMinAge01),MAX(CapacityAge01*АбонементНовых*P10,MeanMinAge01)))</f>
        <v/>
      </c>
      <c r="Q75" s="87">
        <f>IF(OR(('03_Сеть'!Q23-Q21)=0,1&lt;=КаникулыРоялти),0,('03_Сеть'!Q23-Q21)*IF(РоялтиПоГруппам="Да",MeanMinAge01+Q10*SUMIF(ThresholdAge01,"&lt;"&amp;Q10,WeightedRevAge01)-SUMIF(ThresholdAge01,"&lt;"&amp;Q10,WeightedMinAge01),MAX(CapacityAge01*АбонементНовых*Q10,MeanMinAge01)))</f>
        <v/>
      </c>
      <c r="R75" s="87">
        <f>IF(OR(('03_Сеть'!R23-R21)=0,1&lt;=КаникулыРоялти),0,('03_Сеть'!R23-R21)*IF(РоялтиПоГруппам="Да",MeanMinAge01+R10*SUMIF(ThresholdAge01,"&lt;"&amp;R10,WeightedRevAge01)-SUMIF(ThresholdAge01,"&lt;"&amp;R10,WeightedMinAge01),MAX(CapacityAge01*АбонементНовых*R10,MeanMinAge01)))</f>
        <v/>
      </c>
      <c r="S75" s="87">
        <f>IF(OR(('03_Сеть'!S23-S21)=0,1&lt;=КаникулыРоялти),0,('03_Сеть'!S23-S21)*IF(РоялтиПоГруппам="Да",MeanMinAge01+S10*SUMIF(ThresholdAge01,"&lt;"&amp;S10,WeightedRevAge01)-SUMIF(ThresholdAge01,"&lt;"&amp;S10,WeightedMinAge01),MAX(CapacityAge01*АбонементНовых*S10,MeanMinAge01)))</f>
        <v/>
      </c>
      <c r="T75" s="87">
        <f>IF(OR(('03_Сеть'!T23-T21)=0,1&lt;=КаникулыРоялти),0,('03_Сеть'!T23-T21)*IF(РоялтиПоГруппам="Да",MeanMinAge01+T10*SUMIF(ThresholdAge01,"&lt;"&amp;T10,WeightedRevAge01)-SUMIF(ThresholdAge01,"&lt;"&amp;T10,WeightedMinAge01),MAX(CapacityAge01*АбонементНовых*T10,MeanMinAge01)))</f>
        <v/>
      </c>
      <c r="U75" s="87">
        <f>IF(OR(('03_Сеть'!U23-U21)=0,1&lt;=КаникулыРоялти),0,('03_Сеть'!U23-U21)*IF(РоялтиПоГруппам="Да",MeanMinAge01+U10*SUMIF(ThresholdAge01,"&lt;"&amp;U10,WeightedRevAge01)-SUMIF(ThresholdAge01,"&lt;"&amp;U10,WeightedMinAge01),MAX(CapacityAge01*АбонементНовых*U10,MeanMinAge01)))</f>
        <v/>
      </c>
      <c r="V75" s="87">
        <f>IF(OR(('03_Сеть'!V23-V21)=0,1&lt;=КаникулыРоялти),0,('03_Сеть'!V23-V21)*IF(РоялтиПоГруппам="Да",MeanMinAge01+V10*SUMIF(ThresholdAge01,"&lt;"&amp;V10,WeightedRevAge01)-SUMIF(ThresholdAge01,"&lt;"&amp;V10,WeightedMinAge01),MAX(CapacityAge01*АбонементНовых*V10,MeanMinAge01)))</f>
        <v/>
      </c>
      <c r="W75" s="87">
        <f>IF(OR(('03_Сеть'!W23-W21)=0,1&lt;=КаникулыРоялти),0,('03_Сеть'!W23-W21)*IF(РоялтиПоГруппам="Да",MeanMinAge01+W10*SUMIF(ThresholdAge01,"&lt;"&amp;W10,WeightedRevAge01)-SUMIF(ThresholdAge01,"&lt;"&amp;W10,WeightedMinAge01),MAX(CapacityAge01*АбонементНовых*W10,MeanMinAge01)))</f>
        <v/>
      </c>
      <c r="X75" s="87">
        <f>IF(OR(('03_Сеть'!X23-X21)=0,1&lt;=КаникулыРоялти),0,('03_Сеть'!X23-X21)*IF(РоялтиПоГруппам="Да",MeanMinAge01+X10*SUMIF(ThresholdAge01,"&lt;"&amp;X10,WeightedRevAge01)-SUMIF(ThresholdAge01,"&lt;"&amp;X10,WeightedMinAge01),MAX(CapacityAge01*АбонементНовых*X10,MeanMinAge01)))</f>
        <v/>
      </c>
      <c r="Y75" s="87">
        <f>IF(OR(('03_Сеть'!Y23-Y21)=0,1&lt;=КаникулыРоялти),0,('03_Сеть'!Y23-Y21)*IF(РоялтиПоГруппам="Да",MeanMinAge01+Y10*SUMIF(ThresholdAge01,"&lt;"&amp;Y10,WeightedRevAge01)-SUMIF(ThresholdAge01,"&lt;"&amp;Y10,WeightedMinAge01),MAX(CapacityAge01*АбонементНовых*Y10,MeanMinAge01)))</f>
        <v/>
      </c>
      <c r="Z75" s="87">
        <f>IF(OR(('03_Сеть'!Z23-Z21)=0,1&lt;=КаникулыРоялти),0,('03_Сеть'!Z23-Z21)*IF(РоялтиПоГруппам="Да",MeanMinAge01+Z10*SUMIF(ThresholdAge01,"&lt;"&amp;Z10,WeightedRevAge01)-SUMIF(ThresholdAge01,"&lt;"&amp;Z10,WeightedMinAge01),MAX(CapacityAge01*АбонементНовых*Z10,MeanMinAge01)))</f>
        <v/>
      </c>
      <c r="AA75" s="87">
        <f>IF(OR(('03_Сеть'!AA23-AA21)=0,1&lt;=КаникулыРоялти),0,('03_Сеть'!AA23-AA21)*IF(РоялтиПоГруппам="Да",MeanMinAge01+AA10*SUMIF(ThresholdAge01,"&lt;"&amp;AA10,WeightedRevAge01)-SUMIF(ThresholdAge01,"&lt;"&amp;AA10,WeightedMinAge01),MAX(CapacityAge01*АбонементНовых*AA10,MeanMinAge01)))</f>
        <v/>
      </c>
      <c r="AB75" s="87">
        <f>IF(OR(('03_Сеть'!AB23-AB21)=0,1&lt;=КаникулыРоялти),0,('03_Сеть'!AB23-AB21)*IF(РоялтиПоГруппам="Да",MeanMinAge01+AB10*SUMIF(ThresholdAge01,"&lt;"&amp;AB10,WeightedRevAge01)-SUMIF(ThresholdAge01,"&lt;"&amp;AB10,WeightedMinAge01),MAX(CapacityAge01*АбонементНовых*AB10,MeanMinAge01)))</f>
        <v/>
      </c>
      <c r="AC75" s="87">
        <f>IF(OR(('03_Сеть'!AC23-AC21)=0,1&lt;=КаникулыРоялти),0,('03_Сеть'!AC23-AC21)*IF(РоялтиПоГруппам="Да",MeanMinAge01+AC10*SUMIF(ThresholdAge01,"&lt;"&amp;AC10,WeightedRevAge01)-SUMIF(ThresholdAge01,"&lt;"&amp;AC10,WeightedMinAge01),MAX(CapacityAge01*АбонементНовых*AC10,MeanMinAge01)))</f>
        <v/>
      </c>
      <c r="AD75" s="87">
        <f>IF(OR(('03_Сеть'!AD23-AD21)=0,1&lt;=КаникулыРоялти),0,('03_Сеть'!AD23-AD21)*IF(РоялтиПоГруппам="Да",MeanMinAge01+AD10*SUMIF(ThresholdAge01,"&lt;"&amp;AD10,WeightedRevAge01)-SUMIF(ThresholdAge01,"&lt;"&amp;AD10,WeightedMinAge01),MAX(CapacityAge01*АбонементНовых*AD10,MeanMinAge01)))</f>
        <v/>
      </c>
      <c r="AE75" s="87">
        <f>IF(OR(('03_Сеть'!AE23-AE21)=0,1&lt;=КаникулыРоялти),0,('03_Сеть'!AE23-AE21)*IF(РоялтиПоГруппам="Да",MeanMinAge01+AE10*SUMIF(ThresholdAge01,"&lt;"&amp;AE10,WeightedRevAge01)-SUMIF(ThresholdAge01,"&lt;"&amp;AE10,WeightedMinAge01),MAX(CapacityAge01*АбонементНовых*AE10,MeanMinAge01)))</f>
        <v/>
      </c>
      <c r="AF75" s="87">
        <f>IF(OR(('03_Сеть'!AF23-AF21)=0,1&lt;=КаникулыРоялти),0,('03_Сеть'!AF23-AF21)*IF(РоялтиПоГруппам="Да",MeanMinAge01+AF10*SUMIF(ThresholdAge01,"&lt;"&amp;AF10,WeightedRevAge01)-SUMIF(ThresholdAge01,"&lt;"&amp;AF10,WeightedMinAge01),MAX(CapacityAge01*АбонементНовых*AF10,MeanMinAge01)))</f>
        <v/>
      </c>
      <c r="AG75" s="87">
        <f>IF(OR(('03_Сеть'!AG23-AG21)=0,1&lt;=КаникулыРоялти),0,('03_Сеть'!AG23-AG21)*IF(РоялтиПоГруппам="Да",MeanMinAge01+AG10*SUMIF(ThresholdAge01,"&lt;"&amp;AG10,WeightedRevAge01)-SUMIF(ThresholdAge01,"&lt;"&amp;AG10,WeightedMinAge01),MAX(CapacityAge01*АбонементНовых*AG10,MeanMinAge01)))</f>
        <v/>
      </c>
      <c r="AH75" s="87">
        <f>IF(OR(('03_Сеть'!AH23-AH21)=0,1&lt;=КаникулыРоялти),0,('03_Сеть'!AH23-AH21)*IF(РоялтиПоГруппам="Да",MeanMinAge01+AH10*SUMIF(ThresholdAge01,"&lt;"&amp;AH10,WeightedRevAge01)-SUMIF(ThresholdAge01,"&lt;"&amp;AH10,WeightedMinAge01),MAX(CapacityAge01*АбонементНовых*AH10,MeanMinAge01)))</f>
        <v/>
      </c>
      <c r="AI75" s="87">
        <f>IF(OR(('03_Сеть'!AI23-AI21)=0,1&lt;=КаникулыРоялти),0,('03_Сеть'!AI23-AI21)*IF(РоялтиПоГруппам="Да",MeanMinAge01+AI10*SUMIF(ThresholdAge01,"&lt;"&amp;AI10,WeightedRevAge01)-SUMIF(ThresholdAge01,"&lt;"&amp;AI10,WeightedMinAge01),MAX(CapacityAge01*АбонементНовых*AI10,MeanMinAge01)))</f>
        <v/>
      </c>
      <c r="AJ75" s="87">
        <f>IF(OR(('03_Сеть'!AJ23-AJ21)=0,1&lt;=КаникулыРоялти),0,('03_Сеть'!AJ23-AJ21)*IF(РоялтиПоГруппам="Да",MeanMinAge01+AJ10*SUMIF(ThresholdAge01,"&lt;"&amp;AJ10,WeightedRevAge01)-SUMIF(ThresholdAge01,"&lt;"&amp;AJ10,WeightedMinAge01),MAX(CapacityAge01*АбонементНовых*AJ10,MeanMinAge01)))</f>
        <v/>
      </c>
      <c r="AK75" s="87">
        <f>IF(OR(('03_Сеть'!AK23-AK21)=0,1&lt;=КаникулыРоялти),0,('03_Сеть'!AK23-AK21)*IF(РоялтиПоГруппам="Да",MeanMinAge01+AK10*SUMIF(ThresholdAge01,"&lt;"&amp;AK10,WeightedRevAge01)-SUMIF(ThresholdAge01,"&lt;"&amp;AK10,WeightedMinAge01),MAX(CapacityAge01*АбонементНовых*AK10,MeanMinAge01)))</f>
        <v/>
      </c>
      <c r="AL75" s="87">
        <f>IF(OR(('03_Сеть'!AL23-AL21)=0,1&lt;=КаникулыРоялти),0,('03_Сеть'!AL23-AL21)*IF(РоялтиПоГруппам="Да",MeanMinAge01+AL10*SUMIF(ThresholdAge01,"&lt;"&amp;AL10,WeightedRevAge01)-SUMIF(ThresholdAge01,"&lt;"&amp;AL10,WeightedMinAge01),MAX(CapacityAge01*АбонементНовых*AL10,MeanMinAge01)))</f>
        <v/>
      </c>
      <c r="AM75" s="87">
        <f>IF(OR(('03_Сеть'!AM23-AM21)=0,1&lt;=КаникулыРоялти),0,('03_Сеть'!AM23-AM21)*IF(РоялтиПоГруппам="Да",MeanMinAge01+AM10*SUMIF(ThresholdAge01,"&lt;"&amp;AM10,WeightedRevAge01)-SUMIF(ThresholdAge01,"&lt;"&amp;AM10,WeightedMinAge01),MAX(CapacityAge01*АбонементНовых*AM10,MeanMinAge01)))</f>
        <v/>
      </c>
      <c r="AN75" s="87">
        <f>IF(OR(('03_Сеть'!AN23-AN21)=0,1&lt;=КаникулыРоялти),0,('03_Сеть'!AN23-AN21)*IF(РоялтиПоГруппам="Да",MeanMinAge01+AN10*SUMIF(ThresholdAge01,"&lt;"&amp;AN10,WeightedRevAge01)-SUMIF(ThresholdAge01,"&lt;"&amp;AN10,WeightedMinAge01),MAX(CapacityAge01*АбонементНовых*AN10,MeanMinAge01)))</f>
        <v/>
      </c>
      <c r="AO75" s="87">
        <f>IF(OR(('03_Сеть'!AO23-AO21)=0,1&lt;=КаникулыРоялти),0,('03_Сеть'!AO23-AO21)*IF(РоялтиПоГруппам="Да",MeanMinAge01+AO10*SUMIF(ThresholdAge01,"&lt;"&amp;AO10,WeightedRevAge01)-SUMIF(ThresholdAge01,"&lt;"&amp;AO10,WeightedMinAge01),MAX(CapacityAge01*АбонементНовых*AO10,MeanMinAge01)))</f>
        <v/>
      </c>
      <c r="AP75" s="87">
        <f>IF(OR(('03_Сеть'!AP23-AP21)=0,1&lt;=КаникулыРоялти),0,('03_Сеть'!AP23-AP21)*IF(РоялтиПоГруппам="Да",MeanMinAge01+AP10*SUMIF(ThresholdAge01,"&lt;"&amp;AP10,WeightedRevAge01)-SUMIF(ThresholdAge01,"&lt;"&amp;AP10,WeightedMinAge01),MAX(CapacityAge01*АбонементНовых*AP10,MeanMinAge01)))</f>
        <v/>
      </c>
      <c r="AQ75" s="87">
        <f>IF(OR(('03_Сеть'!AQ23-AQ21)=0,1&lt;=КаникулыРоялти),0,('03_Сеть'!AQ23-AQ21)*IF(РоялтиПоГруппам="Да",MeanMinAge01+AQ10*SUMIF(ThresholdAge01,"&lt;"&amp;AQ10,WeightedRevAge01)-SUMIF(ThresholdAge01,"&lt;"&amp;AQ10,WeightedMinAge01),MAX(CapacityAge01*АбонементНовых*AQ10,MeanMinAge01)))</f>
        <v/>
      </c>
      <c r="AR75" s="87">
        <f>IF(OR(('03_Сеть'!AR23-AR21)=0,1&lt;=КаникулыРоялти),0,('03_Сеть'!AR23-AR21)*IF(РоялтиПоГруппам="Да",MeanMinAge01+AR10*SUMIF(ThresholdAge01,"&lt;"&amp;AR10,WeightedRevAge01)-SUMIF(ThresholdAge01,"&lt;"&amp;AR10,WeightedMinAge01),MAX(CapacityAge01*АбонементНовых*AR10,MeanMinAge01)))</f>
        <v/>
      </c>
      <c r="AS75" s="87">
        <f>IF(OR(('03_Сеть'!AS23-AS21)=0,1&lt;=КаникулыРоялти),0,('03_Сеть'!AS23-AS21)*IF(РоялтиПоГруппам="Да",MeanMinAge01+AS10*SUMIF(ThresholdAge01,"&lt;"&amp;AS10,WeightedRevAge01)-SUMIF(ThresholdAge01,"&lt;"&amp;AS10,WeightedMinAge01),MAX(CapacityAge01*АбонементНовых*AS10,MeanMinAge01)))</f>
        <v/>
      </c>
      <c r="AT75" s="87">
        <f>IF(OR(('03_Сеть'!AT23-AT21)=0,1&lt;=КаникулыРоялти),0,('03_Сеть'!AT23-AT21)*IF(РоялтиПоГруппам="Да",MeanMinAge01+AT10*SUMIF(ThresholdAge01,"&lt;"&amp;AT10,WeightedRevAge01)-SUMIF(ThresholdAge01,"&lt;"&amp;AT10,WeightedMinAge01),MAX(CapacityAge01*АбонементНовых*AT10,MeanMinAge01)))</f>
        <v/>
      </c>
      <c r="AU75" s="87">
        <f>IF(OR(('03_Сеть'!AU23-AU21)=0,1&lt;=КаникулыРоялти),0,('03_Сеть'!AU23-AU21)*IF(РоялтиПоГруппам="Да",MeanMinAge01+AU10*SUMIF(ThresholdAge01,"&lt;"&amp;AU10,WeightedRevAge01)-SUMIF(ThresholdAge01,"&lt;"&amp;AU10,WeightedMinAge01),MAX(CapacityAge01*АбонементНовых*AU10,MeanMinAge01)))</f>
        <v/>
      </c>
      <c r="AV75" s="87">
        <f>IF(OR(('03_Сеть'!AV23-AV21)=0,1&lt;=КаникулыРоялти),0,('03_Сеть'!AV23-AV21)*IF(РоялтиПоГруппам="Да",MeanMinAge01+AV10*SUMIF(ThresholdAge01,"&lt;"&amp;AV10,WeightedRevAge01)-SUMIF(ThresholdAge01,"&lt;"&amp;AV10,WeightedMinAge01),MAX(CapacityAge01*АбонементНовых*AV10,MeanMinAge01)))</f>
        <v/>
      </c>
      <c r="AW75" s="87">
        <f>IF(OR(('03_Сеть'!AW23-AW21)=0,1&lt;=КаникулыРоялти),0,('03_Сеть'!AW23-AW21)*IF(РоялтиПоГруппам="Да",MeanMinAge01+AW10*SUMIF(ThresholdAge01,"&lt;"&amp;AW10,WeightedRevAge01)-SUMIF(ThresholdAge01,"&lt;"&amp;AW10,WeightedMinAge01),MAX(CapacityAge01*АбонементНовых*AW10,MeanMinAge01)))</f>
        <v/>
      </c>
      <c r="AX75" s="87">
        <f>IF(OR(('03_Сеть'!AX23-AX21)=0,1&lt;=КаникулыРоялти),0,('03_Сеть'!AX23-AX21)*IF(РоялтиПоГруппам="Да",MeanMinAge01+AX10*SUMIF(ThresholdAge01,"&lt;"&amp;AX10,WeightedRevAge01)-SUMIF(ThresholdAge01,"&lt;"&amp;AX10,WeightedMinAge01),MAX(CapacityAge01*АбонементНовых*AX10,MeanMinAge01)))</f>
        <v/>
      </c>
      <c r="AY75" s="87">
        <f>IF(OR(('03_Сеть'!AY23-AY21)=0,1&lt;=КаникулыРоялти),0,('03_Сеть'!AY23-AY21)*IF(РоялтиПоГруппам="Да",MeanMinAge01+AY10*SUMIF(ThresholdAge01,"&lt;"&amp;AY10,WeightedRevAge01)-SUMIF(ThresholdAge01,"&lt;"&amp;AY10,WeightedMinAge01),MAX(CapacityAge01*АбонементНовых*AY10,MeanMinAge01)))</f>
        <v/>
      </c>
      <c r="AZ75" s="87">
        <f>IF(OR(('03_Сеть'!AZ23-AZ21)=0,1&lt;=КаникулыРоялти),0,('03_Сеть'!AZ23-AZ21)*IF(РоялтиПоГруппам="Да",MeanMinAge01+AZ10*SUMIF(ThresholdAge01,"&lt;"&amp;AZ10,WeightedRevAge01)-SUMIF(ThresholdAge01,"&lt;"&amp;AZ10,WeightedMinAge01),MAX(CapacityAge01*АбонементНовых*AZ10,MeanMinAge01)))</f>
        <v/>
      </c>
      <c r="BA75" s="87">
        <f>IF(OR(('03_Сеть'!BA23-BA21)=0,1&lt;=КаникулыРоялти),0,('03_Сеть'!BA23-BA21)*IF(РоялтиПоГруппам="Да",MeanMinAge01+BA10*SUMIF(ThresholdAge01,"&lt;"&amp;BA10,WeightedRevAge01)-SUMIF(ThresholdAge01,"&lt;"&amp;BA10,WeightedMinAge01),MAX(CapacityAge01*АбонементНовых*BA10,MeanMinAge01)))</f>
        <v/>
      </c>
      <c r="BB75" s="87">
        <f>IF(OR(('03_Сеть'!BB23-BB21)=0,1&lt;=КаникулыРоялти),0,('03_Сеть'!BB23-BB21)*IF(РоялтиПоГруппам="Да",MeanMinAge01+BB10*SUMIF(ThresholdAge01,"&lt;"&amp;BB10,WeightedRevAge01)-SUMIF(ThresholdAge01,"&lt;"&amp;BB10,WeightedMinAge01),MAX(CapacityAge01*АбонементНовых*BB10,MeanMinAge01)))</f>
        <v/>
      </c>
      <c r="BC75" s="87">
        <f>IF(OR(('03_Сеть'!BC23-BC21)=0,1&lt;=КаникулыРоялти),0,('03_Сеть'!BC23-BC21)*IF(РоялтиПоГруппам="Да",MeanMinAge01+BC10*SUMIF(ThresholdAge01,"&lt;"&amp;BC10,WeightedRevAge01)-SUMIF(ThresholdAge01,"&lt;"&amp;BC10,WeightedMinAge01),MAX(CapacityAge01*АбонементНовых*BC10,MeanMinAge01)))</f>
        <v/>
      </c>
      <c r="BD75" s="87">
        <f>IF(OR(('03_Сеть'!BD23-BD21)=0,1&lt;=КаникулыРоялти),0,('03_Сеть'!BD23-BD21)*IF(РоялтиПоГруппам="Да",MeanMinAge01+BD10*SUMIF(ThresholdAge01,"&lt;"&amp;BD10,WeightedRevAge01)-SUMIF(ThresholdAge01,"&lt;"&amp;BD10,WeightedMinAge01),MAX(CapacityAge01*АбонементНовых*BD10,MeanMinAge01)))</f>
        <v/>
      </c>
      <c r="BE75" s="87">
        <f>IF(OR(('03_Сеть'!BE23-BE21)=0,1&lt;=КаникулыРоялти),0,('03_Сеть'!BE23-BE21)*IF(РоялтиПоГруппам="Да",MeanMinAge01+BE10*SUMIF(ThresholdAge01,"&lt;"&amp;BE10,WeightedRevAge01)-SUMIF(ThresholdAge01,"&lt;"&amp;BE10,WeightedMinAge01),MAX(CapacityAge01*АбонементНовых*BE10,MeanMinAge01)))</f>
        <v/>
      </c>
      <c r="BF75" s="87">
        <f>IF(OR(('03_Сеть'!BF23-BF21)=0,1&lt;=КаникулыРоялти),0,('03_Сеть'!BF23-BF21)*IF(РоялтиПоГруппам="Да",MeanMinAge01+BF10*SUMIF(ThresholdAge01,"&lt;"&amp;BF10,WeightedRevAge01)-SUMIF(ThresholdAge01,"&lt;"&amp;BF10,WeightedMinAge01),MAX(CapacityAge01*АбонементНовых*BF10,MeanMinAge01)))</f>
        <v/>
      </c>
      <c r="BG75" s="87">
        <f>IF(OR(('03_Сеть'!BG23-BG21)=0,1&lt;=КаникулыРоялти),0,('03_Сеть'!BG23-BG21)*IF(РоялтиПоГруппам="Да",MeanMinAge01+BG10*SUMIF(ThresholdAge01,"&lt;"&amp;BG10,WeightedRevAge01)-SUMIF(ThresholdAge01,"&lt;"&amp;BG10,WeightedMinAge01),MAX(CapacityAge01*АбонементНовых*BG10,MeanMinAge01)))</f>
        <v/>
      </c>
      <c r="BH75" s="87">
        <f>IF(OR(('03_Сеть'!BH23-BH21)=0,1&lt;=КаникулыРоялти),0,('03_Сеть'!BH23-BH21)*IF(РоялтиПоГруппам="Да",MeanMinAge01+BH10*SUMIF(ThresholdAge01,"&lt;"&amp;BH10,WeightedRevAge01)-SUMIF(ThresholdAge01,"&lt;"&amp;BH10,WeightedMinAge01),MAX(CapacityAge01*АбонементНовых*BH10,MeanMinAge01)))</f>
        <v/>
      </c>
      <c r="BI75" s="87">
        <f>IF(OR(('03_Сеть'!BI23-BI21)=0,1&lt;=КаникулыРоялти),0,('03_Сеть'!BI23-BI21)*IF(РоялтиПоГруппам="Да",MeanMinAge01+BI10*SUMIF(ThresholdAge01,"&lt;"&amp;BI10,WeightedRevAge01)-SUMIF(ThresholdAge01,"&lt;"&amp;BI10,WeightedMinAge01),MAX(CapacityAge01*АбонементНовых*BI10,MeanMinAge01)))</f>
        <v/>
      </c>
      <c r="BJ75" s="87">
        <f>IF(OR(('03_Сеть'!BJ23-BJ21)=0,1&lt;=КаникулыРоялти),0,('03_Сеть'!BJ23-BJ21)*IF(РоялтиПоГруппам="Да",MeanMinAge01+BJ10*SUMIF(ThresholdAge01,"&lt;"&amp;BJ10,WeightedRevAge01)-SUMIF(ThresholdAge01,"&lt;"&amp;BJ10,WeightedMinAge01),MAX(CapacityAge01*АбонементНовых*BJ10,MeanMinAge01)))</f>
        <v/>
      </c>
      <c r="BK75" s="87">
        <f>IF(OR(('03_Сеть'!BK23-BK21)=0,1&lt;=КаникулыРоялти),0,('03_Сеть'!BK23-BK21)*IF(РоялтиПоГруппам="Да",MeanMinAge01+BK10*SUMIF(ThresholdAge01,"&lt;"&amp;BK10,WeightedRevAge01)-SUMIF(ThresholdAge01,"&lt;"&amp;BK10,WeightedMinAge01),MAX(CapacityAge01*АбонементНовых*BK10,MeanMinAge01)))</f>
        <v/>
      </c>
      <c r="BL75" s="87">
        <f>IF(OR(('03_Сеть'!BL23-BL21)=0,1&lt;=КаникулыРоялти),0,('03_Сеть'!BL23-BL21)*IF(РоялтиПоГруппам="Да",MeanMinAge01+BL10*SUMIF(ThresholdAge01,"&lt;"&amp;BL10,WeightedRevAge01)-SUMIF(ThresholdAge01,"&lt;"&amp;BL10,WeightedMinAge01),MAX(CapacityAge01*АбонементНовых*BL10,MeanMinAge01)))</f>
        <v/>
      </c>
      <c r="BM75" s="87">
        <f>IF(OR(('03_Сеть'!BM23-BM21)=0,1&lt;=КаникулыРоялти),0,('03_Сеть'!BM23-BM21)*IF(РоялтиПоГруппам="Да",MeanMinAge01+BM10*SUMIF(ThresholdAge01,"&lt;"&amp;BM10,WeightedRevAge01)-SUMIF(ThresholdAge01,"&lt;"&amp;BM10,WeightedMinAge01),MAX(CapacityAge01*АбонементНовых*BM10,MeanMinAge01)))</f>
        <v/>
      </c>
      <c r="BN75" s="87">
        <f>IF(OR(('03_Сеть'!BN23-BN21)=0,1&lt;=КаникулыРоялти),0,('03_Сеть'!BN23-BN21)*IF(РоялтиПоГруппам="Да",MeanMinAge01+BN10*SUMIF(ThresholdAge01,"&lt;"&amp;BN10,WeightedRevAge01)-SUMIF(ThresholdAge01,"&lt;"&amp;BN10,WeightedMinAge01),MAX(CapacityAge01*АбонементНовых*BN10,MeanMinAge01)))</f>
        <v/>
      </c>
      <c r="BO75" s="87">
        <f>IF(OR(('03_Сеть'!BO23-BO21)=0,1&lt;=КаникулыРоялти),0,('03_Сеть'!BO23-BO21)*IF(РоялтиПоГруппам="Да",MeanMinAge01+BO10*SUMIF(ThresholdAge01,"&lt;"&amp;BO10,WeightedRevAge01)-SUMIF(ThresholdAge01,"&lt;"&amp;BO10,WeightedMinAge01),MAX(CapacityAge01*АбонементНовых*BO10,MeanMinAge01)))</f>
        <v/>
      </c>
      <c r="BP75" s="87">
        <f>IF(OR(('03_Сеть'!BP23-BP21)=0,1&lt;=КаникулыРоялти),0,('03_Сеть'!BP23-BP21)*IF(РоялтиПоГруппам="Да",MeanMinAge01+BP10*SUMIF(ThresholdAge01,"&lt;"&amp;BP10,WeightedRevAge01)-SUMIF(ThresholdAge01,"&lt;"&amp;BP10,WeightedMinAge01),MAX(CapacityAge01*АбонементНовых*BP10,MeanMinAge01)))</f>
        <v/>
      </c>
      <c r="BQ75" s="87">
        <f>IF(OR(('03_Сеть'!BQ23-BQ21)=0,1&lt;=КаникулыРоялти),0,('03_Сеть'!BQ23-BQ21)*IF(РоялтиПоГруппам="Да",MeanMinAge01+BQ10*SUMIF(ThresholdAge01,"&lt;"&amp;BQ10,WeightedRevAge01)-SUMIF(ThresholdAge01,"&lt;"&amp;BQ10,WeightedMinAge01),MAX(CapacityAge01*АбонементНовых*BQ10,MeanMinAge01)))</f>
        <v/>
      </c>
      <c r="BR75" s="87">
        <f>IF(OR(('03_Сеть'!BR23-BR21)=0,1&lt;=КаникулыРоялти),0,('03_Сеть'!BR23-BR21)*IF(РоялтиПоГруппам="Да",MeanMinAge01+BR10*SUMIF(ThresholdAge01,"&lt;"&amp;BR10,WeightedRevAge01)-SUMIF(ThresholdAge01,"&lt;"&amp;BR10,WeightedMinAge01),MAX(CapacityAge01*АбонементНовых*BR10,MeanMinAge01)))</f>
        <v/>
      </c>
      <c r="BS75" s="87">
        <f>IF(OR(('03_Сеть'!BS23-BS21)=0,1&lt;=КаникулыРоялти),0,('03_Сеть'!BS23-BS21)*IF(РоялтиПоГруппам="Да",MeanMinAge01+BS10*SUMIF(ThresholdAge01,"&lt;"&amp;BS10,WeightedRevAge01)-SUMIF(ThresholdAge01,"&lt;"&amp;BS10,WeightedMinAge01),MAX(CapacityAge01*АбонементНовых*BS10,MeanMinAge01)))</f>
        <v/>
      </c>
      <c r="BT75" s="87">
        <f>IF(OR(('03_Сеть'!BT23-BT21)=0,1&lt;=КаникулыРоялти),0,('03_Сеть'!BT23-BT21)*IF(РоялтиПоГруппам="Да",MeanMinAge01+BT10*SUMIF(ThresholdAge01,"&lt;"&amp;BT10,WeightedRevAge01)-SUMIF(ThresholdAge01,"&lt;"&amp;BT10,WeightedMinAge01),MAX(CapacityAge01*АбонементНовых*BT10,MeanMinAge01)))</f>
        <v/>
      </c>
      <c r="BU75" s="87">
        <f>IF(OR(('03_Сеть'!BU23-BU21)=0,1&lt;=КаникулыРоялти),0,('03_Сеть'!BU23-BU21)*IF(РоялтиПоГруппам="Да",MeanMinAge01+BU10*SUMIF(ThresholdAge01,"&lt;"&amp;BU10,WeightedRevAge01)-SUMIF(ThresholdAge01,"&lt;"&amp;BU10,WeightedMinAge01),MAX(CapacityAge01*АбонементНовых*BU10,MeanMinAge01)))</f>
        <v/>
      </c>
      <c r="BV75" s="87">
        <f>IF(OR(('03_Сеть'!BV23-BV21)=0,1&lt;=КаникулыРоялти),0,('03_Сеть'!BV23-BV21)*IF(РоялтиПоГруппам="Да",MeanMinAge01+BV10*SUMIF(ThresholdAge01,"&lt;"&amp;BV10,WeightedRevAge01)-SUMIF(ThresholdAge01,"&lt;"&amp;BV10,WeightedMinAge01),MAX(CapacityAge01*АбонементНовых*BV10,MeanMinAge01)))</f>
        <v/>
      </c>
      <c r="BW75" s="87">
        <f>IF(OR(('03_Сеть'!BW23-BW21)=0,1&lt;=КаникулыРоялти),0,('03_Сеть'!BW23-BW21)*IF(РоялтиПоГруппам="Да",MeanMinAge01+BW10*SUMIF(ThresholdAge01,"&lt;"&amp;BW10,WeightedRevAge01)-SUMIF(ThresholdAge01,"&lt;"&amp;BW10,WeightedMinAge01),MAX(CapacityAge01*АбонементНовых*BW10,MeanMinAge01)))</f>
        <v/>
      </c>
      <c r="BX75" s="87">
        <f>IF(OR(('03_Сеть'!BX23-BX21)=0,1&lt;=КаникулыРоялти),0,('03_Сеть'!BX23-BX21)*IF(РоялтиПоГруппам="Да",MeanMinAge01+BX10*SUMIF(ThresholdAge01,"&lt;"&amp;BX10,WeightedRevAge01)-SUMIF(ThresholdAge01,"&lt;"&amp;BX10,WeightedMinAge01),MAX(CapacityAge01*АбонементНовых*BX10,MeanMinAge01)))</f>
        <v/>
      </c>
      <c r="BY75" s="87">
        <f>IF(OR(('03_Сеть'!BY23-BY21)=0,1&lt;=КаникулыРоялти),0,('03_Сеть'!BY23-BY21)*IF(РоялтиПоГруппам="Да",MeanMinAge01+BY10*SUMIF(ThresholdAge01,"&lt;"&amp;BY10,WeightedRevAge01)-SUMIF(ThresholdAge01,"&lt;"&amp;BY10,WeightedMinAge01),MAX(CapacityAge01*АбонементНовых*BY10,MeanMinAge01)))</f>
        <v/>
      </c>
    </row>
    <row r="76" ht="15.75" customHeight="1" s="194">
      <c r="B76" s="56" t="inlineStr">
        <is>
          <t>2 мес.</t>
        </is>
      </c>
      <c r="C76" s="56" t="inlineStr">
        <is>
          <t>₽</t>
        </is>
      </c>
      <c r="D76" s="57" t="n"/>
      <c r="E76" s="85">
        <f>SUM(L76:W76)</f>
        <v/>
      </c>
      <c r="F76" s="85">
        <f>SUM(X76:AI76)</f>
        <v/>
      </c>
      <c r="G76" s="85">
        <f>SUM(AJ76:AU76)</f>
        <v/>
      </c>
      <c r="H76" s="85">
        <f>SUM(AV76:BG76)</f>
        <v/>
      </c>
      <c r="I76" s="85">
        <f>SUM(BH76:BS76)</f>
        <v/>
      </c>
      <c r="J76" s="86">
        <f>SUM(L76:BS76)</f>
        <v/>
      </c>
      <c r="L76" s="87">
        <f>IF(OR(('03_Сеть'!L24-L22)=0,2&lt;=КаникулыРоялти),0,('03_Сеть'!L24-L22)*IF(РоялтиПоГруппам="Да",MeanMinAge02+L10*SUMIF(ThresholdAge02,"&lt;"&amp;L10,WeightedRevAge02)-SUMIF(ThresholdAge02,"&lt;"&amp;L10,WeightedMinAge02),MAX(CapacityAge02*АбонементНовых*L10,MeanMinAge02)))</f>
        <v/>
      </c>
      <c r="M76" s="87">
        <f>IF(OR(('03_Сеть'!M24-M22)=0,2&lt;=КаникулыРоялти),0,('03_Сеть'!M24-M22)*IF(РоялтиПоГруппам="Да",MeanMinAge02+M10*SUMIF(ThresholdAge02,"&lt;"&amp;M10,WeightedRevAge02)-SUMIF(ThresholdAge02,"&lt;"&amp;M10,WeightedMinAge02),MAX(CapacityAge02*АбонементНовых*M10,MeanMinAge02)))</f>
        <v/>
      </c>
      <c r="N76" s="87">
        <f>IF(OR(('03_Сеть'!N24-N22)=0,2&lt;=КаникулыРоялти),0,('03_Сеть'!N24-N22)*IF(РоялтиПоГруппам="Да",MeanMinAge02+N10*SUMIF(ThresholdAge02,"&lt;"&amp;N10,WeightedRevAge02)-SUMIF(ThresholdAge02,"&lt;"&amp;N10,WeightedMinAge02),MAX(CapacityAge02*АбонементНовых*N10,MeanMinAge02)))</f>
        <v/>
      </c>
      <c r="O76" s="87">
        <f>IF(OR(('03_Сеть'!O24-O22)=0,2&lt;=КаникулыРоялти),0,('03_Сеть'!O24-O22)*IF(РоялтиПоГруппам="Да",MeanMinAge02+O10*SUMIF(ThresholdAge02,"&lt;"&amp;O10,WeightedRevAge02)-SUMIF(ThresholdAge02,"&lt;"&amp;O10,WeightedMinAge02),MAX(CapacityAge02*АбонементНовых*O10,MeanMinAge02)))</f>
        <v/>
      </c>
      <c r="P76" s="87">
        <f>IF(OR(('03_Сеть'!P24-P22)=0,2&lt;=КаникулыРоялти),0,('03_Сеть'!P24-P22)*IF(РоялтиПоГруппам="Да",MeanMinAge02+P10*SUMIF(ThresholdAge02,"&lt;"&amp;P10,WeightedRevAge02)-SUMIF(ThresholdAge02,"&lt;"&amp;P10,WeightedMinAge02),MAX(CapacityAge02*АбонементНовых*P10,MeanMinAge02)))</f>
        <v/>
      </c>
      <c r="Q76" s="87">
        <f>IF(OR(('03_Сеть'!Q24-Q22)=0,2&lt;=КаникулыРоялти),0,('03_Сеть'!Q24-Q22)*IF(РоялтиПоГруппам="Да",MeanMinAge02+Q10*SUMIF(ThresholdAge02,"&lt;"&amp;Q10,WeightedRevAge02)-SUMIF(ThresholdAge02,"&lt;"&amp;Q10,WeightedMinAge02),MAX(CapacityAge02*АбонементНовых*Q10,MeanMinAge02)))</f>
        <v/>
      </c>
      <c r="R76" s="87">
        <f>IF(OR(('03_Сеть'!R24-R22)=0,2&lt;=КаникулыРоялти),0,('03_Сеть'!R24-R22)*IF(РоялтиПоГруппам="Да",MeanMinAge02+R10*SUMIF(ThresholdAge02,"&lt;"&amp;R10,WeightedRevAge02)-SUMIF(ThresholdAge02,"&lt;"&amp;R10,WeightedMinAge02),MAX(CapacityAge02*АбонементНовых*R10,MeanMinAge02)))</f>
        <v/>
      </c>
      <c r="S76" s="87">
        <f>IF(OR(('03_Сеть'!S24-S22)=0,2&lt;=КаникулыРоялти),0,('03_Сеть'!S24-S22)*IF(РоялтиПоГруппам="Да",MeanMinAge02+S10*SUMIF(ThresholdAge02,"&lt;"&amp;S10,WeightedRevAge02)-SUMIF(ThresholdAge02,"&lt;"&amp;S10,WeightedMinAge02),MAX(CapacityAge02*АбонементНовых*S10,MeanMinAge02)))</f>
        <v/>
      </c>
      <c r="T76" s="87">
        <f>IF(OR(('03_Сеть'!T24-T22)=0,2&lt;=КаникулыРоялти),0,('03_Сеть'!T24-T22)*IF(РоялтиПоГруппам="Да",MeanMinAge02+T10*SUMIF(ThresholdAge02,"&lt;"&amp;T10,WeightedRevAge02)-SUMIF(ThresholdAge02,"&lt;"&amp;T10,WeightedMinAge02),MAX(CapacityAge02*АбонементНовых*T10,MeanMinAge02)))</f>
        <v/>
      </c>
      <c r="U76" s="87">
        <f>IF(OR(('03_Сеть'!U24-U22)=0,2&lt;=КаникулыРоялти),0,('03_Сеть'!U24-U22)*IF(РоялтиПоГруппам="Да",MeanMinAge02+U10*SUMIF(ThresholdAge02,"&lt;"&amp;U10,WeightedRevAge02)-SUMIF(ThresholdAge02,"&lt;"&amp;U10,WeightedMinAge02),MAX(CapacityAge02*АбонементНовых*U10,MeanMinAge02)))</f>
        <v/>
      </c>
      <c r="V76" s="87">
        <f>IF(OR(('03_Сеть'!V24-V22)=0,2&lt;=КаникулыРоялти),0,('03_Сеть'!V24-V22)*IF(РоялтиПоГруппам="Да",MeanMinAge02+V10*SUMIF(ThresholdAge02,"&lt;"&amp;V10,WeightedRevAge02)-SUMIF(ThresholdAge02,"&lt;"&amp;V10,WeightedMinAge02),MAX(CapacityAge02*АбонементНовых*V10,MeanMinAge02)))</f>
        <v/>
      </c>
      <c r="W76" s="87">
        <f>IF(OR(('03_Сеть'!W24-W22)=0,2&lt;=КаникулыРоялти),0,('03_Сеть'!W24-W22)*IF(РоялтиПоГруппам="Да",MeanMinAge02+W10*SUMIF(ThresholdAge02,"&lt;"&amp;W10,WeightedRevAge02)-SUMIF(ThresholdAge02,"&lt;"&amp;W10,WeightedMinAge02),MAX(CapacityAge02*АбонементНовых*W10,MeanMinAge02)))</f>
        <v/>
      </c>
      <c r="X76" s="87">
        <f>IF(OR(('03_Сеть'!X24-X22)=0,2&lt;=КаникулыРоялти),0,('03_Сеть'!X24-X22)*IF(РоялтиПоГруппам="Да",MeanMinAge02+X10*SUMIF(ThresholdAge02,"&lt;"&amp;X10,WeightedRevAge02)-SUMIF(ThresholdAge02,"&lt;"&amp;X10,WeightedMinAge02),MAX(CapacityAge02*АбонементНовых*X10,MeanMinAge02)))</f>
        <v/>
      </c>
      <c r="Y76" s="87">
        <f>IF(OR(('03_Сеть'!Y24-Y22)=0,2&lt;=КаникулыРоялти),0,('03_Сеть'!Y24-Y22)*IF(РоялтиПоГруппам="Да",MeanMinAge02+Y10*SUMIF(ThresholdAge02,"&lt;"&amp;Y10,WeightedRevAge02)-SUMIF(ThresholdAge02,"&lt;"&amp;Y10,WeightedMinAge02),MAX(CapacityAge02*АбонементНовых*Y10,MeanMinAge02)))</f>
        <v/>
      </c>
      <c r="Z76" s="87">
        <f>IF(OR(('03_Сеть'!Z24-Z22)=0,2&lt;=КаникулыРоялти),0,('03_Сеть'!Z24-Z22)*IF(РоялтиПоГруппам="Да",MeanMinAge02+Z10*SUMIF(ThresholdAge02,"&lt;"&amp;Z10,WeightedRevAge02)-SUMIF(ThresholdAge02,"&lt;"&amp;Z10,WeightedMinAge02),MAX(CapacityAge02*АбонементНовых*Z10,MeanMinAge02)))</f>
        <v/>
      </c>
      <c r="AA76" s="87">
        <f>IF(OR(('03_Сеть'!AA24-AA22)=0,2&lt;=КаникулыРоялти),0,('03_Сеть'!AA24-AA22)*IF(РоялтиПоГруппам="Да",MeanMinAge02+AA10*SUMIF(ThresholdAge02,"&lt;"&amp;AA10,WeightedRevAge02)-SUMIF(ThresholdAge02,"&lt;"&amp;AA10,WeightedMinAge02),MAX(CapacityAge02*АбонементНовых*AA10,MeanMinAge02)))</f>
        <v/>
      </c>
      <c r="AB76" s="87">
        <f>IF(OR(('03_Сеть'!AB24-AB22)=0,2&lt;=КаникулыРоялти),0,('03_Сеть'!AB24-AB22)*IF(РоялтиПоГруппам="Да",MeanMinAge02+AB10*SUMIF(ThresholdAge02,"&lt;"&amp;AB10,WeightedRevAge02)-SUMIF(ThresholdAge02,"&lt;"&amp;AB10,WeightedMinAge02),MAX(CapacityAge02*АбонементНовых*AB10,MeanMinAge02)))</f>
        <v/>
      </c>
      <c r="AC76" s="87">
        <f>IF(OR(('03_Сеть'!AC24-AC22)=0,2&lt;=КаникулыРоялти),0,('03_Сеть'!AC24-AC22)*IF(РоялтиПоГруппам="Да",MeanMinAge02+AC10*SUMIF(ThresholdAge02,"&lt;"&amp;AC10,WeightedRevAge02)-SUMIF(ThresholdAge02,"&lt;"&amp;AC10,WeightedMinAge02),MAX(CapacityAge02*АбонементНовых*AC10,MeanMinAge02)))</f>
        <v/>
      </c>
      <c r="AD76" s="87">
        <f>IF(OR(('03_Сеть'!AD24-AD22)=0,2&lt;=КаникулыРоялти),0,('03_Сеть'!AD24-AD22)*IF(РоялтиПоГруппам="Да",MeanMinAge02+AD10*SUMIF(ThresholdAge02,"&lt;"&amp;AD10,WeightedRevAge02)-SUMIF(ThresholdAge02,"&lt;"&amp;AD10,WeightedMinAge02),MAX(CapacityAge02*АбонементНовых*AD10,MeanMinAge02)))</f>
        <v/>
      </c>
      <c r="AE76" s="87">
        <f>IF(OR(('03_Сеть'!AE24-AE22)=0,2&lt;=КаникулыРоялти),0,('03_Сеть'!AE24-AE22)*IF(РоялтиПоГруппам="Да",MeanMinAge02+AE10*SUMIF(ThresholdAge02,"&lt;"&amp;AE10,WeightedRevAge02)-SUMIF(ThresholdAge02,"&lt;"&amp;AE10,WeightedMinAge02),MAX(CapacityAge02*АбонементНовых*AE10,MeanMinAge02)))</f>
        <v/>
      </c>
      <c r="AF76" s="87">
        <f>IF(OR(('03_Сеть'!AF24-AF22)=0,2&lt;=КаникулыРоялти),0,('03_Сеть'!AF24-AF22)*IF(РоялтиПоГруппам="Да",MeanMinAge02+AF10*SUMIF(ThresholdAge02,"&lt;"&amp;AF10,WeightedRevAge02)-SUMIF(ThresholdAge02,"&lt;"&amp;AF10,WeightedMinAge02),MAX(CapacityAge02*АбонементНовых*AF10,MeanMinAge02)))</f>
        <v/>
      </c>
      <c r="AG76" s="87">
        <f>IF(OR(('03_Сеть'!AG24-AG22)=0,2&lt;=КаникулыРоялти),0,('03_Сеть'!AG24-AG22)*IF(РоялтиПоГруппам="Да",MeanMinAge02+AG10*SUMIF(ThresholdAge02,"&lt;"&amp;AG10,WeightedRevAge02)-SUMIF(ThresholdAge02,"&lt;"&amp;AG10,WeightedMinAge02),MAX(CapacityAge02*АбонементНовых*AG10,MeanMinAge02)))</f>
        <v/>
      </c>
      <c r="AH76" s="87">
        <f>IF(OR(('03_Сеть'!AH24-AH22)=0,2&lt;=КаникулыРоялти),0,('03_Сеть'!AH24-AH22)*IF(РоялтиПоГруппам="Да",MeanMinAge02+AH10*SUMIF(ThresholdAge02,"&lt;"&amp;AH10,WeightedRevAge02)-SUMIF(ThresholdAge02,"&lt;"&amp;AH10,WeightedMinAge02),MAX(CapacityAge02*АбонементНовых*AH10,MeanMinAge02)))</f>
        <v/>
      </c>
      <c r="AI76" s="87">
        <f>IF(OR(('03_Сеть'!AI24-AI22)=0,2&lt;=КаникулыРоялти),0,('03_Сеть'!AI24-AI22)*IF(РоялтиПоГруппам="Да",MeanMinAge02+AI10*SUMIF(ThresholdAge02,"&lt;"&amp;AI10,WeightedRevAge02)-SUMIF(ThresholdAge02,"&lt;"&amp;AI10,WeightedMinAge02),MAX(CapacityAge02*АбонементНовых*AI10,MeanMinAge02)))</f>
        <v/>
      </c>
      <c r="AJ76" s="87">
        <f>IF(OR(('03_Сеть'!AJ24-AJ22)=0,2&lt;=КаникулыРоялти),0,('03_Сеть'!AJ24-AJ22)*IF(РоялтиПоГруппам="Да",MeanMinAge02+AJ10*SUMIF(ThresholdAge02,"&lt;"&amp;AJ10,WeightedRevAge02)-SUMIF(ThresholdAge02,"&lt;"&amp;AJ10,WeightedMinAge02),MAX(CapacityAge02*АбонементНовых*AJ10,MeanMinAge02)))</f>
        <v/>
      </c>
      <c r="AK76" s="87">
        <f>IF(OR(('03_Сеть'!AK24-AK22)=0,2&lt;=КаникулыРоялти),0,('03_Сеть'!AK24-AK22)*IF(РоялтиПоГруппам="Да",MeanMinAge02+AK10*SUMIF(ThresholdAge02,"&lt;"&amp;AK10,WeightedRevAge02)-SUMIF(ThresholdAge02,"&lt;"&amp;AK10,WeightedMinAge02),MAX(CapacityAge02*АбонементНовых*AK10,MeanMinAge02)))</f>
        <v/>
      </c>
      <c r="AL76" s="87">
        <f>IF(OR(('03_Сеть'!AL24-AL22)=0,2&lt;=КаникулыРоялти),0,('03_Сеть'!AL24-AL22)*IF(РоялтиПоГруппам="Да",MeanMinAge02+AL10*SUMIF(ThresholdAge02,"&lt;"&amp;AL10,WeightedRevAge02)-SUMIF(ThresholdAge02,"&lt;"&amp;AL10,WeightedMinAge02),MAX(CapacityAge02*АбонементНовых*AL10,MeanMinAge02)))</f>
        <v/>
      </c>
      <c r="AM76" s="87">
        <f>IF(OR(('03_Сеть'!AM24-AM22)=0,2&lt;=КаникулыРоялти),0,('03_Сеть'!AM24-AM22)*IF(РоялтиПоГруппам="Да",MeanMinAge02+AM10*SUMIF(ThresholdAge02,"&lt;"&amp;AM10,WeightedRevAge02)-SUMIF(ThresholdAge02,"&lt;"&amp;AM10,WeightedMinAge02),MAX(CapacityAge02*АбонементНовых*AM10,MeanMinAge02)))</f>
        <v/>
      </c>
      <c r="AN76" s="87">
        <f>IF(OR(('03_Сеть'!AN24-AN22)=0,2&lt;=КаникулыРоялти),0,('03_Сеть'!AN24-AN22)*IF(РоялтиПоГруппам="Да",MeanMinAge02+AN10*SUMIF(ThresholdAge02,"&lt;"&amp;AN10,WeightedRevAge02)-SUMIF(ThresholdAge02,"&lt;"&amp;AN10,WeightedMinAge02),MAX(CapacityAge02*АбонементНовых*AN10,MeanMinAge02)))</f>
        <v/>
      </c>
      <c r="AO76" s="87">
        <f>IF(OR(('03_Сеть'!AO24-AO22)=0,2&lt;=КаникулыРоялти),0,('03_Сеть'!AO24-AO22)*IF(РоялтиПоГруппам="Да",MeanMinAge02+AO10*SUMIF(ThresholdAge02,"&lt;"&amp;AO10,WeightedRevAge02)-SUMIF(ThresholdAge02,"&lt;"&amp;AO10,WeightedMinAge02),MAX(CapacityAge02*АбонементНовых*AO10,MeanMinAge02)))</f>
        <v/>
      </c>
      <c r="AP76" s="87">
        <f>IF(OR(('03_Сеть'!AP24-AP22)=0,2&lt;=КаникулыРоялти),0,('03_Сеть'!AP24-AP22)*IF(РоялтиПоГруппам="Да",MeanMinAge02+AP10*SUMIF(ThresholdAge02,"&lt;"&amp;AP10,WeightedRevAge02)-SUMIF(ThresholdAge02,"&lt;"&amp;AP10,WeightedMinAge02),MAX(CapacityAge02*АбонементНовых*AP10,MeanMinAge02)))</f>
        <v/>
      </c>
      <c r="AQ76" s="87">
        <f>IF(OR(('03_Сеть'!AQ24-AQ22)=0,2&lt;=КаникулыРоялти),0,('03_Сеть'!AQ24-AQ22)*IF(РоялтиПоГруппам="Да",MeanMinAge02+AQ10*SUMIF(ThresholdAge02,"&lt;"&amp;AQ10,WeightedRevAge02)-SUMIF(ThresholdAge02,"&lt;"&amp;AQ10,WeightedMinAge02),MAX(CapacityAge02*АбонементНовых*AQ10,MeanMinAge02)))</f>
        <v/>
      </c>
      <c r="AR76" s="87">
        <f>IF(OR(('03_Сеть'!AR24-AR22)=0,2&lt;=КаникулыРоялти),0,('03_Сеть'!AR24-AR22)*IF(РоялтиПоГруппам="Да",MeanMinAge02+AR10*SUMIF(ThresholdAge02,"&lt;"&amp;AR10,WeightedRevAge02)-SUMIF(ThresholdAge02,"&lt;"&amp;AR10,WeightedMinAge02),MAX(CapacityAge02*АбонементНовых*AR10,MeanMinAge02)))</f>
        <v/>
      </c>
      <c r="AS76" s="87">
        <f>IF(OR(('03_Сеть'!AS24-AS22)=0,2&lt;=КаникулыРоялти),0,('03_Сеть'!AS24-AS22)*IF(РоялтиПоГруппам="Да",MeanMinAge02+AS10*SUMIF(ThresholdAge02,"&lt;"&amp;AS10,WeightedRevAge02)-SUMIF(ThresholdAge02,"&lt;"&amp;AS10,WeightedMinAge02),MAX(CapacityAge02*АбонементНовых*AS10,MeanMinAge02)))</f>
        <v/>
      </c>
      <c r="AT76" s="87">
        <f>IF(OR(('03_Сеть'!AT24-AT22)=0,2&lt;=КаникулыРоялти),0,('03_Сеть'!AT24-AT22)*IF(РоялтиПоГруппам="Да",MeanMinAge02+AT10*SUMIF(ThresholdAge02,"&lt;"&amp;AT10,WeightedRevAge02)-SUMIF(ThresholdAge02,"&lt;"&amp;AT10,WeightedMinAge02),MAX(CapacityAge02*АбонементНовых*AT10,MeanMinAge02)))</f>
        <v/>
      </c>
      <c r="AU76" s="87">
        <f>IF(OR(('03_Сеть'!AU24-AU22)=0,2&lt;=КаникулыРоялти),0,('03_Сеть'!AU24-AU22)*IF(РоялтиПоГруппам="Да",MeanMinAge02+AU10*SUMIF(ThresholdAge02,"&lt;"&amp;AU10,WeightedRevAge02)-SUMIF(ThresholdAge02,"&lt;"&amp;AU10,WeightedMinAge02),MAX(CapacityAge02*АбонементНовых*AU10,MeanMinAge02)))</f>
        <v/>
      </c>
      <c r="AV76" s="87">
        <f>IF(OR(('03_Сеть'!AV24-AV22)=0,2&lt;=КаникулыРоялти),0,('03_Сеть'!AV24-AV22)*IF(РоялтиПоГруппам="Да",MeanMinAge02+AV10*SUMIF(ThresholdAge02,"&lt;"&amp;AV10,WeightedRevAge02)-SUMIF(ThresholdAge02,"&lt;"&amp;AV10,WeightedMinAge02),MAX(CapacityAge02*АбонементНовых*AV10,MeanMinAge02)))</f>
        <v/>
      </c>
      <c r="AW76" s="87">
        <f>IF(OR(('03_Сеть'!AW24-AW22)=0,2&lt;=КаникулыРоялти),0,('03_Сеть'!AW24-AW22)*IF(РоялтиПоГруппам="Да",MeanMinAge02+AW10*SUMIF(ThresholdAge02,"&lt;"&amp;AW10,WeightedRevAge02)-SUMIF(ThresholdAge02,"&lt;"&amp;AW10,WeightedMinAge02),MAX(CapacityAge02*АбонементНовых*AW10,MeanMinAge02)))</f>
        <v/>
      </c>
      <c r="AX76" s="87">
        <f>IF(OR(('03_Сеть'!AX24-AX22)=0,2&lt;=КаникулыРоялти),0,('03_Сеть'!AX24-AX22)*IF(РоялтиПоГруппам="Да",MeanMinAge02+AX10*SUMIF(ThresholdAge02,"&lt;"&amp;AX10,WeightedRevAge02)-SUMIF(ThresholdAge02,"&lt;"&amp;AX10,WeightedMinAge02),MAX(CapacityAge02*АбонементНовых*AX10,MeanMinAge02)))</f>
        <v/>
      </c>
      <c r="AY76" s="87">
        <f>IF(OR(('03_Сеть'!AY24-AY22)=0,2&lt;=КаникулыРоялти),0,('03_Сеть'!AY24-AY22)*IF(РоялтиПоГруппам="Да",MeanMinAge02+AY10*SUMIF(ThresholdAge02,"&lt;"&amp;AY10,WeightedRevAge02)-SUMIF(ThresholdAge02,"&lt;"&amp;AY10,WeightedMinAge02),MAX(CapacityAge02*АбонементНовых*AY10,MeanMinAge02)))</f>
        <v/>
      </c>
      <c r="AZ76" s="87">
        <f>IF(OR(('03_Сеть'!AZ24-AZ22)=0,2&lt;=КаникулыРоялти),0,('03_Сеть'!AZ24-AZ22)*IF(РоялтиПоГруппам="Да",MeanMinAge02+AZ10*SUMIF(ThresholdAge02,"&lt;"&amp;AZ10,WeightedRevAge02)-SUMIF(ThresholdAge02,"&lt;"&amp;AZ10,WeightedMinAge02),MAX(CapacityAge02*АбонементНовых*AZ10,MeanMinAge02)))</f>
        <v/>
      </c>
      <c r="BA76" s="87">
        <f>IF(OR(('03_Сеть'!BA24-BA22)=0,2&lt;=КаникулыРоялти),0,('03_Сеть'!BA24-BA22)*IF(РоялтиПоГруппам="Да",MeanMinAge02+BA10*SUMIF(ThresholdAge02,"&lt;"&amp;BA10,WeightedRevAge02)-SUMIF(ThresholdAge02,"&lt;"&amp;BA10,WeightedMinAge02),MAX(CapacityAge02*АбонементНовых*BA10,MeanMinAge02)))</f>
        <v/>
      </c>
      <c r="BB76" s="87">
        <f>IF(OR(('03_Сеть'!BB24-BB22)=0,2&lt;=КаникулыРоялти),0,('03_Сеть'!BB24-BB22)*IF(РоялтиПоГруппам="Да",MeanMinAge02+BB10*SUMIF(ThresholdAge02,"&lt;"&amp;BB10,WeightedRevAge02)-SUMIF(ThresholdAge02,"&lt;"&amp;BB10,WeightedMinAge02),MAX(CapacityAge02*АбонементНовых*BB10,MeanMinAge02)))</f>
        <v/>
      </c>
      <c r="BC76" s="87">
        <f>IF(OR(('03_Сеть'!BC24-BC22)=0,2&lt;=КаникулыРоялти),0,('03_Сеть'!BC24-BC22)*IF(РоялтиПоГруппам="Да",MeanMinAge02+BC10*SUMIF(ThresholdAge02,"&lt;"&amp;BC10,WeightedRevAge02)-SUMIF(ThresholdAge02,"&lt;"&amp;BC10,WeightedMinAge02),MAX(CapacityAge02*АбонементНовых*BC10,MeanMinAge02)))</f>
        <v/>
      </c>
      <c r="BD76" s="87">
        <f>IF(OR(('03_Сеть'!BD24-BD22)=0,2&lt;=КаникулыРоялти),0,('03_Сеть'!BD24-BD22)*IF(РоялтиПоГруппам="Да",MeanMinAge02+BD10*SUMIF(ThresholdAge02,"&lt;"&amp;BD10,WeightedRevAge02)-SUMIF(ThresholdAge02,"&lt;"&amp;BD10,WeightedMinAge02),MAX(CapacityAge02*АбонементНовых*BD10,MeanMinAge02)))</f>
        <v/>
      </c>
      <c r="BE76" s="87">
        <f>IF(OR(('03_Сеть'!BE24-BE22)=0,2&lt;=КаникулыРоялти),0,('03_Сеть'!BE24-BE22)*IF(РоялтиПоГруппам="Да",MeanMinAge02+BE10*SUMIF(ThresholdAge02,"&lt;"&amp;BE10,WeightedRevAge02)-SUMIF(ThresholdAge02,"&lt;"&amp;BE10,WeightedMinAge02),MAX(CapacityAge02*АбонементНовых*BE10,MeanMinAge02)))</f>
        <v/>
      </c>
      <c r="BF76" s="87">
        <f>IF(OR(('03_Сеть'!BF24-BF22)=0,2&lt;=КаникулыРоялти),0,('03_Сеть'!BF24-BF22)*IF(РоялтиПоГруппам="Да",MeanMinAge02+BF10*SUMIF(ThresholdAge02,"&lt;"&amp;BF10,WeightedRevAge02)-SUMIF(ThresholdAge02,"&lt;"&amp;BF10,WeightedMinAge02),MAX(CapacityAge02*АбонементНовых*BF10,MeanMinAge02)))</f>
        <v/>
      </c>
      <c r="BG76" s="87">
        <f>IF(OR(('03_Сеть'!BG24-BG22)=0,2&lt;=КаникулыРоялти),0,('03_Сеть'!BG24-BG22)*IF(РоялтиПоГруппам="Да",MeanMinAge02+BG10*SUMIF(ThresholdAge02,"&lt;"&amp;BG10,WeightedRevAge02)-SUMIF(ThresholdAge02,"&lt;"&amp;BG10,WeightedMinAge02),MAX(CapacityAge02*АбонементНовых*BG10,MeanMinAge02)))</f>
        <v/>
      </c>
      <c r="BH76" s="87">
        <f>IF(OR(('03_Сеть'!BH24-BH22)=0,2&lt;=КаникулыРоялти),0,('03_Сеть'!BH24-BH22)*IF(РоялтиПоГруппам="Да",MeanMinAge02+BH10*SUMIF(ThresholdAge02,"&lt;"&amp;BH10,WeightedRevAge02)-SUMIF(ThresholdAge02,"&lt;"&amp;BH10,WeightedMinAge02),MAX(CapacityAge02*АбонементНовых*BH10,MeanMinAge02)))</f>
        <v/>
      </c>
      <c r="BI76" s="87">
        <f>IF(OR(('03_Сеть'!BI24-BI22)=0,2&lt;=КаникулыРоялти),0,('03_Сеть'!BI24-BI22)*IF(РоялтиПоГруппам="Да",MeanMinAge02+BI10*SUMIF(ThresholdAge02,"&lt;"&amp;BI10,WeightedRevAge02)-SUMIF(ThresholdAge02,"&lt;"&amp;BI10,WeightedMinAge02),MAX(CapacityAge02*АбонементНовых*BI10,MeanMinAge02)))</f>
        <v/>
      </c>
      <c r="BJ76" s="87">
        <f>IF(OR(('03_Сеть'!BJ24-BJ22)=0,2&lt;=КаникулыРоялти),0,('03_Сеть'!BJ24-BJ22)*IF(РоялтиПоГруппам="Да",MeanMinAge02+BJ10*SUMIF(ThresholdAge02,"&lt;"&amp;BJ10,WeightedRevAge02)-SUMIF(ThresholdAge02,"&lt;"&amp;BJ10,WeightedMinAge02),MAX(CapacityAge02*АбонементНовых*BJ10,MeanMinAge02)))</f>
        <v/>
      </c>
      <c r="BK76" s="87">
        <f>IF(OR(('03_Сеть'!BK24-BK22)=0,2&lt;=КаникулыРоялти),0,('03_Сеть'!BK24-BK22)*IF(РоялтиПоГруппам="Да",MeanMinAge02+BK10*SUMIF(ThresholdAge02,"&lt;"&amp;BK10,WeightedRevAge02)-SUMIF(ThresholdAge02,"&lt;"&amp;BK10,WeightedMinAge02),MAX(CapacityAge02*АбонементНовых*BK10,MeanMinAge02)))</f>
        <v/>
      </c>
      <c r="BL76" s="87">
        <f>IF(OR(('03_Сеть'!BL24-BL22)=0,2&lt;=КаникулыРоялти),0,('03_Сеть'!BL24-BL22)*IF(РоялтиПоГруппам="Да",MeanMinAge02+BL10*SUMIF(ThresholdAge02,"&lt;"&amp;BL10,WeightedRevAge02)-SUMIF(ThresholdAge02,"&lt;"&amp;BL10,WeightedMinAge02),MAX(CapacityAge02*АбонементНовых*BL10,MeanMinAge02)))</f>
        <v/>
      </c>
      <c r="BM76" s="87">
        <f>IF(OR(('03_Сеть'!BM24-BM22)=0,2&lt;=КаникулыРоялти),0,('03_Сеть'!BM24-BM22)*IF(РоялтиПоГруппам="Да",MeanMinAge02+BM10*SUMIF(ThresholdAge02,"&lt;"&amp;BM10,WeightedRevAge02)-SUMIF(ThresholdAge02,"&lt;"&amp;BM10,WeightedMinAge02),MAX(CapacityAge02*АбонементНовых*BM10,MeanMinAge02)))</f>
        <v/>
      </c>
      <c r="BN76" s="87">
        <f>IF(OR(('03_Сеть'!BN24-BN22)=0,2&lt;=КаникулыРоялти),0,('03_Сеть'!BN24-BN22)*IF(РоялтиПоГруппам="Да",MeanMinAge02+BN10*SUMIF(ThresholdAge02,"&lt;"&amp;BN10,WeightedRevAge02)-SUMIF(ThresholdAge02,"&lt;"&amp;BN10,WeightedMinAge02),MAX(CapacityAge02*АбонементНовых*BN10,MeanMinAge02)))</f>
        <v/>
      </c>
      <c r="BO76" s="87">
        <f>IF(OR(('03_Сеть'!BO24-BO22)=0,2&lt;=КаникулыРоялти),0,('03_Сеть'!BO24-BO22)*IF(РоялтиПоГруппам="Да",MeanMinAge02+BO10*SUMIF(ThresholdAge02,"&lt;"&amp;BO10,WeightedRevAge02)-SUMIF(ThresholdAge02,"&lt;"&amp;BO10,WeightedMinAge02),MAX(CapacityAge02*АбонементНовых*BO10,MeanMinAge02)))</f>
        <v/>
      </c>
      <c r="BP76" s="87">
        <f>IF(OR(('03_Сеть'!BP24-BP22)=0,2&lt;=КаникулыРоялти),0,('03_Сеть'!BP24-BP22)*IF(РоялтиПоГруппам="Да",MeanMinAge02+BP10*SUMIF(ThresholdAge02,"&lt;"&amp;BP10,WeightedRevAge02)-SUMIF(ThresholdAge02,"&lt;"&amp;BP10,WeightedMinAge02),MAX(CapacityAge02*АбонементНовых*BP10,MeanMinAge02)))</f>
        <v/>
      </c>
      <c r="BQ76" s="87">
        <f>IF(OR(('03_Сеть'!BQ24-BQ22)=0,2&lt;=КаникулыРоялти),0,('03_Сеть'!BQ24-BQ22)*IF(РоялтиПоГруппам="Да",MeanMinAge02+BQ10*SUMIF(ThresholdAge02,"&lt;"&amp;BQ10,WeightedRevAge02)-SUMIF(ThresholdAge02,"&lt;"&amp;BQ10,WeightedMinAge02),MAX(CapacityAge02*АбонементНовых*BQ10,MeanMinAge02)))</f>
        <v/>
      </c>
      <c r="BR76" s="87">
        <f>IF(OR(('03_Сеть'!BR24-BR22)=0,2&lt;=КаникулыРоялти),0,('03_Сеть'!BR24-BR22)*IF(РоялтиПоГруппам="Да",MeanMinAge02+BR10*SUMIF(ThresholdAge02,"&lt;"&amp;BR10,WeightedRevAge02)-SUMIF(ThresholdAge02,"&lt;"&amp;BR10,WeightedMinAge02),MAX(CapacityAge02*АбонементНовых*BR10,MeanMinAge02)))</f>
        <v/>
      </c>
      <c r="BS76" s="87">
        <f>IF(OR(('03_Сеть'!BS24-BS22)=0,2&lt;=КаникулыРоялти),0,('03_Сеть'!BS24-BS22)*IF(РоялтиПоГруппам="Да",MeanMinAge02+BS10*SUMIF(ThresholdAge02,"&lt;"&amp;BS10,WeightedRevAge02)-SUMIF(ThresholdAge02,"&lt;"&amp;BS10,WeightedMinAge02),MAX(CapacityAge02*АбонементНовых*BS10,MeanMinAge02)))</f>
        <v/>
      </c>
      <c r="BT76" s="87">
        <f>IF(OR(('03_Сеть'!BT24-BT22)=0,2&lt;=КаникулыРоялти),0,('03_Сеть'!BT24-BT22)*IF(РоялтиПоГруппам="Да",MeanMinAge02+BT10*SUMIF(ThresholdAge02,"&lt;"&amp;BT10,WeightedRevAge02)-SUMIF(ThresholdAge02,"&lt;"&amp;BT10,WeightedMinAge02),MAX(CapacityAge02*АбонементНовых*BT10,MeanMinAge02)))</f>
        <v/>
      </c>
      <c r="BU76" s="87">
        <f>IF(OR(('03_Сеть'!BU24-BU22)=0,2&lt;=КаникулыРоялти),0,('03_Сеть'!BU24-BU22)*IF(РоялтиПоГруппам="Да",MeanMinAge02+BU10*SUMIF(ThresholdAge02,"&lt;"&amp;BU10,WeightedRevAge02)-SUMIF(ThresholdAge02,"&lt;"&amp;BU10,WeightedMinAge02),MAX(CapacityAge02*АбонементНовых*BU10,MeanMinAge02)))</f>
        <v/>
      </c>
      <c r="BV76" s="87">
        <f>IF(OR(('03_Сеть'!BV24-BV22)=0,2&lt;=КаникулыРоялти),0,('03_Сеть'!BV24-BV22)*IF(РоялтиПоГруппам="Да",MeanMinAge02+BV10*SUMIF(ThresholdAge02,"&lt;"&amp;BV10,WeightedRevAge02)-SUMIF(ThresholdAge02,"&lt;"&amp;BV10,WeightedMinAge02),MAX(CapacityAge02*АбонементНовых*BV10,MeanMinAge02)))</f>
        <v/>
      </c>
      <c r="BW76" s="87">
        <f>IF(OR(('03_Сеть'!BW24-BW22)=0,2&lt;=КаникулыРоялти),0,('03_Сеть'!BW24-BW22)*IF(РоялтиПоГруппам="Да",MeanMinAge02+BW10*SUMIF(ThresholdAge02,"&lt;"&amp;BW10,WeightedRevAge02)-SUMIF(ThresholdAge02,"&lt;"&amp;BW10,WeightedMinAge02),MAX(CapacityAge02*АбонементНовых*BW10,MeanMinAge02)))</f>
        <v/>
      </c>
      <c r="BX76" s="87">
        <f>IF(OR(('03_Сеть'!BX24-BX22)=0,2&lt;=КаникулыРоялти),0,('03_Сеть'!BX24-BX22)*IF(РоялтиПоГруппам="Да",MeanMinAge02+BX10*SUMIF(ThresholdAge02,"&lt;"&amp;BX10,WeightedRevAge02)-SUMIF(ThresholdAge02,"&lt;"&amp;BX10,WeightedMinAge02),MAX(CapacityAge02*АбонементНовых*BX10,MeanMinAge02)))</f>
        <v/>
      </c>
      <c r="BY76" s="87">
        <f>IF(OR(('03_Сеть'!BY24-BY22)=0,2&lt;=КаникулыРоялти),0,('03_Сеть'!BY24-BY22)*IF(РоялтиПоГруппам="Да",MeanMinAge02+BY10*SUMIF(ThresholdAge02,"&lt;"&amp;BY10,WeightedRevAge02)-SUMIF(ThresholdAge02,"&lt;"&amp;BY10,WeightedMinAge02),MAX(CapacityAge02*АбонементНовых*BY10,MeanMinAge02)))</f>
        <v/>
      </c>
    </row>
    <row r="77" ht="15.75" customHeight="1" s="194">
      <c r="B77" s="56" t="inlineStr">
        <is>
          <t>3 мес.</t>
        </is>
      </c>
      <c r="C77" s="56" t="inlineStr">
        <is>
          <t>₽</t>
        </is>
      </c>
      <c r="D77" s="57" t="n"/>
      <c r="E77" s="85">
        <f>SUM(L77:W77)</f>
        <v/>
      </c>
      <c r="F77" s="85">
        <f>SUM(X77:AI77)</f>
        <v/>
      </c>
      <c r="G77" s="85">
        <f>SUM(AJ77:AU77)</f>
        <v/>
      </c>
      <c r="H77" s="85">
        <f>SUM(AV77:BG77)</f>
        <v/>
      </c>
      <c r="I77" s="85">
        <f>SUM(BH77:BS77)</f>
        <v/>
      </c>
      <c r="J77" s="86">
        <f>SUM(L77:BS77)</f>
        <v/>
      </c>
      <c r="L77" s="87">
        <f>IF(OR(('03_Сеть'!L25-L23)=0,3&lt;=КаникулыРоялти),0,('03_Сеть'!L25-L23)*IF(РоялтиПоГруппам="Да",MeanMinAge03+L10*SUMIF(ThresholdAge03,"&lt;"&amp;L10,WeightedRevAge03)-SUMIF(ThresholdAge03,"&lt;"&amp;L10,WeightedMinAge03),MAX(CapacityAge03*АбонементНовых*L10,MeanMinAge03)))</f>
        <v/>
      </c>
      <c r="M77" s="87">
        <f>IF(OR(('03_Сеть'!M25-M23)=0,3&lt;=КаникулыРоялти),0,('03_Сеть'!M25-M23)*IF(РоялтиПоГруппам="Да",MeanMinAge03+M10*SUMIF(ThresholdAge03,"&lt;"&amp;M10,WeightedRevAge03)-SUMIF(ThresholdAge03,"&lt;"&amp;M10,WeightedMinAge03),MAX(CapacityAge03*АбонементНовых*M10,MeanMinAge03)))</f>
        <v/>
      </c>
      <c r="N77" s="87">
        <f>IF(OR(('03_Сеть'!N25-N23)=0,3&lt;=КаникулыРоялти),0,('03_Сеть'!N25-N23)*IF(РоялтиПоГруппам="Да",MeanMinAge03+N10*SUMIF(ThresholdAge03,"&lt;"&amp;N10,WeightedRevAge03)-SUMIF(ThresholdAge03,"&lt;"&amp;N10,WeightedMinAge03),MAX(CapacityAge03*АбонементНовых*N10,MeanMinAge03)))</f>
        <v/>
      </c>
      <c r="O77" s="87">
        <f>IF(OR(('03_Сеть'!O25-O23)=0,3&lt;=КаникулыРоялти),0,('03_Сеть'!O25-O23)*IF(РоялтиПоГруппам="Да",MeanMinAge03+O10*SUMIF(ThresholdAge03,"&lt;"&amp;O10,WeightedRevAge03)-SUMIF(ThresholdAge03,"&lt;"&amp;O10,WeightedMinAge03),MAX(CapacityAge03*АбонементНовых*O10,MeanMinAge03)))</f>
        <v/>
      </c>
      <c r="P77" s="87">
        <f>IF(OR(('03_Сеть'!P25-P23)=0,3&lt;=КаникулыРоялти),0,('03_Сеть'!P25-P23)*IF(РоялтиПоГруппам="Да",MeanMinAge03+P10*SUMIF(ThresholdAge03,"&lt;"&amp;P10,WeightedRevAge03)-SUMIF(ThresholdAge03,"&lt;"&amp;P10,WeightedMinAge03),MAX(CapacityAge03*АбонементНовых*P10,MeanMinAge03)))</f>
        <v/>
      </c>
      <c r="Q77" s="87">
        <f>IF(OR(('03_Сеть'!Q25-Q23)=0,3&lt;=КаникулыРоялти),0,('03_Сеть'!Q25-Q23)*IF(РоялтиПоГруппам="Да",MeanMinAge03+Q10*SUMIF(ThresholdAge03,"&lt;"&amp;Q10,WeightedRevAge03)-SUMIF(ThresholdAge03,"&lt;"&amp;Q10,WeightedMinAge03),MAX(CapacityAge03*АбонементНовых*Q10,MeanMinAge03)))</f>
        <v/>
      </c>
      <c r="R77" s="87">
        <f>IF(OR(('03_Сеть'!R25-R23)=0,3&lt;=КаникулыРоялти),0,('03_Сеть'!R25-R23)*IF(РоялтиПоГруппам="Да",MeanMinAge03+R10*SUMIF(ThresholdAge03,"&lt;"&amp;R10,WeightedRevAge03)-SUMIF(ThresholdAge03,"&lt;"&amp;R10,WeightedMinAge03),MAX(CapacityAge03*АбонементНовых*R10,MeanMinAge03)))</f>
        <v/>
      </c>
      <c r="S77" s="87">
        <f>IF(OR(('03_Сеть'!S25-S23)=0,3&lt;=КаникулыРоялти),0,('03_Сеть'!S25-S23)*IF(РоялтиПоГруппам="Да",MeanMinAge03+S10*SUMIF(ThresholdAge03,"&lt;"&amp;S10,WeightedRevAge03)-SUMIF(ThresholdAge03,"&lt;"&amp;S10,WeightedMinAge03),MAX(CapacityAge03*АбонементНовых*S10,MeanMinAge03)))</f>
        <v/>
      </c>
      <c r="T77" s="87">
        <f>IF(OR(('03_Сеть'!T25-T23)=0,3&lt;=КаникулыРоялти),0,('03_Сеть'!T25-T23)*IF(РоялтиПоГруппам="Да",MeanMinAge03+T10*SUMIF(ThresholdAge03,"&lt;"&amp;T10,WeightedRevAge03)-SUMIF(ThresholdAge03,"&lt;"&amp;T10,WeightedMinAge03),MAX(CapacityAge03*АбонементНовых*T10,MeanMinAge03)))</f>
        <v/>
      </c>
      <c r="U77" s="87">
        <f>IF(OR(('03_Сеть'!U25-U23)=0,3&lt;=КаникулыРоялти),0,('03_Сеть'!U25-U23)*IF(РоялтиПоГруппам="Да",MeanMinAge03+U10*SUMIF(ThresholdAge03,"&lt;"&amp;U10,WeightedRevAge03)-SUMIF(ThresholdAge03,"&lt;"&amp;U10,WeightedMinAge03),MAX(CapacityAge03*АбонементНовых*U10,MeanMinAge03)))</f>
        <v/>
      </c>
      <c r="V77" s="87">
        <f>IF(OR(('03_Сеть'!V25-V23)=0,3&lt;=КаникулыРоялти),0,('03_Сеть'!V25-V23)*IF(РоялтиПоГруппам="Да",MeanMinAge03+V10*SUMIF(ThresholdAge03,"&lt;"&amp;V10,WeightedRevAge03)-SUMIF(ThresholdAge03,"&lt;"&amp;V10,WeightedMinAge03),MAX(CapacityAge03*АбонементНовых*V10,MeanMinAge03)))</f>
        <v/>
      </c>
      <c r="W77" s="87">
        <f>IF(OR(('03_Сеть'!W25-W23)=0,3&lt;=КаникулыРоялти),0,('03_Сеть'!W25-W23)*IF(РоялтиПоГруппам="Да",MeanMinAge03+W10*SUMIF(ThresholdAge03,"&lt;"&amp;W10,WeightedRevAge03)-SUMIF(ThresholdAge03,"&lt;"&amp;W10,WeightedMinAge03),MAX(CapacityAge03*АбонементНовых*W10,MeanMinAge03)))</f>
        <v/>
      </c>
      <c r="X77" s="87">
        <f>IF(OR(('03_Сеть'!X25-X23)=0,3&lt;=КаникулыРоялти),0,('03_Сеть'!X25-X23)*IF(РоялтиПоГруппам="Да",MeanMinAge03+X10*SUMIF(ThresholdAge03,"&lt;"&amp;X10,WeightedRevAge03)-SUMIF(ThresholdAge03,"&lt;"&amp;X10,WeightedMinAge03),MAX(CapacityAge03*АбонементНовых*X10,MeanMinAge03)))</f>
        <v/>
      </c>
      <c r="Y77" s="87">
        <f>IF(OR(('03_Сеть'!Y25-Y23)=0,3&lt;=КаникулыРоялти),0,('03_Сеть'!Y25-Y23)*IF(РоялтиПоГруппам="Да",MeanMinAge03+Y10*SUMIF(ThresholdAge03,"&lt;"&amp;Y10,WeightedRevAge03)-SUMIF(ThresholdAge03,"&lt;"&amp;Y10,WeightedMinAge03),MAX(CapacityAge03*АбонементНовых*Y10,MeanMinAge03)))</f>
        <v/>
      </c>
      <c r="Z77" s="87">
        <f>IF(OR(('03_Сеть'!Z25-Z23)=0,3&lt;=КаникулыРоялти),0,('03_Сеть'!Z25-Z23)*IF(РоялтиПоГруппам="Да",MeanMinAge03+Z10*SUMIF(ThresholdAge03,"&lt;"&amp;Z10,WeightedRevAge03)-SUMIF(ThresholdAge03,"&lt;"&amp;Z10,WeightedMinAge03),MAX(CapacityAge03*АбонементНовых*Z10,MeanMinAge03)))</f>
        <v/>
      </c>
      <c r="AA77" s="87">
        <f>IF(OR(('03_Сеть'!AA25-AA23)=0,3&lt;=КаникулыРоялти),0,('03_Сеть'!AA25-AA23)*IF(РоялтиПоГруппам="Да",MeanMinAge03+AA10*SUMIF(ThresholdAge03,"&lt;"&amp;AA10,WeightedRevAge03)-SUMIF(ThresholdAge03,"&lt;"&amp;AA10,WeightedMinAge03),MAX(CapacityAge03*АбонементНовых*AA10,MeanMinAge03)))</f>
        <v/>
      </c>
      <c r="AB77" s="87">
        <f>IF(OR(('03_Сеть'!AB25-AB23)=0,3&lt;=КаникулыРоялти),0,('03_Сеть'!AB25-AB23)*IF(РоялтиПоГруппам="Да",MeanMinAge03+AB10*SUMIF(ThresholdAge03,"&lt;"&amp;AB10,WeightedRevAge03)-SUMIF(ThresholdAge03,"&lt;"&amp;AB10,WeightedMinAge03),MAX(CapacityAge03*АбонементНовых*AB10,MeanMinAge03)))</f>
        <v/>
      </c>
      <c r="AC77" s="87">
        <f>IF(OR(('03_Сеть'!AC25-AC23)=0,3&lt;=КаникулыРоялти),0,('03_Сеть'!AC25-AC23)*IF(РоялтиПоГруппам="Да",MeanMinAge03+AC10*SUMIF(ThresholdAge03,"&lt;"&amp;AC10,WeightedRevAge03)-SUMIF(ThresholdAge03,"&lt;"&amp;AC10,WeightedMinAge03),MAX(CapacityAge03*АбонементНовых*AC10,MeanMinAge03)))</f>
        <v/>
      </c>
      <c r="AD77" s="87">
        <f>IF(OR(('03_Сеть'!AD25-AD23)=0,3&lt;=КаникулыРоялти),0,('03_Сеть'!AD25-AD23)*IF(РоялтиПоГруппам="Да",MeanMinAge03+AD10*SUMIF(ThresholdAge03,"&lt;"&amp;AD10,WeightedRevAge03)-SUMIF(ThresholdAge03,"&lt;"&amp;AD10,WeightedMinAge03),MAX(CapacityAge03*АбонементНовых*AD10,MeanMinAge03)))</f>
        <v/>
      </c>
      <c r="AE77" s="87">
        <f>IF(OR(('03_Сеть'!AE25-AE23)=0,3&lt;=КаникулыРоялти),0,('03_Сеть'!AE25-AE23)*IF(РоялтиПоГруппам="Да",MeanMinAge03+AE10*SUMIF(ThresholdAge03,"&lt;"&amp;AE10,WeightedRevAge03)-SUMIF(ThresholdAge03,"&lt;"&amp;AE10,WeightedMinAge03),MAX(CapacityAge03*АбонементНовых*AE10,MeanMinAge03)))</f>
        <v/>
      </c>
      <c r="AF77" s="87">
        <f>IF(OR(('03_Сеть'!AF25-AF23)=0,3&lt;=КаникулыРоялти),0,('03_Сеть'!AF25-AF23)*IF(РоялтиПоГруппам="Да",MeanMinAge03+AF10*SUMIF(ThresholdAge03,"&lt;"&amp;AF10,WeightedRevAge03)-SUMIF(ThresholdAge03,"&lt;"&amp;AF10,WeightedMinAge03),MAX(CapacityAge03*АбонементНовых*AF10,MeanMinAge03)))</f>
        <v/>
      </c>
      <c r="AG77" s="87">
        <f>IF(OR(('03_Сеть'!AG25-AG23)=0,3&lt;=КаникулыРоялти),0,('03_Сеть'!AG25-AG23)*IF(РоялтиПоГруппам="Да",MeanMinAge03+AG10*SUMIF(ThresholdAge03,"&lt;"&amp;AG10,WeightedRevAge03)-SUMIF(ThresholdAge03,"&lt;"&amp;AG10,WeightedMinAge03),MAX(CapacityAge03*АбонементНовых*AG10,MeanMinAge03)))</f>
        <v/>
      </c>
      <c r="AH77" s="87">
        <f>IF(OR(('03_Сеть'!AH25-AH23)=0,3&lt;=КаникулыРоялти),0,('03_Сеть'!AH25-AH23)*IF(РоялтиПоГруппам="Да",MeanMinAge03+AH10*SUMIF(ThresholdAge03,"&lt;"&amp;AH10,WeightedRevAge03)-SUMIF(ThresholdAge03,"&lt;"&amp;AH10,WeightedMinAge03),MAX(CapacityAge03*АбонементНовых*AH10,MeanMinAge03)))</f>
        <v/>
      </c>
      <c r="AI77" s="87">
        <f>IF(OR(('03_Сеть'!AI25-AI23)=0,3&lt;=КаникулыРоялти),0,('03_Сеть'!AI25-AI23)*IF(РоялтиПоГруппам="Да",MeanMinAge03+AI10*SUMIF(ThresholdAge03,"&lt;"&amp;AI10,WeightedRevAge03)-SUMIF(ThresholdAge03,"&lt;"&amp;AI10,WeightedMinAge03),MAX(CapacityAge03*АбонементНовых*AI10,MeanMinAge03)))</f>
        <v/>
      </c>
      <c r="AJ77" s="87">
        <f>IF(OR(('03_Сеть'!AJ25-AJ23)=0,3&lt;=КаникулыРоялти),0,('03_Сеть'!AJ25-AJ23)*IF(РоялтиПоГруппам="Да",MeanMinAge03+AJ10*SUMIF(ThresholdAge03,"&lt;"&amp;AJ10,WeightedRevAge03)-SUMIF(ThresholdAge03,"&lt;"&amp;AJ10,WeightedMinAge03),MAX(CapacityAge03*АбонементНовых*AJ10,MeanMinAge03)))</f>
        <v/>
      </c>
      <c r="AK77" s="87">
        <f>IF(OR(('03_Сеть'!AK25-AK23)=0,3&lt;=КаникулыРоялти),0,('03_Сеть'!AK25-AK23)*IF(РоялтиПоГруппам="Да",MeanMinAge03+AK10*SUMIF(ThresholdAge03,"&lt;"&amp;AK10,WeightedRevAge03)-SUMIF(ThresholdAge03,"&lt;"&amp;AK10,WeightedMinAge03),MAX(CapacityAge03*АбонементНовых*AK10,MeanMinAge03)))</f>
        <v/>
      </c>
      <c r="AL77" s="87">
        <f>IF(OR(('03_Сеть'!AL25-AL23)=0,3&lt;=КаникулыРоялти),0,('03_Сеть'!AL25-AL23)*IF(РоялтиПоГруппам="Да",MeanMinAge03+AL10*SUMIF(ThresholdAge03,"&lt;"&amp;AL10,WeightedRevAge03)-SUMIF(ThresholdAge03,"&lt;"&amp;AL10,WeightedMinAge03),MAX(CapacityAge03*АбонементНовых*AL10,MeanMinAge03)))</f>
        <v/>
      </c>
      <c r="AM77" s="87">
        <f>IF(OR(('03_Сеть'!AM25-AM23)=0,3&lt;=КаникулыРоялти),0,('03_Сеть'!AM25-AM23)*IF(РоялтиПоГруппам="Да",MeanMinAge03+AM10*SUMIF(ThresholdAge03,"&lt;"&amp;AM10,WeightedRevAge03)-SUMIF(ThresholdAge03,"&lt;"&amp;AM10,WeightedMinAge03),MAX(CapacityAge03*АбонементНовых*AM10,MeanMinAge03)))</f>
        <v/>
      </c>
      <c r="AN77" s="87">
        <f>IF(OR(('03_Сеть'!AN25-AN23)=0,3&lt;=КаникулыРоялти),0,('03_Сеть'!AN25-AN23)*IF(РоялтиПоГруппам="Да",MeanMinAge03+AN10*SUMIF(ThresholdAge03,"&lt;"&amp;AN10,WeightedRevAge03)-SUMIF(ThresholdAge03,"&lt;"&amp;AN10,WeightedMinAge03),MAX(CapacityAge03*АбонементНовых*AN10,MeanMinAge03)))</f>
        <v/>
      </c>
      <c r="AO77" s="87">
        <f>IF(OR(('03_Сеть'!AO25-AO23)=0,3&lt;=КаникулыРоялти),0,('03_Сеть'!AO25-AO23)*IF(РоялтиПоГруппам="Да",MeanMinAge03+AO10*SUMIF(ThresholdAge03,"&lt;"&amp;AO10,WeightedRevAge03)-SUMIF(ThresholdAge03,"&lt;"&amp;AO10,WeightedMinAge03),MAX(CapacityAge03*АбонементНовых*AO10,MeanMinAge03)))</f>
        <v/>
      </c>
      <c r="AP77" s="87">
        <f>IF(OR(('03_Сеть'!AP25-AP23)=0,3&lt;=КаникулыРоялти),0,('03_Сеть'!AP25-AP23)*IF(РоялтиПоГруппам="Да",MeanMinAge03+AP10*SUMIF(ThresholdAge03,"&lt;"&amp;AP10,WeightedRevAge03)-SUMIF(ThresholdAge03,"&lt;"&amp;AP10,WeightedMinAge03),MAX(CapacityAge03*АбонементНовых*AP10,MeanMinAge03)))</f>
        <v/>
      </c>
      <c r="AQ77" s="87">
        <f>IF(OR(('03_Сеть'!AQ25-AQ23)=0,3&lt;=КаникулыРоялти),0,('03_Сеть'!AQ25-AQ23)*IF(РоялтиПоГруппам="Да",MeanMinAge03+AQ10*SUMIF(ThresholdAge03,"&lt;"&amp;AQ10,WeightedRevAge03)-SUMIF(ThresholdAge03,"&lt;"&amp;AQ10,WeightedMinAge03),MAX(CapacityAge03*АбонементНовых*AQ10,MeanMinAge03)))</f>
        <v/>
      </c>
      <c r="AR77" s="87">
        <f>IF(OR(('03_Сеть'!AR25-AR23)=0,3&lt;=КаникулыРоялти),0,('03_Сеть'!AR25-AR23)*IF(РоялтиПоГруппам="Да",MeanMinAge03+AR10*SUMIF(ThresholdAge03,"&lt;"&amp;AR10,WeightedRevAge03)-SUMIF(ThresholdAge03,"&lt;"&amp;AR10,WeightedMinAge03),MAX(CapacityAge03*АбонементНовых*AR10,MeanMinAge03)))</f>
        <v/>
      </c>
      <c r="AS77" s="87">
        <f>IF(OR(('03_Сеть'!AS25-AS23)=0,3&lt;=КаникулыРоялти),0,('03_Сеть'!AS25-AS23)*IF(РоялтиПоГруппам="Да",MeanMinAge03+AS10*SUMIF(ThresholdAge03,"&lt;"&amp;AS10,WeightedRevAge03)-SUMIF(ThresholdAge03,"&lt;"&amp;AS10,WeightedMinAge03),MAX(CapacityAge03*АбонементНовых*AS10,MeanMinAge03)))</f>
        <v/>
      </c>
      <c r="AT77" s="87">
        <f>IF(OR(('03_Сеть'!AT25-AT23)=0,3&lt;=КаникулыРоялти),0,('03_Сеть'!AT25-AT23)*IF(РоялтиПоГруппам="Да",MeanMinAge03+AT10*SUMIF(ThresholdAge03,"&lt;"&amp;AT10,WeightedRevAge03)-SUMIF(ThresholdAge03,"&lt;"&amp;AT10,WeightedMinAge03),MAX(CapacityAge03*АбонементНовых*AT10,MeanMinAge03)))</f>
        <v/>
      </c>
      <c r="AU77" s="87">
        <f>IF(OR(('03_Сеть'!AU25-AU23)=0,3&lt;=КаникулыРоялти),0,('03_Сеть'!AU25-AU23)*IF(РоялтиПоГруппам="Да",MeanMinAge03+AU10*SUMIF(ThresholdAge03,"&lt;"&amp;AU10,WeightedRevAge03)-SUMIF(ThresholdAge03,"&lt;"&amp;AU10,WeightedMinAge03),MAX(CapacityAge03*АбонементНовых*AU10,MeanMinAge03)))</f>
        <v/>
      </c>
      <c r="AV77" s="87">
        <f>IF(OR(('03_Сеть'!AV25-AV23)=0,3&lt;=КаникулыРоялти),0,('03_Сеть'!AV25-AV23)*IF(РоялтиПоГруппам="Да",MeanMinAge03+AV10*SUMIF(ThresholdAge03,"&lt;"&amp;AV10,WeightedRevAge03)-SUMIF(ThresholdAge03,"&lt;"&amp;AV10,WeightedMinAge03),MAX(CapacityAge03*АбонементНовых*AV10,MeanMinAge03)))</f>
        <v/>
      </c>
      <c r="AW77" s="87">
        <f>IF(OR(('03_Сеть'!AW25-AW23)=0,3&lt;=КаникулыРоялти),0,('03_Сеть'!AW25-AW23)*IF(РоялтиПоГруппам="Да",MeanMinAge03+AW10*SUMIF(ThresholdAge03,"&lt;"&amp;AW10,WeightedRevAge03)-SUMIF(ThresholdAge03,"&lt;"&amp;AW10,WeightedMinAge03),MAX(CapacityAge03*АбонементНовых*AW10,MeanMinAge03)))</f>
        <v/>
      </c>
      <c r="AX77" s="87">
        <f>IF(OR(('03_Сеть'!AX25-AX23)=0,3&lt;=КаникулыРоялти),0,('03_Сеть'!AX25-AX23)*IF(РоялтиПоГруппам="Да",MeanMinAge03+AX10*SUMIF(ThresholdAge03,"&lt;"&amp;AX10,WeightedRevAge03)-SUMIF(ThresholdAge03,"&lt;"&amp;AX10,WeightedMinAge03),MAX(CapacityAge03*АбонементНовых*AX10,MeanMinAge03)))</f>
        <v/>
      </c>
      <c r="AY77" s="87">
        <f>IF(OR(('03_Сеть'!AY25-AY23)=0,3&lt;=КаникулыРоялти),0,('03_Сеть'!AY25-AY23)*IF(РоялтиПоГруппам="Да",MeanMinAge03+AY10*SUMIF(ThresholdAge03,"&lt;"&amp;AY10,WeightedRevAge03)-SUMIF(ThresholdAge03,"&lt;"&amp;AY10,WeightedMinAge03),MAX(CapacityAge03*АбонементНовых*AY10,MeanMinAge03)))</f>
        <v/>
      </c>
      <c r="AZ77" s="87">
        <f>IF(OR(('03_Сеть'!AZ25-AZ23)=0,3&lt;=КаникулыРоялти),0,('03_Сеть'!AZ25-AZ23)*IF(РоялтиПоГруппам="Да",MeanMinAge03+AZ10*SUMIF(ThresholdAge03,"&lt;"&amp;AZ10,WeightedRevAge03)-SUMIF(ThresholdAge03,"&lt;"&amp;AZ10,WeightedMinAge03),MAX(CapacityAge03*АбонементНовых*AZ10,MeanMinAge03)))</f>
        <v/>
      </c>
      <c r="BA77" s="87">
        <f>IF(OR(('03_Сеть'!BA25-BA23)=0,3&lt;=КаникулыРоялти),0,('03_Сеть'!BA25-BA23)*IF(РоялтиПоГруппам="Да",MeanMinAge03+BA10*SUMIF(ThresholdAge03,"&lt;"&amp;BA10,WeightedRevAge03)-SUMIF(ThresholdAge03,"&lt;"&amp;BA10,WeightedMinAge03),MAX(CapacityAge03*АбонементНовых*BA10,MeanMinAge03)))</f>
        <v/>
      </c>
      <c r="BB77" s="87">
        <f>IF(OR(('03_Сеть'!BB25-BB23)=0,3&lt;=КаникулыРоялти),0,('03_Сеть'!BB25-BB23)*IF(РоялтиПоГруппам="Да",MeanMinAge03+BB10*SUMIF(ThresholdAge03,"&lt;"&amp;BB10,WeightedRevAge03)-SUMIF(ThresholdAge03,"&lt;"&amp;BB10,WeightedMinAge03),MAX(CapacityAge03*АбонементНовых*BB10,MeanMinAge03)))</f>
        <v/>
      </c>
      <c r="BC77" s="87">
        <f>IF(OR(('03_Сеть'!BC25-BC23)=0,3&lt;=КаникулыРоялти),0,('03_Сеть'!BC25-BC23)*IF(РоялтиПоГруппам="Да",MeanMinAge03+BC10*SUMIF(ThresholdAge03,"&lt;"&amp;BC10,WeightedRevAge03)-SUMIF(ThresholdAge03,"&lt;"&amp;BC10,WeightedMinAge03),MAX(CapacityAge03*АбонементНовых*BC10,MeanMinAge03)))</f>
        <v/>
      </c>
      <c r="BD77" s="87">
        <f>IF(OR(('03_Сеть'!BD25-BD23)=0,3&lt;=КаникулыРоялти),0,('03_Сеть'!BD25-BD23)*IF(РоялтиПоГруппам="Да",MeanMinAge03+BD10*SUMIF(ThresholdAge03,"&lt;"&amp;BD10,WeightedRevAge03)-SUMIF(ThresholdAge03,"&lt;"&amp;BD10,WeightedMinAge03),MAX(CapacityAge03*АбонементНовых*BD10,MeanMinAge03)))</f>
        <v/>
      </c>
      <c r="BE77" s="87">
        <f>IF(OR(('03_Сеть'!BE25-BE23)=0,3&lt;=КаникулыРоялти),0,('03_Сеть'!BE25-BE23)*IF(РоялтиПоГруппам="Да",MeanMinAge03+BE10*SUMIF(ThresholdAge03,"&lt;"&amp;BE10,WeightedRevAge03)-SUMIF(ThresholdAge03,"&lt;"&amp;BE10,WeightedMinAge03),MAX(CapacityAge03*АбонементНовых*BE10,MeanMinAge03)))</f>
        <v/>
      </c>
      <c r="BF77" s="87">
        <f>IF(OR(('03_Сеть'!BF25-BF23)=0,3&lt;=КаникулыРоялти),0,('03_Сеть'!BF25-BF23)*IF(РоялтиПоГруппам="Да",MeanMinAge03+BF10*SUMIF(ThresholdAge03,"&lt;"&amp;BF10,WeightedRevAge03)-SUMIF(ThresholdAge03,"&lt;"&amp;BF10,WeightedMinAge03),MAX(CapacityAge03*АбонементНовых*BF10,MeanMinAge03)))</f>
        <v/>
      </c>
      <c r="BG77" s="87">
        <f>IF(OR(('03_Сеть'!BG25-BG23)=0,3&lt;=КаникулыРоялти),0,('03_Сеть'!BG25-BG23)*IF(РоялтиПоГруппам="Да",MeanMinAge03+BG10*SUMIF(ThresholdAge03,"&lt;"&amp;BG10,WeightedRevAge03)-SUMIF(ThresholdAge03,"&lt;"&amp;BG10,WeightedMinAge03),MAX(CapacityAge03*АбонементНовых*BG10,MeanMinAge03)))</f>
        <v/>
      </c>
      <c r="BH77" s="87">
        <f>IF(OR(('03_Сеть'!BH25-BH23)=0,3&lt;=КаникулыРоялти),0,('03_Сеть'!BH25-BH23)*IF(РоялтиПоГруппам="Да",MeanMinAge03+BH10*SUMIF(ThresholdAge03,"&lt;"&amp;BH10,WeightedRevAge03)-SUMIF(ThresholdAge03,"&lt;"&amp;BH10,WeightedMinAge03),MAX(CapacityAge03*АбонементНовых*BH10,MeanMinAge03)))</f>
        <v/>
      </c>
      <c r="BI77" s="87">
        <f>IF(OR(('03_Сеть'!BI25-BI23)=0,3&lt;=КаникулыРоялти),0,('03_Сеть'!BI25-BI23)*IF(РоялтиПоГруппам="Да",MeanMinAge03+BI10*SUMIF(ThresholdAge03,"&lt;"&amp;BI10,WeightedRevAge03)-SUMIF(ThresholdAge03,"&lt;"&amp;BI10,WeightedMinAge03),MAX(CapacityAge03*АбонементНовых*BI10,MeanMinAge03)))</f>
        <v/>
      </c>
      <c r="BJ77" s="87">
        <f>IF(OR(('03_Сеть'!BJ25-BJ23)=0,3&lt;=КаникулыРоялти),0,('03_Сеть'!BJ25-BJ23)*IF(РоялтиПоГруппам="Да",MeanMinAge03+BJ10*SUMIF(ThresholdAge03,"&lt;"&amp;BJ10,WeightedRevAge03)-SUMIF(ThresholdAge03,"&lt;"&amp;BJ10,WeightedMinAge03),MAX(CapacityAge03*АбонементНовых*BJ10,MeanMinAge03)))</f>
        <v/>
      </c>
      <c r="BK77" s="87">
        <f>IF(OR(('03_Сеть'!BK25-BK23)=0,3&lt;=КаникулыРоялти),0,('03_Сеть'!BK25-BK23)*IF(РоялтиПоГруппам="Да",MeanMinAge03+BK10*SUMIF(ThresholdAge03,"&lt;"&amp;BK10,WeightedRevAge03)-SUMIF(ThresholdAge03,"&lt;"&amp;BK10,WeightedMinAge03),MAX(CapacityAge03*АбонементНовых*BK10,MeanMinAge03)))</f>
        <v/>
      </c>
      <c r="BL77" s="87">
        <f>IF(OR(('03_Сеть'!BL25-BL23)=0,3&lt;=КаникулыРоялти),0,('03_Сеть'!BL25-BL23)*IF(РоялтиПоГруппам="Да",MeanMinAge03+BL10*SUMIF(ThresholdAge03,"&lt;"&amp;BL10,WeightedRevAge03)-SUMIF(ThresholdAge03,"&lt;"&amp;BL10,WeightedMinAge03),MAX(CapacityAge03*АбонементНовых*BL10,MeanMinAge03)))</f>
        <v/>
      </c>
      <c r="BM77" s="87">
        <f>IF(OR(('03_Сеть'!BM25-BM23)=0,3&lt;=КаникулыРоялти),0,('03_Сеть'!BM25-BM23)*IF(РоялтиПоГруппам="Да",MeanMinAge03+BM10*SUMIF(ThresholdAge03,"&lt;"&amp;BM10,WeightedRevAge03)-SUMIF(ThresholdAge03,"&lt;"&amp;BM10,WeightedMinAge03),MAX(CapacityAge03*АбонементНовых*BM10,MeanMinAge03)))</f>
        <v/>
      </c>
      <c r="BN77" s="87">
        <f>IF(OR(('03_Сеть'!BN25-BN23)=0,3&lt;=КаникулыРоялти),0,('03_Сеть'!BN25-BN23)*IF(РоялтиПоГруппам="Да",MeanMinAge03+BN10*SUMIF(ThresholdAge03,"&lt;"&amp;BN10,WeightedRevAge03)-SUMIF(ThresholdAge03,"&lt;"&amp;BN10,WeightedMinAge03),MAX(CapacityAge03*АбонементНовых*BN10,MeanMinAge03)))</f>
        <v/>
      </c>
      <c r="BO77" s="87">
        <f>IF(OR(('03_Сеть'!BO25-BO23)=0,3&lt;=КаникулыРоялти),0,('03_Сеть'!BO25-BO23)*IF(РоялтиПоГруппам="Да",MeanMinAge03+BO10*SUMIF(ThresholdAge03,"&lt;"&amp;BO10,WeightedRevAge03)-SUMIF(ThresholdAge03,"&lt;"&amp;BO10,WeightedMinAge03),MAX(CapacityAge03*АбонементНовых*BO10,MeanMinAge03)))</f>
        <v/>
      </c>
      <c r="BP77" s="87">
        <f>IF(OR(('03_Сеть'!BP25-BP23)=0,3&lt;=КаникулыРоялти),0,('03_Сеть'!BP25-BP23)*IF(РоялтиПоГруппам="Да",MeanMinAge03+BP10*SUMIF(ThresholdAge03,"&lt;"&amp;BP10,WeightedRevAge03)-SUMIF(ThresholdAge03,"&lt;"&amp;BP10,WeightedMinAge03),MAX(CapacityAge03*АбонементНовых*BP10,MeanMinAge03)))</f>
        <v/>
      </c>
      <c r="BQ77" s="87">
        <f>IF(OR(('03_Сеть'!BQ25-BQ23)=0,3&lt;=КаникулыРоялти),0,('03_Сеть'!BQ25-BQ23)*IF(РоялтиПоГруппам="Да",MeanMinAge03+BQ10*SUMIF(ThresholdAge03,"&lt;"&amp;BQ10,WeightedRevAge03)-SUMIF(ThresholdAge03,"&lt;"&amp;BQ10,WeightedMinAge03),MAX(CapacityAge03*АбонементНовых*BQ10,MeanMinAge03)))</f>
        <v/>
      </c>
      <c r="BR77" s="87">
        <f>IF(OR(('03_Сеть'!BR25-BR23)=0,3&lt;=КаникулыРоялти),0,('03_Сеть'!BR25-BR23)*IF(РоялтиПоГруппам="Да",MeanMinAge03+BR10*SUMIF(ThresholdAge03,"&lt;"&amp;BR10,WeightedRevAge03)-SUMIF(ThresholdAge03,"&lt;"&amp;BR10,WeightedMinAge03),MAX(CapacityAge03*АбонементНовых*BR10,MeanMinAge03)))</f>
        <v/>
      </c>
      <c r="BS77" s="87">
        <f>IF(OR(('03_Сеть'!BS25-BS23)=0,3&lt;=КаникулыРоялти),0,('03_Сеть'!BS25-BS23)*IF(РоялтиПоГруппам="Да",MeanMinAge03+BS10*SUMIF(ThresholdAge03,"&lt;"&amp;BS10,WeightedRevAge03)-SUMIF(ThresholdAge03,"&lt;"&amp;BS10,WeightedMinAge03),MAX(CapacityAge03*АбонементНовых*BS10,MeanMinAge03)))</f>
        <v/>
      </c>
      <c r="BT77" s="87">
        <f>IF(OR(('03_Сеть'!BT25-BT23)=0,3&lt;=КаникулыРоялти),0,('03_Сеть'!BT25-BT23)*IF(РоялтиПоГруппам="Да",MeanMinAge03+BT10*SUMIF(ThresholdAge03,"&lt;"&amp;BT10,WeightedRevAge03)-SUMIF(ThresholdAge03,"&lt;"&amp;BT10,WeightedMinAge03),MAX(CapacityAge03*АбонементНовых*BT10,MeanMinAge03)))</f>
        <v/>
      </c>
      <c r="BU77" s="87">
        <f>IF(OR(('03_Сеть'!BU25-BU23)=0,3&lt;=КаникулыРоялти),0,('03_Сеть'!BU25-BU23)*IF(РоялтиПоГруппам="Да",MeanMinAge03+BU10*SUMIF(ThresholdAge03,"&lt;"&amp;BU10,WeightedRevAge03)-SUMIF(ThresholdAge03,"&lt;"&amp;BU10,WeightedMinAge03),MAX(CapacityAge03*АбонементНовых*BU10,MeanMinAge03)))</f>
        <v/>
      </c>
      <c r="BV77" s="87">
        <f>IF(OR(('03_Сеть'!BV25-BV23)=0,3&lt;=КаникулыРоялти),0,('03_Сеть'!BV25-BV23)*IF(РоялтиПоГруппам="Да",MeanMinAge03+BV10*SUMIF(ThresholdAge03,"&lt;"&amp;BV10,WeightedRevAge03)-SUMIF(ThresholdAge03,"&lt;"&amp;BV10,WeightedMinAge03),MAX(CapacityAge03*АбонементНовых*BV10,MeanMinAge03)))</f>
        <v/>
      </c>
      <c r="BW77" s="87">
        <f>IF(OR(('03_Сеть'!BW25-BW23)=0,3&lt;=КаникулыРоялти),0,('03_Сеть'!BW25-BW23)*IF(РоялтиПоГруппам="Да",MeanMinAge03+BW10*SUMIF(ThresholdAge03,"&lt;"&amp;BW10,WeightedRevAge03)-SUMIF(ThresholdAge03,"&lt;"&amp;BW10,WeightedMinAge03),MAX(CapacityAge03*АбонементНовых*BW10,MeanMinAge03)))</f>
        <v/>
      </c>
      <c r="BX77" s="87">
        <f>IF(OR(('03_Сеть'!BX25-BX23)=0,3&lt;=КаникулыРоялти),0,('03_Сеть'!BX25-BX23)*IF(РоялтиПоГруппам="Да",MeanMinAge03+BX10*SUMIF(ThresholdAge03,"&lt;"&amp;BX10,WeightedRevAge03)-SUMIF(ThresholdAge03,"&lt;"&amp;BX10,WeightedMinAge03),MAX(CapacityAge03*АбонементНовых*BX10,MeanMinAge03)))</f>
        <v/>
      </c>
      <c r="BY77" s="87">
        <f>IF(OR(('03_Сеть'!BY25-BY23)=0,3&lt;=КаникулыРоялти),0,('03_Сеть'!BY25-BY23)*IF(РоялтиПоГруппам="Да",MeanMinAge03+BY10*SUMIF(ThresholdAge03,"&lt;"&amp;BY10,WeightedRevAge03)-SUMIF(ThresholdAge03,"&lt;"&amp;BY10,WeightedMinAge03),MAX(CapacityAge03*АбонементНовых*BY10,MeanMinAge03)))</f>
        <v/>
      </c>
    </row>
    <row r="78" ht="15.75" customHeight="1" s="194">
      <c r="B78" s="56" t="inlineStr">
        <is>
          <t>4 мес.</t>
        </is>
      </c>
      <c r="C78" s="56" t="inlineStr">
        <is>
          <t>₽</t>
        </is>
      </c>
      <c r="D78" s="57" t="n"/>
      <c r="E78" s="85">
        <f>SUM(L78:W78)</f>
        <v/>
      </c>
      <c r="F78" s="85">
        <f>SUM(X78:AI78)</f>
        <v/>
      </c>
      <c r="G78" s="85">
        <f>SUM(AJ78:AU78)</f>
        <v/>
      </c>
      <c r="H78" s="85">
        <f>SUM(AV78:BG78)</f>
        <v/>
      </c>
      <c r="I78" s="85">
        <f>SUM(BH78:BS78)</f>
        <v/>
      </c>
      <c r="J78" s="86">
        <f>SUM(L78:BS78)</f>
        <v/>
      </c>
      <c r="L78" s="87">
        <f>IF(OR(('03_Сеть'!L26-L24)=0,4&lt;=КаникулыРоялти),0,('03_Сеть'!L26-L24)*IF(РоялтиПоГруппам="Да",MeanMinAge04+L10*SUMIF(ThresholdAge04,"&lt;"&amp;L10,WeightedRevAge04)-SUMIF(ThresholdAge04,"&lt;"&amp;L10,WeightedMinAge04),MAX(CapacityAge04*АбонементНовых*L10,MeanMinAge04)))</f>
        <v/>
      </c>
      <c r="M78" s="87">
        <f>IF(OR(('03_Сеть'!M26-M24)=0,4&lt;=КаникулыРоялти),0,('03_Сеть'!M26-M24)*IF(РоялтиПоГруппам="Да",MeanMinAge04+M10*SUMIF(ThresholdAge04,"&lt;"&amp;M10,WeightedRevAge04)-SUMIF(ThresholdAge04,"&lt;"&amp;M10,WeightedMinAge04),MAX(CapacityAge04*АбонементНовых*M10,MeanMinAge04)))</f>
        <v/>
      </c>
      <c r="N78" s="87">
        <f>IF(OR(('03_Сеть'!N26-N24)=0,4&lt;=КаникулыРоялти),0,('03_Сеть'!N26-N24)*IF(РоялтиПоГруппам="Да",MeanMinAge04+N10*SUMIF(ThresholdAge04,"&lt;"&amp;N10,WeightedRevAge04)-SUMIF(ThresholdAge04,"&lt;"&amp;N10,WeightedMinAge04),MAX(CapacityAge04*АбонементНовых*N10,MeanMinAge04)))</f>
        <v/>
      </c>
      <c r="O78" s="87">
        <f>IF(OR(('03_Сеть'!O26-O24)=0,4&lt;=КаникулыРоялти),0,('03_Сеть'!O26-O24)*IF(РоялтиПоГруппам="Да",MeanMinAge04+O10*SUMIF(ThresholdAge04,"&lt;"&amp;O10,WeightedRevAge04)-SUMIF(ThresholdAge04,"&lt;"&amp;O10,WeightedMinAge04),MAX(CapacityAge04*АбонементНовых*O10,MeanMinAge04)))</f>
        <v/>
      </c>
      <c r="P78" s="87">
        <f>IF(OR(('03_Сеть'!P26-P24)=0,4&lt;=КаникулыРоялти),0,('03_Сеть'!P26-P24)*IF(РоялтиПоГруппам="Да",MeanMinAge04+P10*SUMIF(ThresholdAge04,"&lt;"&amp;P10,WeightedRevAge04)-SUMIF(ThresholdAge04,"&lt;"&amp;P10,WeightedMinAge04),MAX(CapacityAge04*АбонементНовых*P10,MeanMinAge04)))</f>
        <v/>
      </c>
      <c r="Q78" s="87">
        <f>IF(OR(('03_Сеть'!Q26-Q24)=0,4&lt;=КаникулыРоялти),0,('03_Сеть'!Q26-Q24)*IF(РоялтиПоГруппам="Да",MeanMinAge04+Q10*SUMIF(ThresholdAge04,"&lt;"&amp;Q10,WeightedRevAge04)-SUMIF(ThresholdAge04,"&lt;"&amp;Q10,WeightedMinAge04),MAX(CapacityAge04*АбонементНовых*Q10,MeanMinAge04)))</f>
        <v/>
      </c>
      <c r="R78" s="87">
        <f>IF(OR(('03_Сеть'!R26-R24)=0,4&lt;=КаникулыРоялти),0,('03_Сеть'!R26-R24)*IF(РоялтиПоГруппам="Да",MeanMinAge04+R10*SUMIF(ThresholdAge04,"&lt;"&amp;R10,WeightedRevAge04)-SUMIF(ThresholdAge04,"&lt;"&amp;R10,WeightedMinAge04),MAX(CapacityAge04*АбонементНовых*R10,MeanMinAge04)))</f>
        <v/>
      </c>
      <c r="S78" s="87">
        <f>IF(OR(('03_Сеть'!S26-S24)=0,4&lt;=КаникулыРоялти),0,('03_Сеть'!S26-S24)*IF(РоялтиПоГруппам="Да",MeanMinAge04+S10*SUMIF(ThresholdAge04,"&lt;"&amp;S10,WeightedRevAge04)-SUMIF(ThresholdAge04,"&lt;"&amp;S10,WeightedMinAge04),MAX(CapacityAge04*АбонементНовых*S10,MeanMinAge04)))</f>
        <v/>
      </c>
      <c r="T78" s="87">
        <f>IF(OR(('03_Сеть'!T26-T24)=0,4&lt;=КаникулыРоялти),0,('03_Сеть'!T26-T24)*IF(РоялтиПоГруппам="Да",MeanMinAge04+T10*SUMIF(ThresholdAge04,"&lt;"&amp;T10,WeightedRevAge04)-SUMIF(ThresholdAge04,"&lt;"&amp;T10,WeightedMinAge04),MAX(CapacityAge04*АбонементНовых*T10,MeanMinAge04)))</f>
        <v/>
      </c>
      <c r="U78" s="87">
        <f>IF(OR(('03_Сеть'!U26-U24)=0,4&lt;=КаникулыРоялти),0,('03_Сеть'!U26-U24)*IF(РоялтиПоГруппам="Да",MeanMinAge04+U10*SUMIF(ThresholdAge04,"&lt;"&amp;U10,WeightedRevAge04)-SUMIF(ThresholdAge04,"&lt;"&amp;U10,WeightedMinAge04),MAX(CapacityAge04*АбонементНовых*U10,MeanMinAge04)))</f>
        <v/>
      </c>
      <c r="V78" s="87">
        <f>IF(OR(('03_Сеть'!V26-V24)=0,4&lt;=КаникулыРоялти),0,('03_Сеть'!V26-V24)*IF(РоялтиПоГруппам="Да",MeanMinAge04+V10*SUMIF(ThresholdAge04,"&lt;"&amp;V10,WeightedRevAge04)-SUMIF(ThresholdAge04,"&lt;"&amp;V10,WeightedMinAge04),MAX(CapacityAge04*АбонементНовых*V10,MeanMinAge04)))</f>
        <v/>
      </c>
      <c r="W78" s="87">
        <f>IF(OR(('03_Сеть'!W26-W24)=0,4&lt;=КаникулыРоялти),0,('03_Сеть'!W26-W24)*IF(РоялтиПоГруппам="Да",MeanMinAge04+W10*SUMIF(ThresholdAge04,"&lt;"&amp;W10,WeightedRevAge04)-SUMIF(ThresholdAge04,"&lt;"&amp;W10,WeightedMinAge04),MAX(CapacityAge04*АбонементНовых*W10,MeanMinAge04)))</f>
        <v/>
      </c>
      <c r="X78" s="87">
        <f>IF(OR(('03_Сеть'!X26-X24)=0,4&lt;=КаникулыРоялти),0,('03_Сеть'!X26-X24)*IF(РоялтиПоГруппам="Да",MeanMinAge04+X10*SUMIF(ThresholdAge04,"&lt;"&amp;X10,WeightedRevAge04)-SUMIF(ThresholdAge04,"&lt;"&amp;X10,WeightedMinAge04),MAX(CapacityAge04*АбонементНовых*X10,MeanMinAge04)))</f>
        <v/>
      </c>
      <c r="Y78" s="87">
        <f>IF(OR(('03_Сеть'!Y26-Y24)=0,4&lt;=КаникулыРоялти),0,('03_Сеть'!Y26-Y24)*IF(РоялтиПоГруппам="Да",MeanMinAge04+Y10*SUMIF(ThresholdAge04,"&lt;"&amp;Y10,WeightedRevAge04)-SUMIF(ThresholdAge04,"&lt;"&amp;Y10,WeightedMinAge04),MAX(CapacityAge04*АбонементНовых*Y10,MeanMinAge04)))</f>
        <v/>
      </c>
      <c r="Z78" s="87">
        <f>IF(OR(('03_Сеть'!Z26-Z24)=0,4&lt;=КаникулыРоялти),0,('03_Сеть'!Z26-Z24)*IF(РоялтиПоГруппам="Да",MeanMinAge04+Z10*SUMIF(ThresholdAge04,"&lt;"&amp;Z10,WeightedRevAge04)-SUMIF(ThresholdAge04,"&lt;"&amp;Z10,WeightedMinAge04),MAX(CapacityAge04*АбонементНовых*Z10,MeanMinAge04)))</f>
        <v/>
      </c>
      <c r="AA78" s="87">
        <f>IF(OR(('03_Сеть'!AA26-AA24)=0,4&lt;=КаникулыРоялти),0,('03_Сеть'!AA26-AA24)*IF(РоялтиПоГруппам="Да",MeanMinAge04+AA10*SUMIF(ThresholdAge04,"&lt;"&amp;AA10,WeightedRevAge04)-SUMIF(ThresholdAge04,"&lt;"&amp;AA10,WeightedMinAge04),MAX(CapacityAge04*АбонементНовых*AA10,MeanMinAge04)))</f>
        <v/>
      </c>
      <c r="AB78" s="87">
        <f>IF(OR(('03_Сеть'!AB26-AB24)=0,4&lt;=КаникулыРоялти),0,('03_Сеть'!AB26-AB24)*IF(РоялтиПоГруппам="Да",MeanMinAge04+AB10*SUMIF(ThresholdAge04,"&lt;"&amp;AB10,WeightedRevAge04)-SUMIF(ThresholdAge04,"&lt;"&amp;AB10,WeightedMinAge04),MAX(CapacityAge04*АбонементНовых*AB10,MeanMinAge04)))</f>
        <v/>
      </c>
      <c r="AC78" s="87">
        <f>IF(OR(('03_Сеть'!AC26-AC24)=0,4&lt;=КаникулыРоялти),0,('03_Сеть'!AC26-AC24)*IF(РоялтиПоГруппам="Да",MeanMinAge04+AC10*SUMIF(ThresholdAge04,"&lt;"&amp;AC10,WeightedRevAge04)-SUMIF(ThresholdAge04,"&lt;"&amp;AC10,WeightedMinAge04),MAX(CapacityAge04*АбонементНовых*AC10,MeanMinAge04)))</f>
        <v/>
      </c>
      <c r="AD78" s="87">
        <f>IF(OR(('03_Сеть'!AD26-AD24)=0,4&lt;=КаникулыРоялти),0,('03_Сеть'!AD26-AD24)*IF(РоялтиПоГруппам="Да",MeanMinAge04+AD10*SUMIF(ThresholdAge04,"&lt;"&amp;AD10,WeightedRevAge04)-SUMIF(ThresholdAge04,"&lt;"&amp;AD10,WeightedMinAge04),MAX(CapacityAge04*АбонементНовых*AD10,MeanMinAge04)))</f>
        <v/>
      </c>
      <c r="AE78" s="87">
        <f>IF(OR(('03_Сеть'!AE26-AE24)=0,4&lt;=КаникулыРоялти),0,('03_Сеть'!AE26-AE24)*IF(РоялтиПоГруппам="Да",MeanMinAge04+AE10*SUMIF(ThresholdAge04,"&lt;"&amp;AE10,WeightedRevAge04)-SUMIF(ThresholdAge04,"&lt;"&amp;AE10,WeightedMinAge04),MAX(CapacityAge04*АбонементНовых*AE10,MeanMinAge04)))</f>
        <v/>
      </c>
      <c r="AF78" s="87">
        <f>IF(OR(('03_Сеть'!AF26-AF24)=0,4&lt;=КаникулыРоялти),0,('03_Сеть'!AF26-AF24)*IF(РоялтиПоГруппам="Да",MeanMinAge04+AF10*SUMIF(ThresholdAge04,"&lt;"&amp;AF10,WeightedRevAge04)-SUMIF(ThresholdAge04,"&lt;"&amp;AF10,WeightedMinAge04),MAX(CapacityAge04*АбонементНовых*AF10,MeanMinAge04)))</f>
        <v/>
      </c>
      <c r="AG78" s="87">
        <f>IF(OR(('03_Сеть'!AG26-AG24)=0,4&lt;=КаникулыРоялти),0,('03_Сеть'!AG26-AG24)*IF(РоялтиПоГруппам="Да",MeanMinAge04+AG10*SUMIF(ThresholdAge04,"&lt;"&amp;AG10,WeightedRevAge04)-SUMIF(ThresholdAge04,"&lt;"&amp;AG10,WeightedMinAge04),MAX(CapacityAge04*АбонементНовых*AG10,MeanMinAge04)))</f>
        <v/>
      </c>
      <c r="AH78" s="87">
        <f>IF(OR(('03_Сеть'!AH26-AH24)=0,4&lt;=КаникулыРоялти),0,('03_Сеть'!AH26-AH24)*IF(РоялтиПоГруппам="Да",MeanMinAge04+AH10*SUMIF(ThresholdAge04,"&lt;"&amp;AH10,WeightedRevAge04)-SUMIF(ThresholdAge04,"&lt;"&amp;AH10,WeightedMinAge04),MAX(CapacityAge04*АбонементНовых*AH10,MeanMinAge04)))</f>
        <v/>
      </c>
      <c r="AI78" s="87">
        <f>IF(OR(('03_Сеть'!AI26-AI24)=0,4&lt;=КаникулыРоялти),0,('03_Сеть'!AI26-AI24)*IF(РоялтиПоГруппам="Да",MeanMinAge04+AI10*SUMIF(ThresholdAge04,"&lt;"&amp;AI10,WeightedRevAge04)-SUMIF(ThresholdAge04,"&lt;"&amp;AI10,WeightedMinAge04),MAX(CapacityAge04*АбонементНовых*AI10,MeanMinAge04)))</f>
        <v/>
      </c>
      <c r="AJ78" s="87">
        <f>IF(OR(('03_Сеть'!AJ26-AJ24)=0,4&lt;=КаникулыРоялти),0,('03_Сеть'!AJ26-AJ24)*IF(РоялтиПоГруппам="Да",MeanMinAge04+AJ10*SUMIF(ThresholdAge04,"&lt;"&amp;AJ10,WeightedRevAge04)-SUMIF(ThresholdAge04,"&lt;"&amp;AJ10,WeightedMinAge04),MAX(CapacityAge04*АбонементНовых*AJ10,MeanMinAge04)))</f>
        <v/>
      </c>
      <c r="AK78" s="87">
        <f>IF(OR(('03_Сеть'!AK26-AK24)=0,4&lt;=КаникулыРоялти),0,('03_Сеть'!AK26-AK24)*IF(РоялтиПоГруппам="Да",MeanMinAge04+AK10*SUMIF(ThresholdAge04,"&lt;"&amp;AK10,WeightedRevAge04)-SUMIF(ThresholdAge04,"&lt;"&amp;AK10,WeightedMinAge04),MAX(CapacityAge04*АбонементНовых*AK10,MeanMinAge04)))</f>
        <v/>
      </c>
      <c r="AL78" s="87">
        <f>IF(OR(('03_Сеть'!AL26-AL24)=0,4&lt;=КаникулыРоялти),0,('03_Сеть'!AL26-AL24)*IF(РоялтиПоГруппам="Да",MeanMinAge04+AL10*SUMIF(ThresholdAge04,"&lt;"&amp;AL10,WeightedRevAge04)-SUMIF(ThresholdAge04,"&lt;"&amp;AL10,WeightedMinAge04),MAX(CapacityAge04*АбонементНовых*AL10,MeanMinAge04)))</f>
        <v/>
      </c>
      <c r="AM78" s="87">
        <f>IF(OR(('03_Сеть'!AM26-AM24)=0,4&lt;=КаникулыРоялти),0,('03_Сеть'!AM26-AM24)*IF(РоялтиПоГруппам="Да",MeanMinAge04+AM10*SUMIF(ThresholdAge04,"&lt;"&amp;AM10,WeightedRevAge04)-SUMIF(ThresholdAge04,"&lt;"&amp;AM10,WeightedMinAge04),MAX(CapacityAge04*АбонементНовых*AM10,MeanMinAge04)))</f>
        <v/>
      </c>
      <c r="AN78" s="87">
        <f>IF(OR(('03_Сеть'!AN26-AN24)=0,4&lt;=КаникулыРоялти),0,('03_Сеть'!AN26-AN24)*IF(РоялтиПоГруппам="Да",MeanMinAge04+AN10*SUMIF(ThresholdAge04,"&lt;"&amp;AN10,WeightedRevAge04)-SUMIF(ThresholdAge04,"&lt;"&amp;AN10,WeightedMinAge04),MAX(CapacityAge04*АбонементНовых*AN10,MeanMinAge04)))</f>
        <v/>
      </c>
      <c r="AO78" s="87">
        <f>IF(OR(('03_Сеть'!AO26-AO24)=0,4&lt;=КаникулыРоялти),0,('03_Сеть'!AO26-AO24)*IF(РоялтиПоГруппам="Да",MeanMinAge04+AO10*SUMIF(ThresholdAge04,"&lt;"&amp;AO10,WeightedRevAge04)-SUMIF(ThresholdAge04,"&lt;"&amp;AO10,WeightedMinAge04),MAX(CapacityAge04*АбонементНовых*AO10,MeanMinAge04)))</f>
        <v/>
      </c>
      <c r="AP78" s="87">
        <f>IF(OR(('03_Сеть'!AP26-AP24)=0,4&lt;=КаникулыРоялти),0,('03_Сеть'!AP26-AP24)*IF(РоялтиПоГруппам="Да",MeanMinAge04+AP10*SUMIF(ThresholdAge04,"&lt;"&amp;AP10,WeightedRevAge04)-SUMIF(ThresholdAge04,"&lt;"&amp;AP10,WeightedMinAge04),MAX(CapacityAge04*АбонементНовых*AP10,MeanMinAge04)))</f>
        <v/>
      </c>
      <c r="AQ78" s="87">
        <f>IF(OR(('03_Сеть'!AQ26-AQ24)=0,4&lt;=КаникулыРоялти),0,('03_Сеть'!AQ26-AQ24)*IF(РоялтиПоГруппам="Да",MeanMinAge04+AQ10*SUMIF(ThresholdAge04,"&lt;"&amp;AQ10,WeightedRevAge04)-SUMIF(ThresholdAge04,"&lt;"&amp;AQ10,WeightedMinAge04),MAX(CapacityAge04*АбонементНовых*AQ10,MeanMinAge04)))</f>
        <v/>
      </c>
      <c r="AR78" s="87">
        <f>IF(OR(('03_Сеть'!AR26-AR24)=0,4&lt;=КаникулыРоялти),0,('03_Сеть'!AR26-AR24)*IF(РоялтиПоГруппам="Да",MeanMinAge04+AR10*SUMIF(ThresholdAge04,"&lt;"&amp;AR10,WeightedRevAge04)-SUMIF(ThresholdAge04,"&lt;"&amp;AR10,WeightedMinAge04),MAX(CapacityAge04*АбонементНовых*AR10,MeanMinAge04)))</f>
        <v/>
      </c>
      <c r="AS78" s="87">
        <f>IF(OR(('03_Сеть'!AS26-AS24)=0,4&lt;=КаникулыРоялти),0,('03_Сеть'!AS26-AS24)*IF(РоялтиПоГруппам="Да",MeanMinAge04+AS10*SUMIF(ThresholdAge04,"&lt;"&amp;AS10,WeightedRevAge04)-SUMIF(ThresholdAge04,"&lt;"&amp;AS10,WeightedMinAge04),MAX(CapacityAge04*АбонементНовых*AS10,MeanMinAge04)))</f>
        <v/>
      </c>
      <c r="AT78" s="87">
        <f>IF(OR(('03_Сеть'!AT26-AT24)=0,4&lt;=КаникулыРоялти),0,('03_Сеть'!AT26-AT24)*IF(РоялтиПоГруппам="Да",MeanMinAge04+AT10*SUMIF(ThresholdAge04,"&lt;"&amp;AT10,WeightedRevAge04)-SUMIF(ThresholdAge04,"&lt;"&amp;AT10,WeightedMinAge04),MAX(CapacityAge04*АбонементНовых*AT10,MeanMinAge04)))</f>
        <v/>
      </c>
      <c r="AU78" s="87">
        <f>IF(OR(('03_Сеть'!AU26-AU24)=0,4&lt;=КаникулыРоялти),0,('03_Сеть'!AU26-AU24)*IF(РоялтиПоГруппам="Да",MeanMinAge04+AU10*SUMIF(ThresholdAge04,"&lt;"&amp;AU10,WeightedRevAge04)-SUMIF(ThresholdAge04,"&lt;"&amp;AU10,WeightedMinAge04),MAX(CapacityAge04*АбонементНовых*AU10,MeanMinAge04)))</f>
        <v/>
      </c>
      <c r="AV78" s="87">
        <f>IF(OR(('03_Сеть'!AV26-AV24)=0,4&lt;=КаникулыРоялти),0,('03_Сеть'!AV26-AV24)*IF(РоялтиПоГруппам="Да",MeanMinAge04+AV10*SUMIF(ThresholdAge04,"&lt;"&amp;AV10,WeightedRevAge04)-SUMIF(ThresholdAge04,"&lt;"&amp;AV10,WeightedMinAge04),MAX(CapacityAge04*АбонементНовых*AV10,MeanMinAge04)))</f>
        <v/>
      </c>
      <c r="AW78" s="87">
        <f>IF(OR(('03_Сеть'!AW26-AW24)=0,4&lt;=КаникулыРоялти),0,('03_Сеть'!AW26-AW24)*IF(РоялтиПоГруппам="Да",MeanMinAge04+AW10*SUMIF(ThresholdAge04,"&lt;"&amp;AW10,WeightedRevAge04)-SUMIF(ThresholdAge04,"&lt;"&amp;AW10,WeightedMinAge04),MAX(CapacityAge04*АбонементНовых*AW10,MeanMinAge04)))</f>
        <v/>
      </c>
      <c r="AX78" s="87">
        <f>IF(OR(('03_Сеть'!AX26-AX24)=0,4&lt;=КаникулыРоялти),0,('03_Сеть'!AX26-AX24)*IF(РоялтиПоГруппам="Да",MeanMinAge04+AX10*SUMIF(ThresholdAge04,"&lt;"&amp;AX10,WeightedRevAge04)-SUMIF(ThresholdAge04,"&lt;"&amp;AX10,WeightedMinAge04),MAX(CapacityAge04*АбонементНовых*AX10,MeanMinAge04)))</f>
        <v/>
      </c>
      <c r="AY78" s="87">
        <f>IF(OR(('03_Сеть'!AY26-AY24)=0,4&lt;=КаникулыРоялти),0,('03_Сеть'!AY26-AY24)*IF(РоялтиПоГруппам="Да",MeanMinAge04+AY10*SUMIF(ThresholdAge04,"&lt;"&amp;AY10,WeightedRevAge04)-SUMIF(ThresholdAge04,"&lt;"&amp;AY10,WeightedMinAge04),MAX(CapacityAge04*АбонементНовых*AY10,MeanMinAge04)))</f>
        <v/>
      </c>
      <c r="AZ78" s="87">
        <f>IF(OR(('03_Сеть'!AZ26-AZ24)=0,4&lt;=КаникулыРоялти),0,('03_Сеть'!AZ26-AZ24)*IF(РоялтиПоГруппам="Да",MeanMinAge04+AZ10*SUMIF(ThresholdAge04,"&lt;"&amp;AZ10,WeightedRevAge04)-SUMIF(ThresholdAge04,"&lt;"&amp;AZ10,WeightedMinAge04),MAX(CapacityAge04*АбонементНовых*AZ10,MeanMinAge04)))</f>
        <v/>
      </c>
      <c r="BA78" s="87">
        <f>IF(OR(('03_Сеть'!BA26-BA24)=0,4&lt;=КаникулыРоялти),0,('03_Сеть'!BA26-BA24)*IF(РоялтиПоГруппам="Да",MeanMinAge04+BA10*SUMIF(ThresholdAge04,"&lt;"&amp;BA10,WeightedRevAge04)-SUMIF(ThresholdAge04,"&lt;"&amp;BA10,WeightedMinAge04),MAX(CapacityAge04*АбонементНовых*BA10,MeanMinAge04)))</f>
        <v/>
      </c>
      <c r="BB78" s="87">
        <f>IF(OR(('03_Сеть'!BB26-BB24)=0,4&lt;=КаникулыРоялти),0,('03_Сеть'!BB26-BB24)*IF(РоялтиПоГруппам="Да",MeanMinAge04+BB10*SUMIF(ThresholdAge04,"&lt;"&amp;BB10,WeightedRevAge04)-SUMIF(ThresholdAge04,"&lt;"&amp;BB10,WeightedMinAge04),MAX(CapacityAge04*АбонементНовых*BB10,MeanMinAge04)))</f>
        <v/>
      </c>
      <c r="BC78" s="87">
        <f>IF(OR(('03_Сеть'!BC26-BC24)=0,4&lt;=КаникулыРоялти),0,('03_Сеть'!BC26-BC24)*IF(РоялтиПоГруппам="Да",MeanMinAge04+BC10*SUMIF(ThresholdAge04,"&lt;"&amp;BC10,WeightedRevAge04)-SUMIF(ThresholdAge04,"&lt;"&amp;BC10,WeightedMinAge04),MAX(CapacityAge04*АбонементНовых*BC10,MeanMinAge04)))</f>
        <v/>
      </c>
      <c r="BD78" s="87">
        <f>IF(OR(('03_Сеть'!BD26-BD24)=0,4&lt;=КаникулыРоялти),0,('03_Сеть'!BD26-BD24)*IF(РоялтиПоГруппам="Да",MeanMinAge04+BD10*SUMIF(ThresholdAge04,"&lt;"&amp;BD10,WeightedRevAge04)-SUMIF(ThresholdAge04,"&lt;"&amp;BD10,WeightedMinAge04),MAX(CapacityAge04*АбонементНовых*BD10,MeanMinAge04)))</f>
        <v/>
      </c>
      <c r="BE78" s="87">
        <f>IF(OR(('03_Сеть'!BE26-BE24)=0,4&lt;=КаникулыРоялти),0,('03_Сеть'!BE26-BE24)*IF(РоялтиПоГруппам="Да",MeanMinAge04+BE10*SUMIF(ThresholdAge04,"&lt;"&amp;BE10,WeightedRevAge04)-SUMIF(ThresholdAge04,"&lt;"&amp;BE10,WeightedMinAge04),MAX(CapacityAge04*АбонементНовых*BE10,MeanMinAge04)))</f>
        <v/>
      </c>
      <c r="BF78" s="87">
        <f>IF(OR(('03_Сеть'!BF26-BF24)=0,4&lt;=КаникулыРоялти),0,('03_Сеть'!BF26-BF24)*IF(РоялтиПоГруппам="Да",MeanMinAge04+BF10*SUMIF(ThresholdAge04,"&lt;"&amp;BF10,WeightedRevAge04)-SUMIF(ThresholdAge04,"&lt;"&amp;BF10,WeightedMinAge04),MAX(CapacityAge04*АбонементНовых*BF10,MeanMinAge04)))</f>
        <v/>
      </c>
      <c r="BG78" s="87">
        <f>IF(OR(('03_Сеть'!BG26-BG24)=0,4&lt;=КаникулыРоялти),0,('03_Сеть'!BG26-BG24)*IF(РоялтиПоГруппам="Да",MeanMinAge04+BG10*SUMIF(ThresholdAge04,"&lt;"&amp;BG10,WeightedRevAge04)-SUMIF(ThresholdAge04,"&lt;"&amp;BG10,WeightedMinAge04),MAX(CapacityAge04*АбонементНовых*BG10,MeanMinAge04)))</f>
        <v/>
      </c>
      <c r="BH78" s="87">
        <f>IF(OR(('03_Сеть'!BH26-BH24)=0,4&lt;=КаникулыРоялти),0,('03_Сеть'!BH26-BH24)*IF(РоялтиПоГруппам="Да",MeanMinAge04+BH10*SUMIF(ThresholdAge04,"&lt;"&amp;BH10,WeightedRevAge04)-SUMIF(ThresholdAge04,"&lt;"&amp;BH10,WeightedMinAge04),MAX(CapacityAge04*АбонементНовых*BH10,MeanMinAge04)))</f>
        <v/>
      </c>
      <c r="BI78" s="87">
        <f>IF(OR(('03_Сеть'!BI26-BI24)=0,4&lt;=КаникулыРоялти),0,('03_Сеть'!BI26-BI24)*IF(РоялтиПоГруппам="Да",MeanMinAge04+BI10*SUMIF(ThresholdAge04,"&lt;"&amp;BI10,WeightedRevAge04)-SUMIF(ThresholdAge04,"&lt;"&amp;BI10,WeightedMinAge04),MAX(CapacityAge04*АбонементНовых*BI10,MeanMinAge04)))</f>
        <v/>
      </c>
      <c r="BJ78" s="87">
        <f>IF(OR(('03_Сеть'!BJ26-BJ24)=0,4&lt;=КаникулыРоялти),0,('03_Сеть'!BJ26-BJ24)*IF(РоялтиПоГруппам="Да",MeanMinAge04+BJ10*SUMIF(ThresholdAge04,"&lt;"&amp;BJ10,WeightedRevAge04)-SUMIF(ThresholdAge04,"&lt;"&amp;BJ10,WeightedMinAge04),MAX(CapacityAge04*АбонементНовых*BJ10,MeanMinAge04)))</f>
        <v/>
      </c>
      <c r="BK78" s="87">
        <f>IF(OR(('03_Сеть'!BK26-BK24)=0,4&lt;=КаникулыРоялти),0,('03_Сеть'!BK26-BK24)*IF(РоялтиПоГруппам="Да",MeanMinAge04+BK10*SUMIF(ThresholdAge04,"&lt;"&amp;BK10,WeightedRevAge04)-SUMIF(ThresholdAge04,"&lt;"&amp;BK10,WeightedMinAge04),MAX(CapacityAge04*АбонементНовых*BK10,MeanMinAge04)))</f>
        <v/>
      </c>
      <c r="BL78" s="87">
        <f>IF(OR(('03_Сеть'!BL26-BL24)=0,4&lt;=КаникулыРоялти),0,('03_Сеть'!BL26-BL24)*IF(РоялтиПоГруппам="Да",MeanMinAge04+BL10*SUMIF(ThresholdAge04,"&lt;"&amp;BL10,WeightedRevAge04)-SUMIF(ThresholdAge04,"&lt;"&amp;BL10,WeightedMinAge04),MAX(CapacityAge04*АбонементНовых*BL10,MeanMinAge04)))</f>
        <v/>
      </c>
      <c r="BM78" s="87">
        <f>IF(OR(('03_Сеть'!BM26-BM24)=0,4&lt;=КаникулыРоялти),0,('03_Сеть'!BM26-BM24)*IF(РоялтиПоГруппам="Да",MeanMinAge04+BM10*SUMIF(ThresholdAge04,"&lt;"&amp;BM10,WeightedRevAge04)-SUMIF(ThresholdAge04,"&lt;"&amp;BM10,WeightedMinAge04),MAX(CapacityAge04*АбонементНовых*BM10,MeanMinAge04)))</f>
        <v/>
      </c>
      <c r="BN78" s="87">
        <f>IF(OR(('03_Сеть'!BN26-BN24)=0,4&lt;=КаникулыРоялти),0,('03_Сеть'!BN26-BN24)*IF(РоялтиПоГруппам="Да",MeanMinAge04+BN10*SUMIF(ThresholdAge04,"&lt;"&amp;BN10,WeightedRevAge04)-SUMIF(ThresholdAge04,"&lt;"&amp;BN10,WeightedMinAge04),MAX(CapacityAge04*АбонементНовых*BN10,MeanMinAge04)))</f>
        <v/>
      </c>
      <c r="BO78" s="87">
        <f>IF(OR(('03_Сеть'!BO26-BO24)=0,4&lt;=КаникулыРоялти),0,('03_Сеть'!BO26-BO24)*IF(РоялтиПоГруппам="Да",MeanMinAge04+BO10*SUMIF(ThresholdAge04,"&lt;"&amp;BO10,WeightedRevAge04)-SUMIF(ThresholdAge04,"&lt;"&amp;BO10,WeightedMinAge04),MAX(CapacityAge04*АбонементНовых*BO10,MeanMinAge04)))</f>
        <v/>
      </c>
      <c r="BP78" s="87">
        <f>IF(OR(('03_Сеть'!BP26-BP24)=0,4&lt;=КаникулыРоялти),0,('03_Сеть'!BP26-BP24)*IF(РоялтиПоГруппам="Да",MeanMinAge04+BP10*SUMIF(ThresholdAge04,"&lt;"&amp;BP10,WeightedRevAge04)-SUMIF(ThresholdAge04,"&lt;"&amp;BP10,WeightedMinAge04),MAX(CapacityAge04*АбонементНовых*BP10,MeanMinAge04)))</f>
        <v/>
      </c>
      <c r="BQ78" s="87">
        <f>IF(OR(('03_Сеть'!BQ26-BQ24)=0,4&lt;=КаникулыРоялти),0,('03_Сеть'!BQ26-BQ24)*IF(РоялтиПоГруппам="Да",MeanMinAge04+BQ10*SUMIF(ThresholdAge04,"&lt;"&amp;BQ10,WeightedRevAge04)-SUMIF(ThresholdAge04,"&lt;"&amp;BQ10,WeightedMinAge04),MAX(CapacityAge04*АбонементНовых*BQ10,MeanMinAge04)))</f>
        <v/>
      </c>
      <c r="BR78" s="87">
        <f>IF(OR(('03_Сеть'!BR26-BR24)=0,4&lt;=КаникулыРоялти),0,('03_Сеть'!BR26-BR24)*IF(РоялтиПоГруппам="Да",MeanMinAge04+BR10*SUMIF(ThresholdAge04,"&lt;"&amp;BR10,WeightedRevAge04)-SUMIF(ThresholdAge04,"&lt;"&amp;BR10,WeightedMinAge04),MAX(CapacityAge04*АбонементНовых*BR10,MeanMinAge04)))</f>
        <v/>
      </c>
      <c r="BS78" s="87">
        <f>IF(OR(('03_Сеть'!BS26-BS24)=0,4&lt;=КаникулыРоялти),0,('03_Сеть'!BS26-BS24)*IF(РоялтиПоГруппам="Да",MeanMinAge04+BS10*SUMIF(ThresholdAge04,"&lt;"&amp;BS10,WeightedRevAge04)-SUMIF(ThresholdAge04,"&lt;"&amp;BS10,WeightedMinAge04),MAX(CapacityAge04*АбонементНовых*BS10,MeanMinAge04)))</f>
        <v/>
      </c>
      <c r="BT78" s="87">
        <f>IF(OR(('03_Сеть'!BT26-BT24)=0,4&lt;=КаникулыРоялти),0,('03_Сеть'!BT26-BT24)*IF(РоялтиПоГруппам="Да",MeanMinAge04+BT10*SUMIF(ThresholdAge04,"&lt;"&amp;BT10,WeightedRevAge04)-SUMIF(ThresholdAge04,"&lt;"&amp;BT10,WeightedMinAge04),MAX(CapacityAge04*АбонементНовых*BT10,MeanMinAge04)))</f>
        <v/>
      </c>
      <c r="BU78" s="87">
        <f>IF(OR(('03_Сеть'!BU26-BU24)=0,4&lt;=КаникулыРоялти),0,('03_Сеть'!BU26-BU24)*IF(РоялтиПоГруппам="Да",MeanMinAge04+BU10*SUMIF(ThresholdAge04,"&lt;"&amp;BU10,WeightedRevAge04)-SUMIF(ThresholdAge04,"&lt;"&amp;BU10,WeightedMinAge04),MAX(CapacityAge04*АбонементНовых*BU10,MeanMinAge04)))</f>
        <v/>
      </c>
      <c r="BV78" s="87">
        <f>IF(OR(('03_Сеть'!BV26-BV24)=0,4&lt;=КаникулыРоялти),0,('03_Сеть'!BV26-BV24)*IF(РоялтиПоГруппам="Да",MeanMinAge04+BV10*SUMIF(ThresholdAge04,"&lt;"&amp;BV10,WeightedRevAge04)-SUMIF(ThresholdAge04,"&lt;"&amp;BV10,WeightedMinAge04),MAX(CapacityAge04*АбонементНовых*BV10,MeanMinAge04)))</f>
        <v/>
      </c>
      <c r="BW78" s="87">
        <f>IF(OR(('03_Сеть'!BW26-BW24)=0,4&lt;=КаникулыРоялти),0,('03_Сеть'!BW26-BW24)*IF(РоялтиПоГруппам="Да",MeanMinAge04+BW10*SUMIF(ThresholdAge04,"&lt;"&amp;BW10,WeightedRevAge04)-SUMIF(ThresholdAge04,"&lt;"&amp;BW10,WeightedMinAge04),MAX(CapacityAge04*АбонементНовых*BW10,MeanMinAge04)))</f>
        <v/>
      </c>
      <c r="BX78" s="87">
        <f>IF(OR(('03_Сеть'!BX26-BX24)=0,4&lt;=КаникулыРоялти),0,('03_Сеть'!BX26-BX24)*IF(РоялтиПоГруппам="Да",MeanMinAge04+BX10*SUMIF(ThresholdAge04,"&lt;"&amp;BX10,WeightedRevAge04)-SUMIF(ThresholdAge04,"&lt;"&amp;BX10,WeightedMinAge04),MAX(CapacityAge04*АбонементНовых*BX10,MeanMinAge04)))</f>
        <v/>
      </c>
      <c r="BY78" s="87">
        <f>IF(OR(('03_Сеть'!BY26-BY24)=0,4&lt;=КаникулыРоялти),0,('03_Сеть'!BY26-BY24)*IF(РоялтиПоГруппам="Да",MeanMinAge04+BY10*SUMIF(ThresholdAge04,"&lt;"&amp;BY10,WeightedRevAge04)-SUMIF(ThresholdAge04,"&lt;"&amp;BY10,WeightedMinAge04),MAX(CapacityAge04*АбонементНовых*BY10,MeanMinAge04)))</f>
        <v/>
      </c>
    </row>
    <row r="79" ht="15.75" customHeight="1" s="194">
      <c r="B79" s="56" t="inlineStr">
        <is>
          <t>5 мес.</t>
        </is>
      </c>
      <c r="C79" s="56" t="inlineStr">
        <is>
          <t>₽</t>
        </is>
      </c>
      <c r="D79" s="57" t="n"/>
      <c r="E79" s="85">
        <f>SUM(L79:W79)</f>
        <v/>
      </c>
      <c r="F79" s="85">
        <f>SUM(X79:AI79)</f>
        <v/>
      </c>
      <c r="G79" s="85">
        <f>SUM(AJ79:AU79)</f>
        <v/>
      </c>
      <c r="H79" s="85">
        <f>SUM(AV79:BG79)</f>
        <v/>
      </c>
      <c r="I79" s="85">
        <f>SUM(BH79:BS79)</f>
        <v/>
      </c>
      <c r="J79" s="86">
        <f>SUM(L79:BS79)</f>
        <v/>
      </c>
      <c r="L79" s="87">
        <f>IF(OR(('03_Сеть'!L27-L25)=0,5&lt;=КаникулыРоялти),0,('03_Сеть'!L27-L25)*IF(РоялтиПоГруппам="Да",MeanMinAge05+L10*SUMIF(ThresholdAge05,"&lt;"&amp;L10,WeightedRevAge05)-SUMIF(ThresholdAge05,"&lt;"&amp;L10,WeightedMinAge05),MAX(CapacityAge05*АбонементНовых*L10,MeanMinAge05)))</f>
        <v/>
      </c>
      <c r="M79" s="87">
        <f>IF(OR(('03_Сеть'!M27-M25)=0,5&lt;=КаникулыРоялти),0,('03_Сеть'!M27-M25)*IF(РоялтиПоГруппам="Да",MeanMinAge05+M10*SUMIF(ThresholdAge05,"&lt;"&amp;M10,WeightedRevAge05)-SUMIF(ThresholdAge05,"&lt;"&amp;M10,WeightedMinAge05),MAX(CapacityAge05*АбонементНовых*M10,MeanMinAge05)))</f>
        <v/>
      </c>
      <c r="N79" s="87">
        <f>IF(OR(('03_Сеть'!N27-N25)=0,5&lt;=КаникулыРоялти),0,('03_Сеть'!N27-N25)*IF(РоялтиПоГруппам="Да",MeanMinAge05+N10*SUMIF(ThresholdAge05,"&lt;"&amp;N10,WeightedRevAge05)-SUMIF(ThresholdAge05,"&lt;"&amp;N10,WeightedMinAge05),MAX(CapacityAge05*АбонементНовых*N10,MeanMinAge05)))</f>
        <v/>
      </c>
      <c r="O79" s="87">
        <f>IF(OR(('03_Сеть'!O27-O25)=0,5&lt;=КаникулыРоялти),0,('03_Сеть'!O27-O25)*IF(РоялтиПоГруппам="Да",MeanMinAge05+O10*SUMIF(ThresholdAge05,"&lt;"&amp;O10,WeightedRevAge05)-SUMIF(ThresholdAge05,"&lt;"&amp;O10,WeightedMinAge05),MAX(CapacityAge05*АбонементНовых*O10,MeanMinAge05)))</f>
        <v/>
      </c>
      <c r="P79" s="87">
        <f>IF(OR(('03_Сеть'!P27-P25)=0,5&lt;=КаникулыРоялти),0,('03_Сеть'!P27-P25)*IF(РоялтиПоГруппам="Да",MeanMinAge05+P10*SUMIF(ThresholdAge05,"&lt;"&amp;P10,WeightedRevAge05)-SUMIF(ThresholdAge05,"&lt;"&amp;P10,WeightedMinAge05),MAX(CapacityAge05*АбонементНовых*P10,MeanMinAge05)))</f>
        <v/>
      </c>
      <c r="Q79" s="87">
        <f>IF(OR(('03_Сеть'!Q27-Q25)=0,5&lt;=КаникулыРоялти),0,('03_Сеть'!Q27-Q25)*IF(РоялтиПоГруппам="Да",MeanMinAge05+Q10*SUMIF(ThresholdAge05,"&lt;"&amp;Q10,WeightedRevAge05)-SUMIF(ThresholdAge05,"&lt;"&amp;Q10,WeightedMinAge05),MAX(CapacityAge05*АбонементНовых*Q10,MeanMinAge05)))</f>
        <v/>
      </c>
      <c r="R79" s="87">
        <f>IF(OR(('03_Сеть'!R27-R25)=0,5&lt;=КаникулыРоялти),0,('03_Сеть'!R27-R25)*IF(РоялтиПоГруппам="Да",MeanMinAge05+R10*SUMIF(ThresholdAge05,"&lt;"&amp;R10,WeightedRevAge05)-SUMIF(ThresholdAge05,"&lt;"&amp;R10,WeightedMinAge05),MAX(CapacityAge05*АбонементНовых*R10,MeanMinAge05)))</f>
        <v/>
      </c>
      <c r="S79" s="87">
        <f>IF(OR(('03_Сеть'!S27-S25)=0,5&lt;=КаникулыРоялти),0,('03_Сеть'!S27-S25)*IF(РоялтиПоГруппам="Да",MeanMinAge05+S10*SUMIF(ThresholdAge05,"&lt;"&amp;S10,WeightedRevAge05)-SUMIF(ThresholdAge05,"&lt;"&amp;S10,WeightedMinAge05),MAX(CapacityAge05*АбонементНовых*S10,MeanMinAge05)))</f>
        <v/>
      </c>
      <c r="T79" s="87">
        <f>IF(OR(('03_Сеть'!T27-T25)=0,5&lt;=КаникулыРоялти),0,('03_Сеть'!T27-T25)*IF(РоялтиПоГруппам="Да",MeanMinAge05+T10*SUMIF(ThresholdAge05,"&lt;"&amp;T10,WeightedRevAge05)-SUMIF(ThresholdAge05,"&lt;"&amp;T10,WeightedMinAge05),MAX(CapacityAge05*АбонементНовых*T10,MeanMinAge05)))</f>
        <v/>
      </c>
      <c r="U79" s="87">
        <f>IF(OR(('03_Сеть'!U27-U25)=0,5&lt;=КаникулыРоялти),0,('03_Сеть'!U27-U25)*IF(РоялтиПоГруппам="Да",MeanMinAge05+U10*SUMIF(ThresholdAge05,"&lt;"&amp;U10,WeightedRevAge05)-SUMIF(ThresholdAge05,"&lt;"&amp;U10,WeightedMinAge05),MAX(CapacityAge05*АбонементНовых*U10,MeanMinAge05)))</f>
        <v/>
      </c>
      <c r="V79" s="87">
        <f>IF(OR(('03_Сеть'!V27-V25)=0,5&lt;=КаникулыРоялти),0,('03_Сеть'!V27-V25)*IF(РоялтиПоГруппам="Да",MeanMinAge05+V10*SUMIF(ThresholdAge05,"&lt;"&amp;V10,WeightedRevAge05)-SUMIF(ThresholdAge05,"&lt;"&amp;V10,WeightedMinAge05),MAX(CapacityAge05*АбонементНовых*V10,MeanMinAge05)))</f>
        <v/>
      </c>
      <c r="W79" s="87">
        <f>IF(OR(('03_Сеть'!W27-W25)=0,5&lt;=КаникулыРоялти),0,('03_Сеть'!W27-W25)*IF(РоялтиПоГруппам="Да",MeanMinAge05+W10*SUMIF(ThresholdAge05,"&lt;"&amp;W10,WeightedRevAge05)-SUMIF(ThresholdAge05,"&lt;"&amp;W10,WeightedMinAge05),MAX(CapacityAge05*АбонементНовых*W10,MeanMinAge05)))</f>
        <v/>
      </c>
      <c r="X79" s="87">
        <f>IF(OR(('03_Сеть'!X27-X25)=0,5&lt;=КаникулыРоялти),0,('03_Сеть'!X27-X25)*IF(РоялтиПоГруппам="Да",MeanMinAge05+X10*SUMIF(ThresholdAge05,"&lt;"&amp;X10,WeightedRevAge05)-SUMIF(ThresholdAge05,"&lt;"&amp;X10,WeightedMinAge05),MAX(CapacityAge05*АбонементНовых*X10,MeanMinAge05)))</f>
        <v/>
      </c>
      <c r="Y79" s="87">
        <f>IF(OR(('03_Сеть'!Y27-Y25)=0,5&lt;=КаникулыРоялти),0,('03_Сеть'!Y27-Y25)*IF(РоялтиПоГруппам="Да",MeanMinAge05+Y10*SUMIF(ThresholdAge05,"&lt;"&amp;Y10,WeightedRevAge05)-SUMIF(ThresholdAge05,"&lt;"&amp;Y10,WeightedMinAge05),MAX(CapacityAge05*АбонементНовых*Y10,MeanMinAge05)))</f>
        <v/>
      </c>
      <c r="Z79" s="87">
        <f>IF(OR(('03_Сеть'!Z27-Z25)=0,5&lt;=КаникулыРоялти),0,('03_Сеть'!Z27-Z25)*IF(РоялтиПоГруппам="Да",MeanMinAge05+Z10*SUMIF(ThresholdAge05,"&lt;"&amp;Z10,WeightedRevAge05)-SUMIF(ThresholdAge05,"&lt;"&amp;Z10,WeightedMinAge05),MAX(CapacityAge05*АбонементНовых*Z10,MeanMinAge05)))</f>
        <v/>
      </c>
      <c r="AA79" s="87">
        <f>IF(OR(('03_Сеть'!AA27-AA25)=0,5&lt;=КаникулыРоялти),0,('03_Сеть'!AA27-AA25)*IF(РоялтиПоГруппам="Да",MeanMinAge05+AA10*SUMIF(ThresholdAge05,"&lt;"&amp;AA10,WeightedRevAge05)-SUMIF(ThresholdAge05,"&lt;"&amp;AA10,WeightedMinAge05),MAX(CapacityAge05*АбонементНовых*AA10,MeanMinAge05)))</f>
        <v/>
      </c>
      <c r="AB79" s="87">
        <f>IF(OR(('03_Сеть'!AB27-AB25)=0,5&lt;=КаникулыРоялти),0,('03_Сеть'!AB27-AB25)*IF(РоялтиПоГруппам="Да",MeanMinAge05+AB10*SUMIF(ThresholdAge05,"&lt;"&amp;AB10,WeightedRevAge05)-SUMIF(ThresholdAge05,"&lt;"&amp;AB10,WeightedMinAge05),MAX(CapacityAge05*АбонементНовых*AB10,MeanMinAge05)))</f>
        <v/>
      </c>
      <c r="AC79" s="87">
        <f>IF(OR(('03_Сеть'!AC27-AC25)=0,5&lt;=КаникулыРоялти),0,('03_Сеть'!AC27-AC25)*IF(РоялтиПоГруппам="Да",MeanMinAge05+AC10*SUMIF(ThresholdAge05,"&lt;"&amp;AC10,WeightedRevAge05)-SUMIF(ThresholdAge05,"&lt;"&amp;AC10,WeightedMinAge05),MAX(CapacityAge05*АбонементНовых*AC10,MeanMinAge05)))</f>
        <v/>
      </c>
      <c r="AD79" s="87">
        <f>IF(OR(('03_Сеть'!AD27-AD25)=0,5&lt;=КаникулыРоялти),0,('03_Сеть'!AD27-AD25)*IF(РоялтиПоГруппам="Да",MeanMinAge05+AD10*SUMIF(ThresholdAge05,"&lt;"&amp;AD10,WeightedRevAge05)-SUMIF(ThresholdAge05,"&lt;"&amp;AD10,WeightedMinAge05),MAX(CapacityAge05*АбонементНовых*AD10,MeanMinAge05)))</f>
        <v/>
      </c>
      <c r="AE79" s="87">
        <f>IF(OR(('03_Сеть'!AE27-AE25)=0,5&lt;=КаникулыРоялти),0,('03_Сеть'!AE27-AE25)*IF(РоялтиПоГруппам="Да",MeanMinAge05+AE10*SUMIF(ThresholdAge05,"&lt;"&amp;AE10,WeightedRevAge05)-SUMIF(ThresholdAge05,"&lt;"&amp;AE10,WeightedMinAge05),MAX(CapacityAge05*АбонементНовых*AE10,MeanMinAge05)))</f>
        <v/>
      </c>
      <c r="AF79" s="87">
        <f>IF(OR(('03_Сеть'!AF27-AF25)=0,5&lt;=КаникулыРоялти),0,('03_Сеть'!AF27-AF25)*IF(РоялтиПоГруппам="Да",MeanMinAge05+AF10*SUMIF(ThresholdAge05,"&lt;"&amp;AF10,WeightedRevAge05)-SUMIF(ThresholdAge05,"&lt;"&amp;AF10,WeightedMinAge05),MAX(CapacityAge05*АбонементНовых*AF10,MeanMinAge05)))</f>
        <v/>
      </c>
      <c r="AG79" s="87">
        <f>IF(OR(('03_Сеть'!AG27-AG25)=0,5&lt;=КаникулыРоялти),0,('03_Сеть'!AG27-AG25)*IF(РоялтиПоГруппам="Да",MeanMinAge05+AG10*SUMIF(ThresholdAge05,"&lt;"&amp;AG10,WeightedRevAge05)-SUMIF(ThresholdAge05,"&lt;"&amp;AG10,WeightedMinAge05),MAX(CapacityAge05*АбонементНовых*AG10,MeanMinAge05)))</f>
        <v/>
      </c>
      <c r="AH79" s="87">
        <f>IF(OR(('03_Сеть'!AH27-AH25)=0,5&lt;=КаникулыРоялти),0,('03_Сеть'!AH27-AH25)*IF(РоялтиПоГруппам="Да",MeanMinAge05+AH10*SUMIF(ThresholdAge05,"&lt;"&amp;AH10,WeightedRevAge05)-SUMIF(ThresholdAge05,"&lt;"&amp;AH10,WeightedMinAge05),MAX(CapacityAge05*АбонементНовых*AH10,MeanMinAge05)))</f>
        <v/>
      </c>
      <c r="AI79" s="87">
        <f>IF(OR(('03_Сеть'!AI27-AI25)=0,5&lt;=КаникулыРоялти),0,('03_Сеть'!AI27-AI25)*IF(РоялтиПоГруппам="Да",MeanMinAge05+AI10*SUMIF(ThresholdAge05,"&lt;"&amp;AI10,WeightedRevAge05)-SUMIF(ThresholdAge05,"&lt;"&amp;AI10,WeightedMinAge05),MAX(CapacityAge05*АбонементНовых*AI10,MeanMinAge05)))</f>
        <v/>
      </c>
      <c r="AJ79" s="87">
        <f>IF(OR(('03_Сеть'!AJ27-AJ25)=0,5&lt;=КаникулыРоялти),0,('03_Сеть'!AJ27-AJ25)*IF(РоялтиПоГруппам="Да",MeanMinAge05+AJ10*SUMIF(ThresholdAge05,"&lt;"&amp;AJ10,WeightedRevAge05)-SUMIF(ThresholdAge05,"&lt;"&amp;AJ10,WeightedMinAge05),MAX(CapacityAge05*АбонементНовых*AJ10,MeanMinAge05)))</f>
        <v/>
      </c>
      <c r="AK79" s="87">
        <f>IF(OR(('03_Сеть'!AK27-AK25)=0,5&lt;=КаникулыРоялти),0,('03_Сеть'!AK27-AK25)*IF(РоялтиПоГруппам="Да",MeanMinAge05+AK10*SUMIF(ThresholdAge05,"&lt;"&amp;AK10,WeightedRevAge05)-SUMIF(ThresholdAge05,"&lt;"&amp;AK10,WeightedMinAge05),MAX(CapacityAge05*АбонементНовых*AK10,MeanMinAge05)))</f>
        <v/>
      </c>
      <c r="AL79" s="87">
        <f>IF(OR(('03_Сеть'!AL27-AL25)=0,5&lt;=КаникулыРоялти),0,('03_Сеть'!AL27-AL25)*IF(РоялтиПоГруппам="Да",MeanMinAge05+AL10*SUMIF(ThresholdAge05,"&lt;"&amp;AL10,WeightedRevAge05)-SUMIF(ThresholdAge05,"&lt;"&amp;AL10,WeightedMinAge05),MAX(CapacityAge05*АбонементНовых*AL10,MeanMinAge05)))</f>
        <v/>
      </c>
      <c r="AM79" s="87">
        <f>IF(OR(('03_Сеть'!AM27-AM25)=0,5&lt;=КаникулыРоялти),0,('03_Сеть'!AM27-AM25)*IF(РоялтиПоГруппам="Да",MeanMinAge05+AM10*SUMIF(ThresholdAge05,"&lt;"&amp;AM10,WeightedRevAge05)-SUMIF(ThresholdAge05,"&lt;"&amp;AM10,WeightedMinAge05),MAX(CapacityAge05*АбонементНовых*AM10,MeanMinAge05)))</f>
        <v/>
      </c>
      <c r="AN79" s="87">
        <f>IF(OR(('03_Сеть'!AN27-AN25)=0,5&lt;=КаникулыРоялти),0,('03_Сеть'!AN27-AN25)*IF(РоялтиПоГруппам="Да",MeanMinAge05+AN10*SUMIF(ThresholdAge05,"&lt;"&amp;AN10,WeightedRevAge05)-SUMIF(ThresholdAge05,"&lt;"&amp;AN10,WeightedMinAge05),MAX(CapacityAge05*АбонементНовых*AN10,MeanMinAge05)))</f>
        <v/>
      </c>
      <c r="AO79" s="87">
        <f>IF(OR(('03_Сеть'!AO27-AO25)=0,5&lt;=КаникулыРоялти),0,('03_Сеть'!AO27-AO25)*IF(РоялтиПоГруппам="Да",MeanMinAge05+AO10*SUMIF(ThresholdAge05,"&lt;"&amp;AO10,WeightedRevAge05)-SUMIF(ThresholdAge05,"&lt;"&amp;AO10,WeightedMinAge05),MAX(CapacityAge05*АбонементНовых*AO10,MeanMinAge05)))</f>
        <v/>
      </c>
      <c r="AP79" s="87">
        <f>IF(OR(('03_Сеть'!AP27-AP25)=0,5&lt;=КаникулыРоялти),0,('03_Сеть'!AP27-AP25)*IF(РоялтиПоГруппам="Да",MeanMinAge05+AP10*SUMIF(ThresholdAge05,"&lt;"&amp;AP10,WeightedRevAge05)-SUMIF(ThresholdAge05,"&lt;"&amp;AP10,WeightedMinAge05),MAX(CapacityAge05*АбонементНовых*AP10,MeanMinAge05)))</f>
        <v/>
      </c>
      <c r="AQ79" s="87">
        <f>IF(OR(('03_Сеть'!AQ27-AQ25)=0,5&lt;=КаникулыРоялти),0,('03_Сеть'!AQ27-AQ25)*IF(РоялтиПоГруппам="Да",MeanMinAge05+AQ10*SUMIF(ThresholdAge05,"&lt;"&amp;AQ10,WeightedRevAge05)-SUMIF(ThresholdAge05,"&lt;"&amp;AQ10,WeightedMinAge05),MAX(CapacityAge05*АбонементНовых*AQ10,MeanMinAge05)))</f>
        <v/>
      </c>
      <c r="AR79" s="87">
        <f>IF(OR(('03_Сеть'!AR27-AR25)=0,5&lt;=КаникулыРоялти),0,('03_Сеть'!AR27-AR25)*IF(РоялтиПоГруппам="Да",MeanMinAge05+AR10*SUMIF(ThresholdAge05,"&lt;"&amp;AR10,WeightedRevAge05)-SUMIF(ThresholdAge05,"&lt;"&amp;AR10,WeightedMinAge05),MAX(CapacityAge05*АбонементНовых*AR10,MeanMinAge05)))</f>
        <v/>
      </c>
      <c r="AS79" s="87">
        <f>IF(OR(('03_Сеть'!AS27-AS25)=0,5&lt;=КаникулыРоялти),0,('03_Сеть'!AS27-AS25)*IF(РоялтиПоГруппам="Да",MeanMinAge05+AS10*SUMIF(ThresholdAge05,"&lt;"&amp;AS10,WeightedRevAge05)-SUMIF(ThresholdAge05,"&lt;"&amp;AS10,WeightedMinAge05),MAX(CapacityAge05*АбонементНовых*AS10,MeanMinAge05)))</f>
        <v/>
      </c>
      <c r="AT79" s="87">
        <f>IF(OR(('03_Сеть'!AT27-AT25)=0,5&lt;=КаникулыРоялти),0,('03_Сеть'!AT27-AT25)*IF(РоялтиПоГруппам="Да",MeanMinAge05+AT10*SUMIF(ThresholdAge05,"&lt;"&amp;AT10,WeightedRevAge05)-SUMIF(ThresholdAge05,"&lt;"&amp;AT10,WeightedMinAge05),MAX(CapacityAge05*АбонементНовых*AT10,MeanMinAge05)))</f>
        <v/>
      </c>
      <c r="AU79" s="87">
        <f>IF(OR(('03_Сеть'!AU27-AU25)=0,5&lt;=КаникулыРоялти),0,('03_Сеть'!AU27-AU25)*IF(РоялтиПоГруппам="Да",MeanMinAge05+AU10*SUMIF(ThresholdAge05,"&lt;"&amp;AU10,WeightedRevAge05)-SUMIF(ThresholdAge05,"&lt;"&amp;AU10,WeightedMinAge05),MAX(CapacityAge05*АбонементНовых*AU10,MeanMinAge05)))</f>
        <v/>
      </c>
      <c r="AV79" s="87">
        <f>IF(OR(('03_Сеть'!AV27-AV25)=0,5&lt;=КаникулыРоялти),0,('03_Сеть'!AV27-AV25)*IF(РоялтиПоГруппам="Да",MeanMinAge05+AV10*SUMIF(ThresholdAge05,"&lt;"&amp;AV10,WeightedRevAge05)-SUMIF(ThresholdAge05,"&lt;"&amp;AV10,WeightedMinAge05),MAX(CapacityAge05*АбонементНовых*AV10,MeanMinAge05)))</f>
        <v/>
      </c>
      <c r="AW79" s="87">
        <f>IF(OR(('03_Сеть'!AW27-AW25)=0,5&lt;=КаникулыРоялти),0,('03_Сеть'!AW27-AW25)*IF(РоялтиПоГруппам="Да",MeanMinAge05+AW10*SUMIF(ThresholdAge05,"&lt;"&amp;AW10,WeightedRevAge05)-SUMIF(ThresholdAge05,"&lt;"&amp;AW10,WeightedMinAge05),MAX(CapacityAge05*АбонементНовых*AW10,MeanMinAge05)))</f>
        <v/>
      </c>
      <c r="AX79" s="87">
        <f>IF(OR(('03_Сеть'!AX27-AX25)=0,5&lt;=КаникулыРоялти),0,('03_Сеть'!AX27-AX25)*IF(РоялтиПоГруппам="Да",MeanMinAge05+AX10*SUMIF(ThresholdAge05,"&lt;"&amp;AX10,WeightedRevAge05)-SUMIF(ThresholdAge05,"&lt;"&amp;AX10,WeightedMinAge05),MAX(CapacityAge05*АбонементНовых*AX10,MeanMinAge05)))</f>
        <v/>
      </c>
      <c r="AY79" s="87">
        <f>IF(OR(('03_Сеть'!AY27-AY25)=0,5&lt;=КаникулыРоялти),0,('03_Сеть'!AY27-AY25)*IF(РоялтиПоГруппам="Да",MeanMinAge05+AY10*SUMIF(ThresholdAge05,"&lt;"&amp;AY10,WeightedRevAge05)-SUMIF(ThresholdAge05,"&lt;"&amp;AY10,WeightedMinAge05),MAX(CapacityAge05*АбонементНовых*AY10,MeanMinAge05)))</f>
        <v/>
      </c>
      <c r="AZ79" s="87">
        <f>IF(OR(('03_Сеть'!AZ27-AZ25)=0,5&lt;=КаникулыРоялти),0,('03_Сеть'!AZ27-AZ25)*IF(РоялтиПоГруппам="Да",MeanMinAge05+AZ10*SUMIF(ThresholdAge05,"&lt;"&amp;AZ10,WeightedRevAge05)-SUMIF(ThresholdAge05,"&lt;"&amp;AZ10,WeightedMinAge05),MAX(CapacityAge05*АбонементНовых*AZ10,MeanMinAge05)))</f>
        <v/>
      </c>
      <c r="BA79" s="87">
        <f>IF(OR(('03_Сеть'!BA27-BA25)=0,5&lt;=КаникулыРоялти),0,('03_Сеть'!BA27-BA25)*IF(РоялтиПоГруппам="Да",MeanMinAge05+BA10*SUMIF(ThresholdAge05,"&lt;"&amp;BA10,WeightedRevAge05)-SUMIF(ThresholdAge05,"&lt;"&amp;BA10,WeightedMinAge05),MAX(CapacityAge05*АбонементНовых*BA10,MeanMinAge05)))</f>
        <v/>
      </c>
      <c r="BB79" s="87">
        <f>IF(OR(('03_Сеть'!BB27-BB25)=0,5&lt;=КаникулыРоялти),0,('03_Сеть'!BB27-BB25)*IF(РоялтиПоГруппам="Да",MeanMinAge05+BB10*SUMIF(ThresholdAge05,"&lt;"&amp;BB10,WeightedRevAge05)-SUMIF(ThresholdAge05,"&lt;"&amp;BB10,WeightedMinAge05),MAX(CapacityAge05*АбонементНовых*BB10,MeanMinAge05)))</f>
        <v/>
      </c>
      <c r="BC79" s="87">
        <f>IF(OR(('03_Сеть'!BC27-BC25)=0,5&lt;=КаникулыРоялти),0,('03_Сеть'!BC27-BC25)*IF(РоялтиПоГруппам="Да",MeanMinAge05+BC10*SUMIF(ThresholdAge05,"&lt;"&amp;BC10,WeightedRevAge05)-SUMIF(ThresholdAge05,"&lt;"&amp;BC10,WeightedMinAge05),MAX(CapacityAge05*АбонементНовых*BC10,MeanMinAge05)))</f>
        <v/>
      </c>
      <c r="BD79" s="87">
        <f>IF(OR(('03_Сеть'!BD27-BD25)=0,5&lt;=КаникулыРоялти),0,('03_Сеть'!BD27-BD25)*IF(РоялтиПоГруппам="Да",MeanMinAge05+BD10*SUMIF(ThresholdAge05,"&lt;"&amp;BD10,WeightedRevAge05)-SUMIF(ThresholdAge05,"&lt;"&amp;BD10,WeightedMinAge05),MAX(CapacityAge05*АбонементНовых*BD10,MeanMinAge05)))</f>
        <v/>
      </c>
      <c r="BE79" s="87">
        <f>IF(OR(('03_Сеть'!BE27-BE25)=0,5&lt;=КаникулыРоялти),0,('03_Сеть'!BE27-BE25)*IF(РоялтиПоГруппам="Да",MeanMinAge05+BE10*SUMIF(ThresholdAge05,"&lt;"&amp;BE10,WeightedRevAge05)-SUMIF(ThresholdAge05,"&lt;"&amp;BE10,WeightedMinAge05),MAX(CapacityAge05*АбонементНовых*BE10,MeanMinAge05)))</f>
        <v/>
      </c>
      <c r="BF79" s="87">
        <f>IF(OR(('03_Сеть'!BF27-BF25)=0,5&lt;=КаникулыРоялти),0,('03_Сеть'!BF27-BF25)*IF(РоялтиПоГруппам="Да",MeanMinAge05+BF10*SUMIF(ThresholdAge05,"&lt;"&amp;BF10,WeightedRevAge05)-SUMIF(ThresholdAge05,"&lt;"&amp;BF10,WeightedMinAge05),MAX(CapacityAge05*АбонементНовых*BF10,MeanMinAge05)))</f>
        <v/>
      </c>
      <c r="BG79" s="87">
        <f>IF(OR(('03_Сеть'!BG27-BG25)=0,5&lt;=КаникулыРоялти),0,('03_Сеть'!BG27-BG25)*IF(РоялтиПоГруппам="Да",MeanMinAge05+BG10*SUMIF(ThresholdAge05,"&lt;"&amp;BG10,WeightedRevAge05)-SUMIF(ThresholdAge05,"&lt;"&amp;BG10,WeightedMinAge05),MAX(CapacityAge05*АбонементНовых*BG10,MeanMinAge05)))</f>
        <v/>
      </c>
      <c r="BH79" s="87">
        <f>IF(OR(('03_Сеть'!BH27-BH25)=0,5&lt;=КаникулыРоялти),0,('03_Сеть'!BH27-BH25)*IF(РоялтиПоГруппам="Да",MeanMinAge05+BH10*SUMIF(ThresholdAge05,"&lt;"&amp;BH10,WeightedRevAge05)-SUMIF(ThresholdAge05,"&lt;"&amp;BH10,WeightedMinAge05),MAX(CapacityAge05*АбонементНовых*BH10,MeanMinAge05)))</f>
        <v/>
      </c>
      <c r="BI79" s="87">
        <f>IF(OR(('03_Сеть'!BI27-BI25)=0,5&lt;=КаникулыРоялти),0,('03_Сеть'!BI27-BI25)*IF(РоялтиПоГруппам="Да",MeanMinAge05+BI10*SUMIF(ThresholdAge05,"&lt;"&amp;BI10,WeightedRevAge05)-SUMIF(ThresholdAge05,"&lt;"&amp;BI10,WeightedMinAge05),MAX(CapacityAge05*АбонементНовых*BI10,MeanMinAge05)))</f>
        <v/>
      </c>
      <c r="BJ79" s="87">
        <f>IF(OR(('03_Сеть'!BJ27-BJ25)=0,5&lt;=КаникулыРоялти),0,('03_Сеть'!BJ27-BJ25)*IF(РоялтиПоГруппам="Да",MeanMinAge05+BJ10*SUMIF(ThresholdAge05,"&lt;"&amp;BJ10,WeightedRevAge05)-SUMIF(ThresholdAge05,"&lt;"&amp;BJ10,WeightedMinAge05),MAX(CapacityAge05*АбонементНовых*BJ10,MeanMinAge05)))</f>
        <v/>
      </c>
      <c r="BK79" s="87">
        <f>IF(OR(('03_Сеть'!BK27-BK25)=0,5&lt;=КаникулыРоялти),0,('03_Сеть'!BK27-BK25)*IF(РоялтиПоГруппам="Да",MeanMinAge05+BK10*SUMIF(ThresholdAge05,"&lt;"&amp;BK10,WeightedRevAge05)-SUMIF(ThresholdAge05,"&lt;"&amp;BK10,WeightedMinAge05),MAX(CapacityAge05*АбонементНовых*BK10,MeanMinAge05)))</f>
        <v/>
      </c>
      <c r="BL79" s="87">
        <f>IF(OR(('03_Сеть'!BL27-BL25)=0,5&lt;=КаникулыРоялти),0,('03_Сеть'!BL27-BL25)*IF(РоялтиПоГруппам="Да",MeanMinAge05+BL10*SUMIF(ThresholdAge05,"&lt;"&amp;BL10,WeightedRevAge05)-SUMIF(ThresholdAge05,"&lt;"&amp;BL10,WeightedMinAge05),MAX(CapacityAge05*АбонементНовых*BL10,MeanMinAge05)))</f>
        <v/>
      </c>
      <c r="BM79" s="87">
        <f>IF(OR(('03_Сеть'!BM27-BM25)=0,5&lt;=КаникулыРоялти),0,('03_Сеть'!BM27-BM25)*IF(РоялтиПоГруппам="Да",MeanMinAge05+BM10*SUMIF(ThresholdAge05,"&lt;"&amp;BM10,WeightedRevAge05)-SUMIF(ThresholdAge05,"&lt;"&amp;BM10,WeightedMinAge05),MAX(CapacityAge05*АбонементНовых*BM10,MeanMinAge05)))</f>
        <v/>
      </c>
      <c r="BN79" s="87">
        <f>IF(OR(('03_Сеть'!BN27-BN25)=0,5&lt;=КаникулыРоялти),0,('03_Сеть'!BN27-BN25)*IF(РоялтиПоГруппам="Да",MeanMinAge05+BN10*SUMIF(ThresholdAge05,"&lt;"&amp;BN10,WeightedRevAge05)-SUMIF(ThresholdAge05,"&lt;"&amp;BN10,WeightedMinAge05),MAX(CapacityAge05*АбонементНовых*BN10,MeanMinAge05)))</f>
        <v/>
      </c>
      <c r="BO79" s="87">
        <f>IF(OR(('03_Сеть'!BO27-BO25)=0,5&lt;=КаникулыРоялти),0,('03_Сеть'!BO27-BO25)*IF(РоялтиПоГруппам="Да",MeanMinAge05+BO10*SUMIF(ThresholdAge05,"&lt;"&amp;BO10,WeightedRevAge05)-SUMIF(ThresholdAge05,"&lt;"&amp;BO10,WeightedMinAge05),MAX(CapacityAge05*АбонементНовых*BO10,MeanMinAge05)))</f>
        <v/>
      </c>
      <c r="BP79" s="87">
        <f>IF(OR(('03_Сеть'!BP27-BP25)=0,5&lt;=КаникулыРоялти),0,('03_Сеть'!BP27-BP25)*IF(РоялтиПоГруппам="Да",MeanMinAge05+BP10*SUMIF(ThresholdAge05,"&lt;"&amp;BP10,WeightedRevAge05)-SUMIF(ThresholdAge05,"&lt;"&amp;BP10,WeightedMinAge05),MAX(CapacityAge05*АбонементНовых*BP10,MeanMinAge05)))</f>
        <v/>
      </c>
      <c r="BQ79" s="87">
        <f>IF(OR(('03_Сеть'!BQ27-BQ25)=0,5&lt;=КаникулыРоялти),0,('03_Сеть'!BQ27-BQ25)*IF(РоялтиПоГруппам="Да",MeanMinAge05+BQ10*SUMIF(ThresholdAge05,"&lt;"&amp;BQ10,WeightedRevAge05)-SUMIF(ThresholdAge05,"&lt;"&amp;BQ10,WeightedMinAge05),MAX(CapacityAge05*АбонементНовых*BQ10,MeanMinAge05)))</f>
        <v/>
      </c>
      <c r="BR79" s="87">
        <f>IF(OR(('03_Сеть'!BR27-BR25)=0,5&lt;=КаникулыРоялти),0,('03_Сеть'!BR27-BR25)*IF(РоялтиПоГруппам="Да",MeanMinAge05+BR10*SUMIF(ThresholdAge05,"&lt;"&amp;BR10,WeightedRevAge05)-SUMIF(ThresholdAge05,"&lt;"&amp;BR10,WeightedMinAge05),MAX(CapacityAge05*АбонементНовых*BR10,MeanMinAge05)))</f>
        <v/>
      </c>
      <c r="BS79" s="87">
        <f>IF(OR(('03_Сеть'!BS27-BS25)=0,5&lt;=КаникулыРоялти),0,('03_Сеть'!BS27-BS25)*IF(РоялтиПоГруппам="Да",MeanMinAge05+BS10*SUMIF(ThresholdAge05,"&lt;"&amp;BS10,WeightedRevAge05)-SUMIF(ThresholdAge05,"&lt;"&amp;BS10,WeightedMinAge05),MAX(CapacityAge05*АбонементНовых*BS10,MeanMinAge05)))</f>
        <v/>
      </c>
      <c r="BT79" s="87">
        <f>IF(OR(('03_Сеть'!BT27-BT25)=0,5&lt;=КаникулыРоялти),0,('03_Сеть'!BT27-BT25)*IF(РоялтиПоГруппам="Да",MeanMinAge05+BT10*SUMIF(ThresholdAge05,"&lt;"&amp;BT10,WeightedRevAge05)-SUMIF(ThresholdAge05,"&lt;"&amp;BT10,WeightedMinAge05),MAX(CapacityAge05*АбонементНовых*BT10,MeanMinAge05)))</f>
        <v/>
      </c>
      <c r="BU79" s="87">
        <f>IF(OR(('03_Сеть'!BU27-BU25)=0,5&lt;=КаникулыРоялти),0,('03_Сеть'!BU27-BU25)*IF(РоялтиПоГруппам="Да",MeanMinAge05+BU10*SUMIF(ThresholdAge05,"&lt;"&amp;BU10,WeightedRevAge05)-SUMIF(ThresholdAge05,"&lt;"&amp;BU10,WeightedMinAge05),MAX(CapacityAge05*АбонементНовых*BU10,MeanMinAge05)))</f>
        <v/>
      </c>
      <c r="BV79" s="87">
        <f>IF(OR(('03_Сеть'!BV27-BV25)=0,5&lt;=КаникулыРоялти),0,('03_Сеть'!BV27-BV25)*IF(РоялтиПоГруппам="Да",MeanMinAge05+BV10*SUMIF(ThresholdAge05,"&lt;"&amp;BV10,WeightedRevAge05)-SUMIF(ThresholdAge05,"&lt;"&amp;BV10,WeightedMinAge05),MAX(CapacityAge05*АбонементНовых*BV10,MeanMinAge05)))</f>
        <v/>
      </c>
      <c r="BW79" s="87">
        <f>IF(OR(('03_Сеть'!BW27-BW25)=0,5&lt;=КаникулыРоялти),0,('03_Сеть'!BW27-BW25)*IF(РоялтиПоГруппам="Да",MeanMinAge05+BW10*SUMIF(ThresholdAge05,"&lt;"&amp;BW10,WeightedRevAge05)-SUMIF(ThresholdAge05,"&lt;"&amp;BW10,WeightedMinAge05),MAX(CapacityAge05*АбонементНовых*BW10,MeanMinAge05)))</f>
        <v/>
      </c>
      <c r="BX79" s="87">
        <f>IF(OR(('03_Сеть'!BX27-BX25)=0,5&lt;=КаникулыРоялти),0,('03_Сеть'!BX27-BX25)*IF(РоялтиПоГруппам="Да",MeanMinAge05+BX10*SUMIF(ThresholdAge05,"&lt;"&amp;BX10,WeightedRevAge05)-SUMIF(ThresholdAge05,"&lt;"&amp;BX10,WeightedMinAge05),MAX(CapacityAge05*АбонементНовых*BX10,MeanMinAge05)))</f>
        <v/>
      </c>
      <c r="BY79" s="87">
        <f>IF(OR(('03_Сеть'!BY27-BY25)=0,5&lt;=КаникулыРоялти),0,('03_Сеть'!BY27-BY25)*IF(РоялтиПоГруппам="Да",MeanMinAge05+BY10*SUMIF(ThresholdAge05,"&lt;"&amp;BY10,WeightedRevAge05)-SUMIF(ThresholdAge05,"&lt;"&amp;BY10,WeightedMinAge05),MAX(CapacityAge05*АбонементНовых*BY10,MeanMinAge05)))</f>
        <v/>
      </c>
    </row>
    <row r="80" ht="15.75" customHeight="1" s="194">
      <c r="B80" s="56" t="inlineStr">
        <is>
          <t>6 мес.</t>
        </is>
      </c>
      <c r="C80" s="56" t="inlineStr">
        <is>
          <t>₽</t>
        </is>
      </c>
      <c r="D80" s="57" t="n"/>
      <c r="E80" s="85">
        <f>SUM(L80:W80)</f>
        <v/>
      </c>
      <c r="F80" s="85">
        <f>SUM(X80:AI80)</f>
        <v/>
      </c>
      <c r="G80" s="85">
        <f>SUM(AJ80:AU80)</f>
        <v/>
      </c>
      <c r="H80" s="85">
        <f>SUM(AV80:BG80)</f>
        <v/>
      </c>
      <c r="I80" s="85">
        <f>SUM(BH80:BS80)</f>
        <v/>
      </c>
      <c r="J80" s="86">
        <f>SUM(L80:BS80)</f>
        <v/>
      </c>
      <c r="L80" s="87">
        <f>IF(OR(('03_Сеть'!L28-L26)=0,6&lt;=КаникулыРоялти),0,('03_Сеть'!L28-L26)*IF(РоялтиПоГруппам="Да",MeanMinAge06+L10*SUMIF(ThresholdAge06,"&lt;"&amp;L10,WeightedRevAge06)-SUMIF(ThresholdAge06,"&lt;"&amp;L10,WeightedMinAge06),MAX(CapacityAge06*АбонементНовых*L10,MeanMinAge06)))</f>
        <v/>
      </c>
      <c r="M80" s="87">
        <f>IF(OR(('03_Сеть'!M28-M26)=0,6&lt;=КаникулыРоялти),0,('03_Сеть'!M28-M26)*IF(РоялтиПоГруппам="Да",MeanMinAge06+M10*SUMIF(ThresholdAge06,"&lt;"&amp;M10,WeightedRevAge06)-SUMIF(ThresholdAge06,"&lt;"&amp;M10,WeightedMinAge06),MAX(CapacityAge06*АбонементНовых*M10,MeanMinAge06)))</f>
        <v/>
      </c>
      <c r="N80" s="87">
        <f>IF(OR(('03_Сеть'!N28-N26)=0,6&lt;=КаникулыРоялти),0,('03_Сеть'!N28-N26)*IF(РоялтиПоГруппам="Да",MeanMinAge06+N10*SUMIF(ThresholdAge06,"&lt;"&amp;N10,WeightedRevAge06)-SUMIF(ThresholdAge06,"&lt;"&amp;N10,WeightedMinAge06),MAX(CapacityAge06*АбонементНовых*N10,MeanMinAge06)))</f>
        <v/>
      </c>
      <c r="O80" s="87">
        <f>IF(OR(('03_Сеть'!O28-O26)=0,6&lt;=КаникулыРоялти),0,('03_Сеть'!O28-O26)*IF(РоялтиПоГруппам="Да",MeanMinAge06+O10*SUMIF(ThresholdAge06,"&lt;"&amp;O10,WeightedRevAge06)-SUMIF(ThresholdAge06,"&lt;"&amp;O10,WeightedMinAge06),MAX(CapacityAge06*АбонементНовых*O10,MeanMinAge06)))</f>
        <v/>
      </c>
      <c r="P80" s="87">
        <f>IF(OR(('03_Сеть'!P28-P26)=0,6&lt;=КаникулыРоялти),0,('03_Сеть'!P28-P26)*IF(РоялтиПоГруппам="Да",MeanMinAge06+P10*SUMIF(ThresholdAge06,"&lt;"&amp;P10,WeightedRevAge06)-SUMIF(ThresholdAge06,"&lt;"&amp;P10,WeightedMinAge06),MAX(CapacityAge06*АбонементНовых*P10,MeanMinAge06)))</f>
        <v/>
      </c>
      <c r="Q80" s="87">
        <f>IF(OR(('03_Сеть'!Q28-Q26)=0,6&lt;=КаникулыРоялти),0,('03_Сеть'!Q28-Q26)*IF(РоялтиПоГруппам="Да",MeanMinAge06+Q10*SUMIF(ThresholdAge06,"&lt;"&amp;Q10,WeightedRevAge06)-SUMIF(ThresholdAge06,"&lt;"&amp;Q10,WeightedMinAge06),MAX(CapacityAge06*АбонементНовых*Q10,MeanMinAge06)))</f>
        <v/>
      </c>
      <c r="R80" s="87">
        <f>IF(OR(('03_Сеть'!R28-R26)=0,6&lt;=КаникулыРоялти),0,('03_Сеть'!R28-R26)*IF(РоялтиПоГруппам="Да",MeanMinAge06+R10*SUMIF(ThresholdAge06,"&lt;"&amp;R10,WeightedRevAge06)-SUMIF(ThresholdAge06,"&lt;"&amp;R10,WeightedMinAge06),MAX(CapacityAge06*АбонементНовых*R10,MeanMinAge06)))</f>
        <v/>
      </c>
      <c r="S80" s="87">
        <f>IF(OR(('03_Сеть'!S28-S26)=0,6&lt;=КаникулыРоялти),0,('03_Сеть'!S28-S26)*IF(РоялтиПоГруппам="Да",MeanMinAge06+S10*SUMIF(ThresholdAge06,"&lt;"&amp;S10,WeightedRevAge06)-SUMIF(ThresholdAge06,"&lt;"&amp;S10,WeightedMinAge06),MAX(CapacityAge06*АбонементНовых*S10,MeanMinAge06)))</f>
        <v/>
      </c>
      <c r="T80" s="87">
        <f>IF(OR(('03_Сеть'!T28-T26)=0,6&lt;=КаникулыРоялти),0,('03_Сеть'!T28-T26)*IF(РоялтиПоГруппам="Да",MeanMinAge06+T10*SUMIF(ThresholdAge06,"&lt;"&amp;T10,WeightedRevAge06)-SUMIF(ThresholdAge06,"&lt;"&amp;T10,WeightedMinAge06),MAX(CapacityAge06*АбонементНовых*T10,MeanMinAge06)))</f>
        <v/>
      </c>
      <c r="U80" s="87">
        <f>IF(OR(('03_Сеть'!U28-U26)=0,6&lt;=КаникулыРоялти),0,('03_Сеть'!U28-U26)*IF(РоялтиПоГруппам="Да",MeanMinAge06+U10*SUMIF(ThresholdAge06,"&lt;"&amp;U10,WeightedRevAge06)-SUMIF(ThresholdAge06,"&lt;"&amp;U10,WeightedMinAge06),MAX(CapacityAge06*АбонементНовых*U10,MeanMinAge06)))</f>
        <v/>
      </c>
      <c r="V80" s="87">
        <f>IF(OR(('03_Сеть'!V28-V26)=0,6&lt;=КаникулыРоялти),0,('03_Сеть'!V28-V26)*IF(РоялтиПоГруппам="Да",MeanMinAge06+V10*SUMIF(ThresholdAge06,"&lt;"&amp;V10,WeightedRevAge06)-SUMIF(ThresholdAge06,"&lt;"&amp;V10,WeightedMinAge06),MAX(CapacityAge06*АбонементНовых*V10,MeanMinAge06)))</f>
        <v/>
      </c>
      <c r="W80" s="87">
        <f>IF(OR(('03_Сеть'!W28-W26)=0,6&lt;=КаникулыРоялти),0,('03_Сеть'!W28-W26)*IF(РоялтиПоГруппам="Да",MeanMinAge06+W10*SUMIF(ThresholdAge06,"&lt;"&amp;W10,WeightedRevAge06)-SUMIF(ThresholdAge06,"&lt;"&amp;W10,WeightedMinAge06),MAX(CapacityAge06*АбонементНовых*W10,MeanMinAge06)))</f>
        <v/>
      </c>
      <c r="X80" s="87">
        <f>IF(OR(('03_Сеть'!X28-X26)=0,6&lt;=КаникулыРоялти),0,('03_Сеть'!X28-X26)*IF(РоялтиПоГруппам="Да",MeanMinAge06+X10*SUMIF(ThresholdAge06,"&lt;"&amp;X10,WeightedRevAge06)-SUMIF(ThresholdAge06,"&lt;"&amp;X10,WeightedMinAge06),MAX(CapacityAge06*АбонементНовых*X10,MeanMinAge06)))</f>
        <v/>
      </c>
      <c r="Y80" s="87">
        <f>IF(OR(('03_Сеть'!Y28-Y26)=0,6&lt;=КаникулыРоялти),0,('03_Сеть'!Y28-Y26)*IF(РоялтиПоГруппам="Да",MeanMinAge06+Y10*SUMIF(ThresholdAge06,"&lt;"&amp;Y10,WeightedRevAge06)-SUMIF(ThresholdAge06,"&lt;"&amp;Y10,WeightedMinAge06),MAX(CapacityAge06*АбонементНовых*Y10,MeanMinAge06)))</f>
        <v/>
      </c>
      <c r="Z80" s="87">
        <f>IF(OR(('03_Сеть'!Z28-Z26)=0,6&lt;=КаникулыРоялти),0,('03_Сеть'!Z28-Z26)*IF(РоялтиПоГруппам="Да",MeanMinAge06+Z10*SUMIF(ThresholdAge06,"&lt;"&amp;Z10,WeightedRevAge06)-SUMIF(ThresholdAge06,"&lt;"&amp;Z10,WeightedMinAge06),MAX(CapacityAge06*АбонементНовых*Z10,MeanMinAge06)))</f>
        <v/>
      </c>
      <c r="AA80" s="87">
        <f>IF(OR(('03_Сеть'!AA28-AA26)=0,6&lt;=КаникулыРоялти),0,('03_Сеть'!AA28-AA26)*IF(РоялтиПоГруппам="Да",MeanMinAge06+AA10*SUMIF(ThresholdAge06,"&lt;"&amp;AA10,WeightedRevAge06)-SUMIF(ThresholdAge06,"&lt;"&amp;AA10,WeightedMinAge06),MAX(CapacityAge06*АбонементНовых*AA10,MeanMinAge06)))</f>
        <v/>
      </c>
      <c r="AB80" s="87">
        <f>IF(OR(('03_Сеть'!AB28-AB26)=0,6&lt;=КаникулыРоялти),0,('03_Сеть'!AB28-AB26)*IF(РоялтиПоГруппам="Да",MeanMinAge06+AB10*SUMIF(ThresholdAge06,"&lt;"&amp;AB10,WeightedRevAge06)-SUMIF(ThresholdAge06,"&lt;"&amp;AB10,WeightedMinAge06),MAX(CapacityAge06*АбонементНовых*AB10,MeanMinAge06)))</f>
        <v/>
      </c>
      <c r="AC80" s="87">
        <f>IF(OR(('03_Сеть'!AC28-AC26)=0,6&lt;=КаникулыРоялти),0,('03_Сеть'!AC28-AC26)*IF(РоялтиПоГруппам="Да",MeanMinAge06+AC10*SUMIF(ThresholdAge06,"&lt;"&amp;AC10,WeightedRevAge06)-SUMIF(ThresholdAge06,"&lt;"&amp;AC10,WeightedMinAge06),MAX(CapacityAge06*АбонементНовых*AC10,MeanMinAge06)))</f>
        <v/>
      </c>
      <c r="AD80" s="87">
        <f>IF(OR(('03_Сеть'!AD28-AD26)=0,6&lt;=КаникулыРоялти),0,('03_Сеть'!AD28-AD26)*IF(РоялтиПоГруппам="Да",MeanMinAge06+AD10*SUMIF(ThresholdAge06,"&lt;"&amp;AD10,WeightedRevAge06)-SUMIF(ThresholdAge06,"&lt;"&amp;AD10,WeightedMinAge06),MAX(CapacityAge06*АбонементНовых*AD10,MeanMinAge06)))</f>
        <v/>
      </c>
      <c r="AE80" s="87">
        <f>IF(OR(('03_Сеть'!AE28-AE26)=0,6&lt;=КаникулыРоялти),0,('03_Сеть'!AE28-AE26)*IF(РоялтиПоГруппам="Да",MeanMinAge06+AE10*SUMIF(ThresholdAge06,"&lt;"&amp;AE10,WeightedRevAge06)-SUMIF(ThresholdAge06,"&lt;"&amp;AE10,WeightedMinAge06),MAX(CapacityAge06*АбонементНовых*AE10,MeanMinAge06)))</f>
        <v/>
      </c>
      <c r="AF80" s="87">
        <f>IF(OR(('03_Сеть'!AF28-AF26)=0,6&lt;=КаникулыРоялти),0,('03_Сеть'!AF28-AF26)*IF(РоялтиПоГруппам="Да",MeanMinAge06+AF10*SUMIF(ThresholdAge06,"&lt;"&amp;AF10,WeightedRevAge06)-SUMIF(ThresholdAge06,"&lt;"&amp;AF10,WeightedMinAge06),MAX(CapacityAge06*АбонементНовых*AF10,MeanMinAge06)))</f>
        <v/>
      </c>
      <c r="AG80" s="87">
        <f>IF(OR(('03_Сеть'!AG28-AG26)=0,6&lt;=КаникулыРоялти),0,('03_Сеть'!AG28-AG26)*IF(РоялтиПоГруппам="Да",MeanMinAge06+AG10*SUMIF(ThresholdAge06,"&lt;"&amp;AG10,WeightedRevAge06)-SUMIF(ThresholdAge06,"&lt;"&amp;AG10,WeightedMinAge06),MAX(CapacityAge06*АбонементНовых*AG10,MeanMinAge06)))</f>
        <v/>
      </c>
      <c r="AH80" s="87">
        <f>IF(OR(('03_Сеть'!AH28-AH26)=0,6&lt;=КаникулыРоялти),0,('03_Сеть'!AH28-AH26)*IF(РоялтиПоГруппам="Да",MeanMinAge06+AH10*SUMIF(ThresholdAge06,"&lt;"&amp;AH10,WeightedRevAge06)-SUMIF(ThresholdAge06,"&lt;"&amp;AH10,WeightedMinAge06),MAX(CapacityAge06*АбонементНовых*AH10,MeanMinAge06)))</f>
        <v/>
      </c>
      <c r="AI80" s="87">
        <f>IF(OR(('03_Сеть'!AI28-AI26)=0,6&lt;=КаникулыРоялти),0,('03_Сеть'!AI28-AI26)*IF(РоялтиПоГруппам="Да",MeanMinAge06+AI10*SUMIF(ThresholdAge06,"&lt;"&amp;AI10,WeightedRevAge06)-SUMIF(ThresholdAge06,"&lt;"&amp;AI10,WeightedMinAge06),MAX(CapacityAge06*АбонементНовых*AI10,MeanMinAge06)))</f>
        <v/>
      </c>
      <c r="AJ80" s="87">
        <f>IF(OR(('03_Сеть'!AJ28-AJ26)=0,6&lt;=КаникулыРоялти),0,('03_Сеть'!AJ28-AJ26)*IF(РоялтиПоГруппам="Да",MeanMinAge06+AJ10*SUMIF(ThresholdAge06,"&lt;"&amp;AJ10,WeightedRevAge06)-SUMIF(ThresholdAge06,"&lt;"&amp;AJ10,WeightedMinAge06),MAX(CapacityAge06*АбонементНовых*AJ10,MeanMinAge06)))</f>
        <v/>
      </c>
      <c r="AK80" s="87">
        <f>IF(OR(('03_Сеть'!AK28-AK26)=0,6&lt;=КаникулыРоялти),0,('03_Сеть'!AK28-AK26)*IF(РоялтиПоГруппам="Да",MeanMinAge06+AK10*SUMIF(ThresholdAge06,"&lt;"&amp;AK10,WeightedRevAge06)-SUMIF(ThresholdAge06,"&lt;"&amp;AK10,WeightedMinAge06),MAX(CapacityAge06*АбонементНовых*AK10,MeanMinAge06)))</f>
        <v/>
      </c>
      <c r="AL80" s="87">
        <f>IF(OR(('03_Сеть'!AL28-AL26)=0,6&lt;=КаникулыРоялти),0,('03_Сеть'!AL28-AL26)*IF(РоялтиПоГруппам="Да",MeanMinAge06+AL10*SUMIF(ThresholdAge06,"&lt;"&amp;AL10,WeightedRevAge06)-SUMIF(ThresholdAge06,"&lt;"&amp;AL10,WeightedMinAge06),MAX(CapacityAge06*АбонементНовых*AL10,MeanMinAge06)))</f>
        <v/>
      </c>
      <c r="AM80" s="87">
        <f>IF(OR(('03_Сеть'!AM28-AM26)=0,6&lt;=КаникулыРоялти),0,('03_Сеть'!AM28-AM26)*IF(РоялтиПоГруппам="Да",MeanMinAge06+AM10*SUMIF(ThresholdAge06,"&lt;"&amp;AM10,WeightedRevAge06)-SUMIF(ThresholdAge06,"&lt;"&amp;AM10,WeightedMinAge06),MAX(CapacityAge06*АбонементНовых*AM10,MeanMinAge06)))</f>
        <v/>
      </c>
      <c r="AN80" s="87">
        <f>IF(OR(('03_Сеть'!AN28-AN26)=0,6&lt;=КаникулыРоялти),0,('03_Сеть'!AN28-AN26)*IF(РоялтиПоГруппам="Да",MeanMinAge06+AN10*SUMIF(ThresholdAge06,"&lt;"&amp;AN10,WeightedRevAge06)-SUMIF(ThresholdAge06,"&lt;"&amp;AN10,WeightedMinAge06),MAX(CapacityAge06*АбонементНовых*AN10,MeanMinAge06)))</f>
        <v/>
      </c>
      <c r="AO80" s="87">
        <f>IF(OR(('03_Сеть'!AO28-AO26)=0,6&lt;=КаникулыРоялти),0,('03_Сеть'!AO28-AO26)*IF(РоялтиПоГруппам="Да",MeanMinAge06+AO10*SUMIF(ThresholdAge06,"&lt;"&amp;AO10,WeightedRevAge06)-SUMIF(ThresholdAge06,"&lt;"&amp;AO10,WeightedMinAge06),MAX(CapacityAge06*АбонементНовых*AO10,MeanMinAge06)))</f>
        <v/>
      </c>
      <c r="AP80" s="87">
        <f>IF(OR(('03_Сеть'!AP28-AP26)=0,6&lt;=КаникулыРоялти),0,('03_Сеть'!AP28-AP26)*IF(РоялтиПоГруппам="Да",MeanMinAge06+AP10*SUMIF(ThresholdAge06,"&lt;"&amp;AP10,WeightedRevAge06)-SUMIF(ThresholdAge06,"&lt;"&amp;AP10,WeightedMinAge06),MAX(CapacityAge06*АбонементНовых*AP10,MeanMinAge06)))</f>
        <v/>
      </c>
      <c r="AQ80" s="87">
        <f>IF(OR(('03_Сеть'!AQ28-AQ26)=0,6&lt;=КаникулыРоялти),0,('03_Сеть'!AQ28-AQ26)*IF(РоялтиПоГруппам="Да",MeanMinAge06+AQ10*SUMIF(ThresholdAge06,"&lt;"&amp;AQ10,WeightedRevAge06)-SUMIF(ThresholdAge06,"&lt;"&amp;AQ10,WeightedMinAge06),MAX(CapacityAge06*АбонементНовых*AQ10,MeanMinAge06)))</f>
        <v/>
      </c>
      <c r="AR80" s="87">
        <f>IF(OR(('03_Сеть'!AR28-AR26)=0,6&lt;=КаникулыРоялти),0,('03_Сеть'!AR28-AR26)*IF(РоялтиПоГруппам="Да",MeanMinAge06+AR10*SUMIF(ThresholdAge06,"&lt;"&amp;AR10,WeightedRevAge06)-SUMIF(ThresholdAge06,"&lt;"&amp;AR10,WeightedMinAge06),MAX(CapacityAge06*АбонементНовых*AR10,MeanMinAge06)))</f>
        <v/>
      </c>
      <c r="AS80" s="87">
        <f>IF(OR(('03_Сеть'!AS28-AS26)=0,6&lt;=КаникулыРоялти),0,('03_Сеть'!AS28-AS26)*IF(РоялтиПоГруппам="Да",MeanMinAge06+AS10*SUMIF(ThresholdAge06,"&lt;"&amp;AS10,WeightedRevAge06)-SUMIF(ThresholdAge06,"&lt;"&amp;AS10,WeightedMinAge06),MAX(CapacityAge06*АбонементНовых*AS10,MeanMinAge06)))</f>
        <v/>
      </c>
      <c r="AT80" s="87">
        <f>IF(OR(('03_Сеть'!AT28-AT26)=0,6&lt;=КаникулыРоялти),0,('03_Сеть'!AT28-AT26)*IF(РоялтиПоГруппам="Да",MeanMinAge06+AT10*SUMIF(ThresholdAge06,"&lt;"&amp;AT10,WeightedRevAge06)-SUMIF(ThresholdAge06,"&lt;"&amp;AT10,WeightedMinAge06),MAX(CapacityAge06*АбонементНовых*AT10,MeanMinAge06)))</f>
        <v/>
      </c>
      <c r="AU80" s="87">
        <f>IF(OR(('03_Сеть'!AU28-AU26)=0,6&lt;=КаникулыРоялти),0,('03_Сеть'!AU28-AU26)*IF(РоялтиПоГруппам="Да",MeanMinAge06+AU10*SUMIF(ThresholdAge06,"&lt;"&amp;AU10,WeightedRevAge06)-SUMIF(ThresholdAge06,"&lt;"&amp;AU10,WeightedMinAge06),MAX(CapacityAge06*АбонементНовых*AU10,MeanMinAge06)))</f>
        <v/>
      </c>
      <c r="AV80" s="87">
        <f>IF(OR(('03_Сеть'!AV28-AV26)=0,6&lt;=КаникулыРоялти),0,('03_Сеть'!AV28-AV26)*IF(РоялтиПоГруппам="Да",MeanMinAge06+AV10*SUMIF(ThresholdAge06,"&lt;"&amp;AV10,WeightedRevAge06)-SUMIF(ThresholdAge06,"&lt;"&amp;AV10,WeightedMinAge06),MAX(CapacityAge06*АбонементНовых*AV10,MeanMinAge06)))</f>
        <v/>
      </c>
      <c r="AW80" s="87">
        <f>IF(OR(('03_Сеть'!AW28-AW26)=0,6&lt;=КаникулыРоялти),0,('03_Сеть'!AW28-AW26)*IF(РоялтиПоГруппам="Да",MeanMinAge06+AW10*SUMIF(ThresholdAge06,"&lt;"&amp;AW10,WeightedRevAge06)-SUMIF(ThresholdAge06,"&lt;"&amp;AW10,WeightedMinAge06),MAX(CapacityAge06*АбонементНовых*AW10,MeanMinAge06)))</f>
        <v/>
      </c>
      <c r="AX80" s="87">
        <f>IF(OR(('03_Сеть'!AX28-AX26)=0,6&lt;=КаникулыРоялти),0,('03_Сеть'!AX28-AX26)*IF(РоялтиПоГруппам="Да",MeanMinAge06+AX10*SUMIF(ThresholdAge06,"&lt;"&amp;AX10,WeightedRevAge06)-SUMIF(ThresholdAge06,"&lt;"&amp;AX10,WeightedMinAge06),MAX(CapacityAge06*АбонементНовых*AX10,MeanMinAge06)))</f>
        <v/>
      </c>
      <c r="AY80" s="87">
        <f>IF(OR(('03_Сеть'!AY28-AY26)=0,6&lt;=КаникулыРоялти),0,('03_Сеть'!AY28-AY26)*IF(РоялтиПоГруппам="Да",MeanMinAge06+AY10*SUMIF(ThresholdAge06,"&lt;"&amp;AY10,WeightedRevAge06)-SUMIF(ThresholdAge06,"&lt;"&amp;AY10,WeightedMinAge06),MAX(CapacityAge06*АбонементНовых*AY10,MeanMinAge06)))</f>
        <v/>
      </c>
      <c r="AZ80" s="87">
        <f>IF(OR(('03_Сеть'!AZ28-AZ26)=0,6&lt;=КаникулыРоялти),0,('03_Сеть'!AZ28-AZ26)*IF(РоялтиПоГруппам="Да",MeanMinAge06+AZ10*SUMIF(ThresholdAge06,"&lt;"&amp;AZ10,WeightedRevAge06)-SUMIF(ThresholdAge06,"&lt;"&amp;AZ10,WeightedMinAge06),MAX(CapacityAge06*АбонементНовых*AZ10,MeanMinAge06)))</f>
        <v/>
      </c>
      <c r="BA80" s="87">
        <f>IF(OR(('03_Сеть'!BA28-BA26)=0,6&lt;=КаникулыРоялти),0,('03_Сеть'!BA28-BA26)*IF(РоялтиПоГруппам="Да",MeanMinAge06+BA10*SUMIF(ThresholdAge06,"&lt;"&amp;BA10,WeightedRevAge06)-SUMIF(ThresholdAge06,"&lt;"&amp;BA10,WeightedMinAge06),MAX(CapacityAge06*АбонементНовых*BA10,MeanMinAge06)))</f>
        <v/>
      </c>
      <c r="BB80" s="87">
        <f>IF(OR(('03_Сеть'!BB28-BB26)=0,6&lt;=КаникулыРоялти),0,('03_Сеть'!BB28-BB26)*IF(РоялтиПоГруппам="Да",MeanMinAge06+BB10*SUMIF(ThresholdAge06,"&lt;"&amp;BB10,WeightedRevAge06)-SUMIF(ThresholdAge06,"&lt;"&amp;BB10,WeightedMinAge06),MAX(CapacityAge06*АбонементНовых*BB10,MeanMinAge06)))</f>
        <v/>
      </c>
      <c r="BC80" s="87">
        <f>IF(OR(('03_Сеть'!BC28-BC26)=0,6&lt;=КаникулыРоялти),0,('03_Сеть'!BC28-BC26)*IF(РоялтиПоГруппам="Да",MeanMinAge06+BC10*SUMIF(ThresholdAge06,"&lt;"&amp;BC10,WeightedRevAge06)-SUMIF(ThresholdAge06,"&lt;"&amp;BC10,WeightedMinAge06),MAX(CapacityAge06*АбонементНовых*BC10,MeanMinAge06)))</f>
        <v/>
      </c>
      <c r="BD80" s="87">
        <f>IF(OR(('03_Сеть'!BD28-BD26)=0,6&lt;=КаникулыРоялти),0,('03_Сеть'!BD28-BD26)*IF(РоялтиПоГруппам="Да",MeanMinAge06+BD10*SUMIF(ThresholdAge06,"&lt;"&amp;BD10,WeightedRevAge06)-SUMIF(ThresholdAge06,"&lt;"&amp;BD10,WeightedMinAge06),MAX(CapacityAge06*АбонементНовых*BD10,MeanMinAge06)))</f>
        <v/>
      </c>
      <c r="BE80" s="87">
        <f>IF(OR(('03_Сеть'!BE28-BE26)=0,6&lt;=КаникулыРоялти),0,('03_Сеть'!BE28-BE26)*IF(РоялтиПоГруппам="Да",MeanMinAge06+BE10*SUMIF(ThresholdAge06,"&lt;"&amp;BE10,WeightedRevAge06)-SUMIF(ThresholdAge06,"&lt;"&amp;BE10,WeightedMinAge06),MAX(CapacityAge06*АбонементНовых*BE10,MeanMinAge06)))</f>
        <v/>
      </c>
      <c r="BF80" s="87">
        <f>IF(OR(('03_Сеть'!BF28-BF26)=0,6&lt;=КаникулыРоялти),0,('03_Сеть'!BF28-BF26)*IF(РоялтиПоГруппам="Да",MeanMinAge06+BF10*SUMIF(ThresholdAge06,"&lt;"&amp;BF10,WeightedRevAge06)-SUMIF(ThresholdAge06,"&lt;"&amp;BF10,WeightedMinAge06),MAX(CapacityAge06*АбонементНовых*BF10,MeanMinAge06)))</f>
        <v/>
      </c>
      <c r="BG80" s="87">
        <f>IF(OR(('03_Сеть'!BG28-BG26)=0,6&lt;=КаникулыРоялти),0,('03_Сеть'!BG28-BG26)*IF(РоялтиПоГруппам="Да",MeanMinAge06+BG10*SUMIF(ThresholdAge06,"&lt;"&amp;BG10,WeightedRevAge06)-SUMIF(ThresholdAge06,"&lt;"&amp;BG10,WeightedMinAge06),MAX(CapacityAge06*АбонементНовых*BG10,MeanMinAge06)))</f>
        <v/>
      </c>
      <c r="BH80" s="87">
        <f>IF(OR(('03_Сеть'!BH28-BH26)=0,6&lt;=КаникулыРоялти),0,('03_Сеть'!BH28-BH26)*IF(РоялтиПоГруппам="Да",MeanMinAge06+BH10*SUMIF(ThresholdAge06,"&lt;"&amp;BH10,WeightedRevAge06)-SUMIF(ThresholdAge06,"&lt;"&amp;BH10,WeightedMinAge06),MAX(CapacityAge06*АбонементНовых*BH10,MeanMinAge06)))</f>
        <v/>
      </c>
      <c r="BI80" s="87">
        <f>IF(OR(('03_Сеть'!BI28-BI26)=0,6&lt;=КаникулыРоялти),0,('03_Сеть'!BI28-BI26)*IF(РоялтиПоГруппам="Да",MeanMinAge06+BI10*SUMIF(ThresholdAge06,"&lt;"&amp;BI10,WeightedRevAge06)-SUMIF(ThresholdAge06,"&lt;"&amp;BI10,WeightedMinAge06),MAX(CapacityAge06*АбонементНовых*BI10,MeanMinAge06)))</f>
        <v/>
      </c>
      <c r="BJ80" s="87">
        <f>IF(OR(('03_Сеть'!BJ28-BJ26)=0,6&lt;=КаникулыРоялти),0,('03_Сеть'!BJ28-BJ26)*IF(РоялтиПоГруппам="Да",MeanMinAge06+BJ10*SUMIF(ThresholdAge06,"&lt;"&amp;BJ10,WeightedRevAge06)-SUMIF(ThresholdAge06,"&lt;"&amp;BJ10,WeightedMinAge06),MAX(CapacityAge06*АбонементНовых*BJ10,MeanMinAge06)))</f>
        <v/>
      </c>
      <c r="BK80" s="87">
        <f>IF(OR(('03_Сеть'!BK28-BK26)=0,6&lt;=КаникулыРоялти),0,('03_Сеть'!BK28-BK26)*IF(РоялтиПоГруппам="Да",MeanMinAge06+BK10*SUMIF(ThresholdAge06,"&lt;"&amp;BK10,WeightedRevAge06)-SUMIF(ThresholdAge06,"&lt;"&amp;BK10,WeightedMinAge06),MAX(CapacityAge06*АбонементНовых*BK10,MeanMinAge06)))</f>
        <v/>
      </c>
      <c r="BL80" s="87">
        <f>IF(OR(('03_Сеть'!BL28-BL26)=0,6&lt;=КаникулыРоялти),0,('03_Сеть'!BL28-BL26)*IF(РоялтиПоГруппам="Да",MeanMinAge06+BL10*SUMIF(ThresholdAge06,"&lt;"&amp;BL10,WeightedRevAge06)-SUMIF(ThresholdAge06,"&lt;"&amp;BL10,WeightedMinAge06),MAX(CapacityAge06*АбонементНовых*BL10,MeanMinAge06)))</f>
        <v/>
      </c>
      <c r="BM80" s="87">
        <f>IF(OR(('03_Сеть'!BM28-BM26)=0,6&lt;=КаникулыРоялти),0,('03_Сеть'!BM28-BM26)*IF(РоялтиПоГруппам="Да",MeanMinAge06+BM10*SUMIF(ThresholdAge06,"&lt;"&amp;BM10,WeightedRevAge06)-SUMIF(ThresholdAge06,"&lt;"&amp;BM10,WeightedMinAge06),MAX(CapacityAge06*АбонементНовых*BM10,MeanMinAge06)))</f>
        <v/>
      </c>
      <c r="BN80" s="87">
        <f>IF(OR(('03_Сеть'!BN28-BN26)=0,6&lt;=КаникулыРоялти),0,('03_Сеть'!BN28-BN26)*IF(РоялтиПоГруппам="Да",MeanMinAge06+BN10*SUMIF(ThresholdAge06,"&lt;"&amp;BN10,WeightedRevAge06)-SUMIF(ThresholdAge06,"&lt;"&amp;BN10,WeightedMinAge06),MAX(CapacityAge06*АбонементНовых*BN10,MeanMinAge06)))</f>
        <v/>
      </c>
      <c r="BO80" s="87">
        <f>IF(OR(('03_Сеть'!BO28-BO26)=0,6&lt;=КаникулыРоялти),0,('03_Сеть'!BO28-BO26)*IF(РоялтиПоГруппам="Да",MeanMinAge06+BO10*SUMIF(ThresholdAge06,"&lt;"&amp;BO10,WeightedRevAge06)-SUMIF(ThresholdAge06,"&lt;"&amp;BO10,WeightedMinAge06),MAX(CapacityAge06*АбонементНовых*BO10,MeanMinAge06)))</f>
        <v/>
      </c>
      <c r="BP80" s="87">
        <f>IF(OR(('03_Сеть'!BP28-BP26)=0,6&lt;=КаникулыРоялти),0,('03_Сеть'!BP28-BP26)*IF(РоялтиПоГруппам="Да",MeanMinAge06+BP10*SUMIF(ThresholdAge06,"&lt;"&amp;BP10,WeightedRevAge06)-SUMIF(ThresholdAge06,"&lt;"&amp;BP10,WeightedMinAge06),MAX(CapacityAge06*АбонементНовых*BP10,MeanMinAge06)))</f>
        <v/>
      </c>
      <c r="BQ80" s="87">
        <f>IF(OR(('03_Сеть'!BQ28-BQ26)=0,6&lt;=КаникулыРоялти),0,('03_Сеть'!BQ28-BQ26)*IF(РоялтиПоГруппам="Да",MeanMinAge06+BQ10*SUMIF(ThresholdAge06,"&lt;"&amp;BQ10,WeightedRevAge06)-SUMIF(ThresholdAge06,"&lt;"&amp;BQ10,WeightedMinAge06),MAX(CapacityAge06*АбонементНовых*BQ10,MeanMinAge06)))</f>
        <v/>
      </c>
      <c r="BR80" s="87">
        <f>IF(OR(('03_Сеть'!BR28-BR26)=0,6&lt;=КаникулыРоялти),0,('03_Сеть'!BR28-BR26)*IF(РоялтиПоГруппам="Да",MeanMinAge06+BR10*SUMIF(ThresholdAge06,"&lt;"&amp;BR10,WeightedRevAge06)-SUMIF(ThresholdAge06,"&lt;"&amp;BR10,WeightedMinAge06),MAX(CapacityAge06*АбонементНовых*BR10,MeanMinAge06)))</f>
        <v/>
      </c>
      <c r="BS80" s="87">
        <f>IF(OR(('03_Сеть'!BS28-BS26)=0,6&lt;=КаникулыРоялти),0,('03_Сеть'!BS28-BS26)*IF(РоялтиПоГруппам="Да",MeanMinAge06+BS10*SUMIF(ThresholdAge06,"&lt;"&amp;BS10,WeightedRevAge06)-SUMIF(ThresholdAge06,"&lt;"&amp;BS10,WeightedMinAge06),MAX(CapacityAge06*АбонементНовых*BS10,MeanMinAge06)))</f>
        <v/>
      </c>
      <c r="BT80" s="87">
        <f>IF(OR(('03_Сеть'!BT28-BT26)=0,6&lt;=КаникулыРоялти),0,('03_Сеть'!BT28-BT26)*IF(РоялтиПоГруппам="Да",MeanMinAge06+BT10*SUMIF(ThresholdAge06,"&lt;"&amp;BT10,WeightedRevAge06)-SUMIF(ThresholdAge06,"&lt;"&amp;BT10,WeightedMinAge06),MAX(CapacityAge06*АбонементНовых*BT10,MeanMinAge06)))</f>
        <v/>
      </c>
      <c r="BU80" s="87">
        <f>IF(OR(('03_Сеть'!BU28-BU26)=0,6&lt;=КаникулыРоялти),0,('03_Сеть'!BU28-BU26)*IF(РоялтиПоГруппам="Да",MeanMinAge06+BU10*SUMIF(ThresholdAge06,"&lt;"&amp;BU10,WeightedRevAge06)-SUMIF(ThresholdAge06,"&lt;"&amp;BU10,WeightedMinAge06),MAX(CapacityAge06*АбонементНовых*BU10,MeanMinAge06)))</f>
        <v/>
      </c>
      <c r="BV80" s="87">
        <f>IF(OR(('03_Сеть'!BV28-BV26)=0,6&lt;=КаникулыРоялти),0,('03_Сеть'!BV28-BV26)*IF(РоялтиПоГруппам="Да",MeanMinAge06+BV10*SUMIF(ThresholdAge06,"&lt;"&amp;BV10,WeightedRevAge06)-SUMIF(ThresholdAge06,"&lt;"&amp;BV10,WeightedMinAge06),MAX(CapacityAge06*АбонементНовых*BV10,MeanMinAge06)))</f>
        <v/>
      </c>
      <c r="BW80" s="87">
        <f>IF(OR(('03_Сеть'!BW28-BW26)=0,6&lt;=КаникулыРоялти),0,('03_Сеть'!BW28-BW26)*IF(РоялтиПоГруппам="Да",MeanMinAge06+BW10*SUMIF(ThresholdAge06,"&lt;"&amp;BW10,WeightedRevAge06)-SUMIF(ThresholdAge06,"&lt;"&amp;BW10,WeightedMinAge06),MAX(CapacityAge06*АбонементНовых*BW10,MeanMinAge06)))</f>
        <v/>
      </c>
      <c r="BX80" s="87">
        <f>IF(OR(('03_Сеть'!BX28-BX26)=0,6&lt;=КаникулыРоялти),0,('03_Сеть'!BX28-BX26)*IF(РоялтиПоГруппам="Да",MeanMinAge06+BX10*SUMIF(ThresholdAge06,"&lt;"&amp;BX10,WeightedRevAge06)-SUMIF(ThresholdAge06,"&lt;"&amp;BX10,WeightedMinAge06),MAX(CapacityAge06*АбонементНовых*BX10,MeanMinAge06)))</f>
        <v/>
      </c>
      <c r="BY80" s="87">
        <f>IF(OR(('03_Сеть'!BY28-BY26)=0,6&lt;=КаникулыРоялти),0,('03_Сеть'!BY28-BY26)*IF(РоялтиПоГруппам="Да",MeanMinAge06+BY10*SUMIF(ThresholdAge06,"&lt;"&amp;BY10,WeightedRevAge06)-SUMIF(ThresholdAge06,"&lt;"&amp;BY10,WeightedMinAge06),MAX(CapacityAge06*АбонементНовых*BY10,MeanMinAge06)))</f>
        <v/>
      </c>
    </row>
    <row r="81" ht="15.75" customHeight="1" s="194">
      <c r="B81" s="56" t="inlineStr">
        <is>
          <t>7 мес.</t>
        </is>
      </c>
      <c r="C81" s="56" t="inlineStr">
        <is>
          <t>₽</t>
        </is>
      </c>
      <c r="D81" s="57" t="n"/>
      <c r="E81" s="85">
        <f>SUM(L81:W81)</f>
        <v/>
      </c>
      <c r="F81" s="85">
        <f>SUM(X81:AI81)</f>
        <v/>
      </c>
      <c r="G81" s="85">
        <f>SUM(AJ81:AU81)</f>
        <v/>
      </c>
      <c r="H81" s="85">
        <f>SUM(AV81:BG81)</f>
        <v/>
      </c>
      <c r="I81" s="85">
        <f>SUM(BH81:BS81)</f>
        <v/>
      </c>
      <c r="J81" s="86">
        <f>SUM(L81:BS81)</f>
        <v/>
      </c>
      <c r="L81" s="87">
        <f>IF(OR(('03_Сеть'!L29-L27)=0,7&lt;=КаникулыРоялти),0,('03_Сеть'!L29-L27)*IF(РоялтиПоГруппам="Да",MeanMinAge07+L10*SUMIF(ThresholdAge07,"&lt;"&amp;L10,WeightedRevAge07)-SUMIF(ThresholdAge07,"&lt;"&amp;L10,WeightedMinAge07),MAX(CapacityAge07*АбонементНовых*L10,MeanMinAge07)))</f>
        <v/>
      </c>
      <c r="M81" s="87">
        <f>IF(OR(('03_Сеть'!M29-M27)=0,7&lt;=КаникулыРоялти),0,('03_Сеть'!M29-M27)*IF(РоялтиПоГруппам="Да",MeanMinAge07+M10*SUMIF(ThresholdAge07,"&lt;"&amp;M10,WeightedRevAge07)-SUMIF(ThresholdAge07,"&lt;"&amp;M10,WeightedMinAge07),MAX(CapacityAge07*АбонементНовых*M10,MeanMinAge07)))</f>
        <v/>
      </c>
      <c r="N81" s="87">
        <f>IF(OR(('03_Сеть'!N29-N27)=0,7&lt;=КаникулыРоялти),0,('03_Сеть'!N29-N27)*IF(РоялтиПоГруппам="Да",MeanMinAge07+N10*SUMIF(ThresholdAge07,"&lt;"&amp;N10,WeightedRevAge07)-SUMIF(ThresholdAge07,"&lt;"&amp;N10,WeightedMinAge07),MAX(CapacityAge07*АбонементНовых*N10,MeanMinAge07)))</f>
        <v/>
      </c>
      <c r="O81" s="87">
        <f>IF(OR(('03_Сеть'!O29-O27)=0,7&lt;=КаникулыРоялти),0,('03_Сеть'!O29-O27)*IF(РоялтиПоГруппам="Да",MeanMinAge07+O10*SUMIF(ThresholdAge07,"&lt;"&amp;O10,WeightedRevAge07)-SUMIF(ThresholdAge07,"&lt;"&amp;O10,WeightedMinAge07),MAX(CapacityAge07*АбонементНовых*O10,MeanMinAge07)))</f>
        <v/>
      </c>
      <c r="P81" s="87">
        <f>IF(OR(('03_Сеть'!P29-P27)=0,7&lt;=КаникулыРоялти),0,('03_Сеть'!P29-P27)*IF(РоялтиПоГруппам="Да",MeanMinAge07+P10*SUMIF(ThresholdAge07,"&lt;"&amp;P10,WeightedRevAge07)-SUMIF(ThresholdAge07,"&lt;"&amp;P10,WeightedMinAge07),MAX(CapacityAge07*АбонементНовых*P10,MeanMinAge07)))</f>
        <v/>
      </c>
      <c r="Q81" s="87">
        <f>IF(OR(('03_Сеть'!Q29-Q27)=0,7&lt;=КаникулыРоялти),0,('03_Сеть'!Q29-Q27)*IF(РоялтиПоГруппам="Да",MeanMinAge07+Q10*SUMIF(ThresholdAge07,"&lt;"&amp;Q10,WeightedRevAge07)-SUMIF(ThresholdAge07,"&lt;"&amp;Q10,WeightedMinAge07),MAX(CapacityAge07*АбонементНовых*Q10,MeanMinAge07)))</f>
        <v/>
      </c>
      <c r="R81" s="87">
        <f>IF(OR(('03_Сеть'!R29-R27)=0,7&lt;=КаникулыРоялти),0,('03_Сеть'!R29-R27)*IF(РоялтиПоГруппам="Да",MeanMinAge07+R10*SUMIF(ThresholdAge07,"&lt;"&amp;R10,WeightedRevAge07)-SUMIF(ThresholdAge07,"&lt;"&amp;R10,WeightedMinAge07),MAX(CapacityAge07*АбонементНовых*R10,MeanMinAge07)))</f>
        <v/>
      </c>
      <c r="S81" s="87">
        <f>IF(OR(('03_Сеть'!S29-S27)=0,7&lt;=КаникулыРоялти),0,('03_Сеть'!S29-S27)*IF(РоялтиПоГруппам="Да",MeanMinAge07+S10*SUMIF(ThresholdAge07,"&lt;"&amp;S10,WeightedRevAge07)-SUMIF(ThresholdAge07,"&lt;"&amp;S10,WeightedMinAge07),MAX(CapacityAge07*АбонементНовых*S10,MeanMinAge07)))</f>
        <v/>
      </c>
      <c r="T81" s="87">
        <f>IF(OR(('03_Сеть'!T29-T27)=0,7&lt;=КаникулыРоялти),0,('03_Сеть'!T29-T27)*IF(РоялтиПоГруппам="Да",MeanMinAge07+T10*SUMIF(ThresholdAge07,"&lt;"&amp;T10,WeightedRevAge07)-SUMIF(ThresholdAge07,"&lt;"&amp;T10,WeightedMinAge07),MAX(CapacityAge07*АбонементНовых*T10,MeanMinAge07)))</f>
        <v/>
      </c>
      <c r="U81" s="87">
        <f>IF(OR(('03_Сеть'!U29-U27)=0,7&lt;=КаникулыРоялти),0,('03_Сеть'!U29-U27)*IF(РоялтиПоГруппам="Да",MeanMinAge07+U10*SUMIF(ThresholdAge07,"&lt;"&amp;U10,WeightedRevAge07)-SUMIF(ThresholdAge07,"&lt;"&amp;U10,WeightedMinAge07),MAX(CapacityAge07*АбонементНовых*U10,MeanMinAge07)))</f>
        <v/>
      </c>
      <c r="V81" s="87">
        <f>IF(OR(('03_Сеть'!V29-V27)=0,7&lt;=КаникулыРоялти),0,('03_Сеть'!V29-V27)*IF(РоялтиПоГруппам="Да",MeanMinAge07+V10*SUMIF(ThresholdAge07,"&lt;"&amp;V10,WeightedRevAge07)-SUMIF(ThresholdAge07,"&lt;"&amp;V10,WeightedMinAge07),MAX(CapacityAge07*АбонементНовых*V10,MeanMinAge07)))</f>
        <v/>
      </c>
      <c r="W81" s="87">
        <f>IF(OR(('03_Сеть'!W29-W27)=0,7&lt;=КаникулыРоялти),0,('03_Сеть'!W29-W27)*IF(РоялтиПоГруппам="Да",MeanMinAge07+W10*SUMIF(ThresholdAge07,"&lt;"&amp;W10,WeightedRevAge07)-SUMIF(ThresholdAge07,"&lt;"&amp;W10,WeightedMinAge07),MAX(CapacityAge07*АбонементНовых*W10,MeanMinAge07)))</f>
        <v/>
      </c>
      <c r="X81" s="87">
        <f>IF(OR(('03_Сеть'!X29-X27)=0,7&lt;=КаникулыРоялти),0,('03_Сеть'!X29-X27)*IF(РоялтиПоГруппам="Да",MeanMinAge07+X10*SUMIF(ThresholdAge07,"&lt;"&amp;X10,WeightedRevAge07)-SUMIF(ThresholdAge07,"&lt;"&amp;X10,WeightedMinAge07),MAX(CapacityAge07*АбонементНовых*X10,MeanMinAge07)))</f>
        <v/>
      </c>
      <c r="Y81" s="87">
        <f>IF(OR(('03_Сеть'!Y29-Y27)=0,7&lt;=КаникулыРоялти),0,('03_Сеть'!Y29-Y27)*IF(РоялтиПоГруппам="Да",MeanMinAge07+Y10*SUMIF(ThresholdAge07,"&lt;"&amp;Y10,WeightedRevAge07)-SUMIF(ThresholdAge07,"&lt;"&amp;Y10,WeightedMinAge07),MAX(CapacityAge07*АбонементНовых*Y10,MeanMinAge07)))</f>
        <v/>
      </c>
      <c r="Z81" s="87">
        <f>IF(OR(('03_Сеть'!Z29-Z27)=0,7&lt;=КаникулыРоялти),0,('03_Сеть'!Z29-Z27)*IF(РоялтиПоГруппам="Да",MeanMinAge07+Z10*SUMIF(ThresholdAge07,"&lt;"&amp;Z10,WeightedRevAge07)-SUMIF(ThresholdAge07,"&lt;"&amp;Z10,WeightedMinAge07),MAX(CapacityAge07*АбонементНовых*Z10,MeanMinAge07)))</f>
        <v/>
      </c>
      <c r="AA81" s="87">
        <f>IF(OR(('03_Сеть'!AA29-AA27)=0,7&lt;=КаникулыРоялти),0,('03_Сеть'!AA29-AA27)*IF(РоялтиПоГруппам="Да",MeanMinAge07+AA10*SUMIF(ThresholdAge07,"&lt;"&amp;AA10,WeightedRevAge07)-SUMIF(ThresholdAge07,"&lt;"&amp;AA10,WeightedMinAge07),MAX(CapacityAge07*АбонементНовых*AA10,MeanMinAge07)))</f>
        <v/>
      </c>
      <c r="AB81" s="87">
        <f>IF(OR(('03_Сеть'!AB29-AB27)=0,7&lt;=КаникулыРоялти),0,('03_Сеть'!AB29-AB27)*IF(РоялтиПоГруппам="Да",MeanMinAge07+AB10*SUMIF(ThresholdAge07,"&lt;"&amp;AB10,WeightedRevAge07)-SUMIF(ThresholdAge07,"&lt;"&amp;AB10,WeightedMinAge07),MAX(CapacityAge07*АбонементНовых*AB10,MeanMinAge07)))</f>
        <v/>
      </c>
      <c r="AC81" s="87">
        <f>IF(OR(('03_Сеть'!AC29-AC27)=0,7&lt;=КаникулыРоялти),0,('03_Сеть'!AC29-AC27)*IF(РоялтиПоГруппам="Да",MeanMinAge07+AC10*SUMIF(ThresholdAge07,"&lt;"&amp;AC10,WeightedRevAge07)-SUMIF(ThresholdAge07,"&lt;"&amp;AC10,WeightedMinAge07),MAX(CapacityAge07*АбонементНовых*AC10,MeanMinAge07)))</f>
        <v/>
      </c>
      <c r="AD81" s="87">
        <f>IF(OR(('03_Сеть'!AD29-AD27)=0,7&lt;=КаникулыРоялти),0,('03_Сеть'!AD29-AD27)*IF(РоялтиПоГруппам="Да",MeanMinAge07+AD10*SUMIF(ThresholdAge07,"&lt;"&amp;AD10,WeightedRevAge07)-SUMIF(ThresholdAge07,"&lt;"&amp;AD10,WeightedMinAge07),MAX(CapacityAge07*АбонементНовых*AD10,MeanMinAge07)))</f>
        <v/>
      </c>
      <c r="AE81" s="87">
        <f>IF(OR(('03_Сеть'!AE29-AE27)=0,7&lt;=КаникулыРоялти),0,('03_Сеть'!AE29-AE27)*IF(РоялтиПоГруппам="Да",MeanMinAge07+AE10*SUMIF(ThresholdAge07,"&lt;"&amp;AE10,WeightedRevAge07)-SUMIF(ThresholdAge07,"&lt;"&amp;AE10,WeightedMinAge07),MAX(CapacityAge07*АбонементНовых*AE10,MeanMinAge07)))</f>
        <v/>
      </c>
      <c r="AF81" s="87">
        <f>IF(OR(('03_Сеть'!AF29-AF27)=0,7&lt;=КаникулыРоялти),0,('03_Сеть'!AF29-AF27)*IF(РоялтиПоГруппам="Да",MeanMinAge07+AF10*SUMIF(ThresholdAge07,"&lt;"&amp;AF10,WeightedRevAge07)-SUMIF(ThresholdAge07,"&lt;"&amp;AF10,WeightedMinAge07),MAX(CapacityAge07*АбонементНовых*AF10,MeanMinAge07)))</f>
        <v/>
      </c>
      <c r="AG81" s="87">
        <f>IF(OR(('03_Сеть'!AG29-AG27)=0,7&lt;=КаникулыРоялти),0,('03_Сеть'!AG29-AG27)*IF(РоялтиПоГруппам="Да",MeanMinAge07+AG10*SUMIF(ThresholdAge07,"&lt;"&amp;AG10,WeightedRevAge07)-SUMIF(ThresholdAge07,"&lt;"&amp;AG10,WeightedMinAge07),MAX(CapacityAge07*АбонементНовых*AG10,MeanMinAge07)))</f>
        <v/>
      </c>
      <c r="AH81" s="87">
        <f>IF(OR(('03_Сеть'!AH29-AH27)=0,7&lt;=КаникулыРоялти),0,('03_Сеть'!AH29-AH27)*IF(РоялтиПоГруппам="Да",MeanMinAge07+AH10*SUMIF(ThresholdAge07,"&lt;"&amp;AH10,WeightedRevAge07)-SUMIF(ThresholdAge07,"&lt;"&amp;AH10,WeightedMinAge07),MAX(CapacityAge07*АбонементНовых*AH10,MeanMinAge07)))</f>
        <v/>
      </c>
      <c r="AI81" s="87">
        <f>IF(OR(('03_Сеть'!AI29-AI27)=0,7&lt;=КаникулыРоялти),0,('03_Сеть'!AI29-AI27)*IF(РоялтиПоГруппам="Да",MeanMinAge07+AI10*SUMIF(ThresholdAge07,"&lt;"&amp;AI10,WeightedRevAge07)-SUMIF(ThresholdAge07,"&lt;"&amp;AI10,WeightedMinAge07),MAX(CapacityAge07*АбонементНовых*AI10,MeanMinAge07)))</f>
        <v/>
      </c>
      <c r="AJ81" s="87">
        <f>IF(OR(('03_Сеть'!AJ29-AJ27)=0,7&lt;=КаникулыРоялти),0,('03_Сеть'!AJ29-AJ27)*IF(РоялтиПоГруппам="Да",MeanMinAge07+AJ10*SUMIF(ThresholdAge07,"&lt;"&amp;AJ10,WeightedRevAge07)-SUMIF(ThresholdAge07,"&lt;"&amp;AJ10,WeightedMinAge07),MAX(CapacityAge07*АбонементНовых*AJ10,MeanMinAge07)))</f>
        <v/>
      </c>
      <c r="AK81" s="87">
        <f>IF(OR(('03_Сеть'!AK29-AK27)=0,7&lt;=КаникулыРоялти),0,('03_Сеть'!AK29-AK27)*IF(РоялтиПоГруппам="Да",MeanMinAge07+AK10*SUMIF(ThresholdAge07,"&lt;"&amp;AK10,WeightedRevAge07)-SUMIF(ThresholdAge07,"&lt;"&amp;AK10,WeightedMinAge07),MAX(CapacityAge07*АбонементНовых*AK10,MeanMinAge07)))</f>
        <v/>
      </c>
      <c r="AL81" s="87">
        <f>IF(OR(('03_Сеть'!AL29-AL27)=0,7&lt;=КаникулыРоялти),0,('03_Сеть'!AL29-AL27)*IF(РоялтиПоГруппам="Да",MeanMinAge07+AL10*SUMIF(ThresholdAge07,"&lt;"&amp;AL10,WeightedRevAge07)-SUMIF(ThresholdAge07,"&lt;"&amp;AL10,WeightedMinAge07),MAX(CapacityAge07*АбонементНовых*AL10,MeanMinAge07)))</f>
        <v/>
      </c>
      <c r="AM81" s="87">
        <f>IF(OR(('03_Сеть'!AM29-AM27)=0,7&lt;=КаникулыРоялти),0,('03_Сеть'!AM29-AM27)*IF(РоялтиПоГруппам="Да",MeanMinAge07+AM10*SUMIF(ThresholdAge07,"&lt;"&amp;AM10,WeightedRevAge07)-SUMIF(ThresholdAge07,"&lt;"&amp;AM10,WeightedMinAge07),MAX(CapacityAge07*АбонементНовых*AM10,MeanMinAge07)))</f>
        <v/>
      </c>
      <c r="AN81" s="87">
        <f>IF(OR(('03_Сеть'!AN29-AN27)=0,7&lt;=КаникулыРоялти),0,('03_Сеть'!AN29-AN27)*IF(РоялтиПоГруппам="Да",MeanMinAge07+AN10*SUMIF(ThresholdAge07,"&lt;"&amp;AN10,WeightedRevAge07)-SUMIF(ThresholdAge07,"&lt;"&amp;AN10,WeightedMinAge07),MAX(CapacityAge07*АбонементНовых*AN10,MeanMinAge07)))</f>
        <v/>
      </c>
      <c r="AO81" s="87">
        <f>IF(OR(('03_Сеть'!AO29-AO27)=0,7&lt;=КаникулыРоялти),0,('03_Сеть'!AO29-AO27)*IF(РоялтиПоГруппам="Да",MeanMinAge07+AO10*SUMIF(ThresholdAge07,"&lt;"&amp;AO10,WeightedRevAge07)-SUMIF(ThresholdAge07,"&lt;"&amp;AO10,WeightedMinAge07),MAX(CapacityAge07*АбонементНовых*AO10,MeanMinAge07)))</f>
        <v/>
      </c>
      <c r="AP81" s="87">
        <f>IF(OR(('03_Сеть'!AP29-AP27)=0,7&lt;=КаникулыРоялти),0,('03_Сеть'!AP29-AP27)*IF(РоялтиПоГруппам="Да",MeanMinAge07+AP10*SUMIF(ThresholdAge07,"&lt;"&amp;AP10,WeightedRevAge07)-SUMIF(ThresholdAge07,"&lt;"&amp;AP10,WeightedMinAge07),MAX(CapacityAge07*АбонементНовых*AP10,MeanMinAge07)))</f>
        <v/>
      </c>
      <c r="AQ81" s="87">
        <f>IF(OR(('03_Сеть'!AQ29-AQ27)=0,7&lt;=КаникулыРоялти),0,('03_Сеть'!AQ29-AQ27)*IF(РоялтиПоГруппам="Да",MeanMinAge07+AQ10*SUMIF(ThresholdAge07,"&lt;"&amp;AQ10,WeightedRevAge07)-SUMIF(ThresholdAge07,"&lt;"&amp;AQ10,WeightedMinAge07),MAX(CapacityAge07*АбонементНовых*AQ10,MeanMinAge07)))</f>
        <v/>
      </c>
      <c r="AR81" s="87">
        <f>IF(OR(('03_Сеть'!AR29-AR27)=0,7&lt;=КаникулыРоялти),0,('03_Сеть'!AR29-AR27)*IF(РоялтиПоГруппам="Да",MeanMinAge07+AR10*SUMIF(ThresholdAge07,"&lt;"&amp;AR10,WeightedRevAge07)-SUMIF(ThresholdAge07,"&lt;"&amp;AR10,WeightedMinAge07),MAX(CapacityAge07*АбонементНовых*AR10,MeanMinAge07)))</f>
        <v/>
      </c>
      <c r="AS81" s="87">
        <f>IF(OR(('03_Сеть'!AS29-AS27)=0,7&lt;=КаникулыРоялти),0,('03_Сеть'!AS29-AS27)*IF(РоялтиПоГруппам="Да",MeanMinAge07+AS10*SUMIF(ThresholdAge07,"&lt;"&amp;AS10,WeightedRevAge07)-SUMIF(ThresholdAge07,"&lt;"&amp;AS10,WeightedMinAge07),MAX(CapacityAge07*АбонементНовых*AS10,MeanMinAge07)))</f>
        <v/>
      </c>
      <c r="AT81" s="87">
        <f>IF(OR(('03_Сеть'!AT29-AT27)=0,7&lt;=КаникулыРоялти),0,('03_Сеть'!AT29-AT27)*IF(РоялтиПоГруппам="Да",MeanMinAge07+AT10*SUMIF(ThresholdAge07,"&lt;"&amp;AT10,WeightedRevAge07)-SUMIF(ThresholdAge07,"&lt;"&amp;AT10,WeightedMinAge07),MAX(CapacityAge07*АбонементНовых*AT10,MeanMinAge07)))</f>
        <v/>
      </c>
      <c r="AU81" s="87">
        <f>IF(OR(('03_Сеть'!AU29-AU27)=0,7&lt;=КаникулыРоялти),0,('03_Сеть'!AU29-AU27)*IF(РоялтиПоГруппам="Да",MeanMinAge07+AU10*SUMIF(ThresholdAge07,"&lt;"&amp;AU10,WeightedRevAge07)-SUMIF(ThresholdAge07,"&lt;"&amp;AU10,WeightedMinAge07),MAX(CapacityAge07*АбонементНовых*AU10,MeanMinAge07)))</f>
        <v/>
      </c>
      <c r="AV81" s="87">
        <f>IF(OR(('03_Сеть'!AV29-AV27)=0,7&lt;=КаникулыРоялти),0,('03_Сеть'!AV29-AV27)*IF(РоялтиПоГруппам="Да",MeanMinAge07+AV10*SUMIF(ThresholdAge07,"&lt;"&amp;AV10,WeightedRevAge07)-SUMIF(ThresholdAge07,"&lt;"&amp;AV10,WeightedMinAge07),MAX(CapacityAge07*АбонементНовых*AV10,MeanMinAge07)))</f>
        <v/>
      </c>
      <c r="AW81" s="87">
        <f>IF(OR(('03_Сеть'!AW29-AW27)=0,7&lt;=КаникулыРоялти),0,('03_Сеть'!AW29-AW27)*IF(РоялтиПоГруппам="Да",MeanMinAge07+AW10*SUMIF(ThresholdAge07,"&lt;"&amp;AW10,WeightedRevAge07)-SUMIF(ThresholdAge07,"&lt;"&amp;AW10,WeightedMinAge07),MAX(CapacityAge07*АбонементНовых*AW10,MeanMinAge07)))</f>
        <v/>
      </c>
      <c r="AX81" s="87">
        <f>IF(OR(('03_Сеть'!AX29-AX27)=0,7&lt;=КаникулыРоялти),0,('03_Сеть'!AX29-AX27)*IF(РоялтиПоГруппам="Да",MeanMinAge07+AX10*SUMIF(ThresholdAge07,"&lt;"&amp;AX10,WeightedRevAge07)-SUMIF(ThresholdAge07,"&lt;"&amp;AX10,WeightedMinAge07),MAX(CapacityAge07*АбонементНовых*AX10,MeanMinAge07)))</f>
        <v/>
      </c>
      <c r="AY81" s="87">
        <f>IF(OR(('03_Сеть'!AY29-AY27)=0,7&lt;=КаникулыРоялти),0,('03_Сеть'!AY29-AY27)*IF(РоялтиПоГруппам="Да",MeanMinAge07+AY10*SUMIF(ThresholdAge07,"&lt;"&amp;AY10,WeightedRevAge07)-SUMIF(ThresholdAge07,"&lt;"&amp;AY10,WeightedMinAge07),MAX(CapacityAge07*АбонементНовых*AY10,MeanMinAge07)))</f>
        <v/>
      </c>
      <c r="AZ81" s="87">
        <f>IF(OR(('03_Сеть'!AZ29-AZ27)=0,7&lt;=КаникулыРоялти),0,('03_Сеть'!AZ29-AZ27)*IF(РоялтиПоГруппам="Да",MeanMinAge07+AZ10*SUMIF(ThresholdAge07,"&lt;"&amp;AZ10,WeightedRevAge07)-SUMIF(ThresholdAge07,"&lt;"&amp;AZ10,WeightedMinAge07),MAX(CapacityAge07*АбонементНовых*AZ10,MeanMinAge07)))</f>
        <v/>
      </c>
      <c r="BA81" s="87">
        <f>IF(OR(('03_Сеть'!BA29-BA27)=0,7&lt;=КаникулыРоялти),0,('03_Сеть'!BA29-BA27)*IF(РоялтиПоГруппам="Да",MeanMinAge07+BA10*SUMIF(ThresholdAge07,"&lt;"&amp;BA10,WeightedRevAge07)-SUMIF(ThresholdAge07,"&lt;"&amp;BA10,WeightedMinAge07),MAX(CapacityAge07*АбонементНовых*BA10,MeanMinAge07)))</f>
        <v/>
      </c>
      <c r="BB81" s="87">
        <f>IF(OR(('03_Сеть'!BB29-BB27)=0,7&lt;=КаникулыРоялти),0,('03_Сеть'!BB29-BB27)*IF(РоялтиПоГруппам="Да",MeanMinAge07+BB10*SUMIF(ThresholdAge07,"&lt;"&amp;BB10,WeightedRevAge07)-SUMIF(ThresholdAge07,"&lt;"&amp;BB10,WeightedMinAge07),MAX(CapacityAge07*АбонементНовых*BB10,MeanMinAge07)))</f>
        <v/>
      </c>
      <c r="BC81" s="87">
        <f>IF(OR(('03_Сеть'!BC29-BC27)=0,7&lt;=КаникулыРоялти),0,('03_Сеть'!BC29-BC27)*IF(РоялтиПоГруппам="Да",MeanMinAge07+BC10*SUMIF(ThresholdAge07,"&lt;"&amp;BC10,WeightedRevAge07)-SUMIF(ThresholdAge07,"&lt;"&amp;BC10,WeightedMinAge07),MAX(CapacityAge07*АбонементНовых*BC10,MeanMinAge07)))</f>
        <v/>
      </c>
      <c r="BD81" s="87">
        <f>IF(OR(('03_Сеть'!BD29-BD27)=0,7&lt;=КаникулыРоялти),0,('03_Сеть'!BD29-BD27)*IF(РоялтиПоГруппам="Да",MeanMinAge07+BD10*SUMIF(ThresholdAge07,"&lt;"&amp;BD10,WeightedRevAge07)-SUMIF(ThresholdAge07,"&lt;"&amp;BD10,WeightedMinAge07),MAX(CapacityAge07*АбонементНовых*BD10,MeanMinAge07)))</f>
        <v/>
      </c>
      <c r="BE81" s="87">
        <f>IF(OR(('03_Сеть'!BE29-BE27)=0,7&lt;=КаникулыРоялти),0,('03_Сеть'!BE29-BE27)*IF(РоялтиПоГруппам="Да",MeanMinAge07+BE10*SUMIF(ThresholdAge07,"&lt;"&amp;BE10,WeightedRevAge07)-SUMIF(ThresholdAge07,"&lt;"&amp;BE10,WeightedMinAge07),MAX(CapacityAge07*АбонементНовых*BE10,MeanMinAge07)))</f>
        <v/>
      </c>
      <c r="BF81" s="87">
        <f>IF(OR(('03_Сеть'!BF29-BF27)=0,7&lt;=КаникулыРоялти),0,('03_Сеть'!BF29-BF27)*IF(РоялтиПоГруппам="Да",MeanMinAge07+BF10*SUMIF(ThresholdAge07,"&lt;"&amp;BF10,WeightedRevAge07)-SUMIF(ThresholdAge07,"&lt;"&amp;BF10,WeightedMinAge07),MAX(CapacityAge07*АбонементНовых*BF10,MeanMinAge07)))</f>
        <v/>
      </c>
      <c r="BG81" s="87">
        <f>IF(OR(('03_Сеть'!BG29-BG27)=0,7&lt;=КаникулыРоялти),0,('03_Сеть'!BG29-BG27)*IF(РоялтиПоГруппам="Да",MeanMinAge07+BG10*SUMIF(ThresholdAge07,"&lt;"&amp;BG10,WeightedRevAge07)-SUMIF(ThresholdAge07,"&lt;"&amp;BG10,WeightedMinAge07),MAX(CapacityAge07*АбонементНовых*BG10,MeanMinAge07)))</f>
        <v/>
      </c>
      <c r="BH81" s="87">
        <f>IF(OR(('03_Сеть'!BH29-BH27)=0,7&lt;=КаникулыРоялти),0,('03_Сеть'!BH29-BH27)*IF(РоялтиПоГруппам="Да",MeanMinAge07+BH10*SUMIF(ThresholdAge07,"&lt;"&amp;BH10,WeightedRevAge07)-SUMIF(ThresholdAge07,"&lt;"&amp;BH10,WeightedMinAge07),MAX(CapacityAge07*АбонементНовых*BH10,MeanMinAge07)))</f>
        <v/>
      </c>
      <c r="BI81" s="87">
        <f>IF(OR(('03_Сеть'!BI29-BI27)=0,7&lt;=КаникулыРоялти),0,('03_Сеть'!BI29-BI27)*IF(РоялтиПоГруппам="Да",MeanMinAge07+BI10*SUMIF(ThresholdAge07,"&lt;"&amp;BI10,WeightedRevAge07)-SUMIF(ThresholdAge07,"&lt;"&amp;BI10,WeightedMinAge07),MAX(CapacityAge07*АбонементНовых*BI10,MeanMinAge07)))</f>
        <v/>
      </c>
      <c r="BJ81" s="87">
        <f>IF(OR(('03_Сеть'!BJ29-BJ27)=0,7&lt;=КаникулыРоялти),0,('03_Сеть'!BJ29-BJ27)*IF(РоялтиПоГруппам="Да",MeanMinAge07+BJ10*SUMIF(ThresholdAge07,"&lt;"&amp;BJ10,WeightedRevAge07)-SUMIF(ThresholdAge07,"&lt;"&amp;BJ10,WeightedMinAge07),MAX(CapacityAge07*АбонементНовых*BJ10,MeanMinAge07)))</f>
        <v/>
      </c>
      <c r="BK81" s="87">
        <f>IF(OR(('03_Сеть'!BK29-BK27)=0,7&lt;=КаникулыРоялти),0,('03_Сеть'!BK29-BK27)*IF(РоялтиПоГруппам="Да",MeanMinAge07+BK10*SUMIF(ThresholdAge07,"&lt;"&amp;BK10,WeightedRevAge07)-SUMIF(ThresholdAge07,"&lt;"&amp;BK10,WeightedMinAge07),MAX(CapacityAge07*АбонементНовых*BK10,MeanMinAge07)))</f>
        <v/>
      </c>
      <c r="BL81" s="87">
        <f>IF(OR(('03_Сеть'!BL29-BL27)=0,7&lt;=КаникулыРоялти),0,('03_Сеть'!BL29-BL27)*IF(РоялтиПоГруппам="Да",MeanMinAge07+BL10*SUMIF(ThresholdAge07,"&lt;"&amp;BL10,WeightedRevAge07)-SUMIF(ThresholdAge07,"&lt;"&amp;BL10,WeightedMinAge07),MAX(CapacityAge07*АбонементНовых*BL10,MeanMinAge07)))</f>
        <v/>
      </c>
      <c r="BM81" s="87">
        <f>IF(OR(('03_Сеть'!BM29-BM27)=0,7&lt;=КаникулыРоялти),0,('03_Сеть'!BM29-BM27)*IF(РоялтиПоГруппам="Да",MeanMinAge07+BM10*SUMIF(ThresholdAge07,"&lt;"&amp;BM10,WeightedRevAge07)-SUMIF(ThresholdAge07,"&lt;"&amp;BM10,WeightedMinAge07),MAX(CapacityAge07*АбонементНовых*BM10,MeanMinAge07)))</f>
        <v/>
      </c>
      <c r="BN81" s="87">
        <f>IF(OR(('03_Сеть'!BN29-BN27)=0,7&lt;=КаникулыРоялти),0,('03_Сеть'!BN29-BN27)*IF(РоялтиПоГруппам="Да",MeanMinAge07+BN10*SUMIF(ThresholdAge07,"&lt;"&amp;BN10,WeightedRevAge07)-SUMIF(ThresholdAge07,"&lt;"&amp;BN10,WeightedMinAge07),MAX(CapacityAge07*АбонементНовых*BN10,MeanMinAge07)))</f>
        <v/>
      </c>
      <c r="BO81" s="87">
        <f>IF(OR(('03_Сеть'!BO29-BO27)=0,7&lt;=КаникулыРоялти),0,('03_Сеть'!BO29-BO27)*IF(РоялтиПоГруппам="Да",MeanMinAge07+BO10*SUMIF(ThresholdAge07,"&lt;"&amp;BO10,WeightedRevAge07)-SUMIF(ThresholdAge07,"&lt;"&amp;BO10,WeightedMinAge07),MAX(CapacityAge07*АбонементНовых*BO10,MeanMinAge07)))</f>
        <v/>
      </c>
      <c r="BP81" s="87">
        <f>IF(OR(('03_Сеть'!BP29-BP27)=0,7&lt;=КаникулыРоялти),0,('03_Сеть'!BP29-BP27)*IF(РоялтиПоГруппам="Да",MeanMinAge07+BP10*SUMIF(ThresholdAge07,"&lt;"&amp;BP10,WeightedRevAge07)-SUMIF(ThresholdAge07,"&lt;"&amp;BP10,WeightedMinAge07),MAX(CapacityAge07*АбонементНовых*BP10,MeanMinAge07)))</f>
        <v/>
      </c>
      <c r="BQ81" s="87">
        <f>IF(OR(('03_Сеть'!BQ29-BQ27)=0,7&lt;=КаникулыРоялти),0,('03_Сеть'!BQ29-BQ27)*IF(РоялтиПоГруппам="Да",MeanMinAge07+BQ10*SUMIF(ThresholdAge07,"&lt;"&amp;BQ10,WeightedRevAge07)-SUMIF(ThresholdAge07,"&lt;"&amp;BQ10,WeightedMinAge07),MAX(CapacityAge07*АбонементНовых*BQ10,MeanMinAge07)))</f>
        <v/>
      </c>
      <c r="BR81" s="87">
        <f>IF(OR(('03_Сеть'!BR29-BR27)=0,7&lt;=КаникулыРоялти),0,('03_Сеть'!BR29-BR27)*IF(РоялтиПоГруппам="Да",MeanMinAge07+BR10*SUMIF(ThresholdAge07,"&lt;"&amp;BR10,WeightedRevAge07)-SUMIF(ThresholdAge07,"&lt;"&amp;BR10,WeightedMinAge07),MAX(CapacityAge07*АбонементНовых*BR10,MeanMinAge07)))</f>
        <v/>
      </c>
      <c r="BS81" s="87">
        <f>IF(OR(('03_Сеть'!BS29-BS27)=0,7&lt;=КаникулыРоялти),0,('03_Сеть'!BS29-BS27)*IF(РоялтиПоГруппам="Да",MeanMinAge07+BS10*SUMIF(ThresholdAge07,"&lt;"&amp;BS10,WeightedRevAge07)-SUMIF(ThresholdAge07,"&lt;"&amp;BS10,WeightedMinAge07),MAX(CapacityAge07*АбонементНовых*BS10,MeanMinAge07)))</f>
        <v/>
      </c>
      <c r="BT81" s="87">
        <f>IF(OR(('03_Сеть'!BT29-BT27)=0,7&lt;=КаникулыРоялти),0,('03_Сеть'!BT29-BT27)*IF(РоялтиПоГруппам="Да",MeanMinAge07+BT10*SUMIF(ThresholdAge07,"&lt;"&amp;BT10,WeightedRevAge07)-SUMIF(ThresholdAge07,"&lt;"&amp;BT10,WeightedMinAge07),MAX(CapacityAge07*АбонементНовых*BT10,MeanMinAge07)))</f>
        <v/>
      </c>
      <c r="BU81" s="87">
        <f>IF(OR(('03_Сеть'!BU29-BU27)=0,7&lt;=КаникулыРоялти),0,('03_Сеть'!BU29-BU27)*IF(РоялтиПоГруппам="Да",MeanMinAge07+BU10*SUMIF(ThresholdAge07,"&lt;"&amp;BU10,WeightedRevAge07)-SUMIF(ThresholdAge07,"&lt;"&amp;BU10,WeightedMinAge07),MAX(CapacityAge07*АбонементНовых*BU10,MeanMinAge07)))</f>
        <v/>
      </c>
      <c r="BV81" s="87">
        <f>IF(OR(('03_Сеть'!BV29-BV27)=0,7&lt;=КаникулыРоялти),0,('03_Сеть'!BV29-BV27)*IF(РоялтиПоГруппам="Да",MeanMinAge07+BV10*SUMIF(ThresholdAge07,"&lt;"&amp;BV10,WeightedRevAge07)-SUMIF(ThresholdAge07,"&lt;"&amp;BV10,WeightedMinAge07),MAX(CapacityAge07*АбонементНовых*BV10,MeanMinAge07)))</f>
        <v/>
      </c>
      <c r="BW81" s="87">
        <f>IF(OR(('03_Сеть'!BW29-BW27)=0,7&lt;=КаникулыРоялти),0,('03_Сеть'!BW29-BW27)*IF(РоялтиПоГруппам="Да",MeanMinAge07+BW10*SUMIF(ThresholdAge07,"&lt;"&amp;BW10,WeightedRevAge07)-SUMIF(ThresholdAge07,"&lt;"&amp;BW10,WeightedMinAge07),MAX(CapacityAge07*АбонементНовых*BW10,MeanMinAge07)))</f>
        <v/>
      </c>
      <c r="BX81" s="87">
        <f>IF(OR(('03_Сеть'!BX29-BX27)=0,7&lt;=КаникулыРоялти),0,('03_Сеть'!BX29-BX27)*IF(РоялтиПоГруппам="Да",MeanMinAge07+BX10*SUMIF(ThresholdAge07,"&lt;"&amp;BX10,WeightedRevAge07)-SUMIF(ThresholdAge07,"&lt;"&amp;BX10,WeightedMinAge07),MAX(CapacityAge07*АбонементНовых*BX10,MeanMinAge07)))</f>
        <v/>
      </c>
      <c r="BY81" s="87">
        <f>IF(OR(('03_Сеть'!BY29-BY27)=0,7&lt;=КаникулыРоялти),0,('03_Сеть'!BY29-BY27)*IF(РоялтиПоГруппам="Да",MeanMinAge07+BY10*SUMIF(ThresholdAge07,"&lt;"&amp;BY10,WeightedRevAge07)-SUMIF(ThresholdAge07,"&lt;"&amp;BY10,WeightedMinAge07),MAX(CapacityAge07*АбонементНовых*BY10,MeanMinAge07)))</f>
        <v/>
      </c>
    </row>
    <row r="82" ht="15.75" customHeight="1" s="194">
      <c r="B82" s="56" t="inlineStr">
        <is>
          <t>8 мес.</t>
        </is>
      </c>
      <c r="C82" s="56" t="inlineStr">
        <is>
          <t>₽</t>
        </is>
      </c>
      <c r="D82" s="57" t="n"/>
      <c r="E82" s="85">
        <f>SUM(L82:W82)</f>
        <v/>
      </c>
      <c r="F82" s="85">
        <f>SUM(X82:AI82)</f>
        <v/>
      </c>
      <c r="G82" s="85">
        <f>SUM(AJ82:AU82)</f>
        <v/>
      </c>
      <c r="H82" s="85">
        <f>SUM(AV82:BG82)</f>
        <v/>
      </c>
      <c r="I82" s="85">
        <f>SUM(BH82:BS82)</f>
        <v/>
      </c>
      <c r="J82" s="86">
        <f>SUM(L82:BS82)</f>
        <v/>
      </c>
      <c r="L82" s="87">
        <f>IF(OR(('03_Сеть'!L30-L28)=0,8&lt;=КаникулыРоялти),0,('03_Сеть'!L30-L28)*IF(РоялтиПоГруппам="Да",MeanMinAge08+L10*SUMIF(ThresholdAge08,"&lt;"&amp;L10,WeightedRevAge08)-SUMIF(ThresholdAge08,"&lt;"&amp;L10,WeightedMinAge08),MAX(CapacityAge08*АбонементНовых*L10,MeanMinAge08)))</f>
        <v/>
      </c>
      <c r="M82" s="87">
        <f>IF(OR(('03_Сеть'!M30-M28)=0,8&lt;=КаникулыРоялти),0,('03_Сеть'!M30-M28)*IF(РоялтиПоГруппам="Да",MeanMinAge08+M10*SUMIF(ThresholdAge08,"&lt;"&amp;M10,WeightedRevAge08)-SUMIF(ThresholdAge08,"&lt;"&amp;M10,WeightedMinAge08),MAX(CapacityAge08*АбонементНовых*M10,MeanMinAge08)))</f>
        <v/>
      </c>
      <c r="N82" s="87">
        <f>IF(OR(('03_Сеть'!N30-N28)=0,8&lt;=КаникулыРоялти),0,('03_Сеть'!N30-N28)*IF(РоялтиПоГруппам="Да",MeanMinAge08+N10*SUMIF(ThresholdAge08,"&lt;"&amp;N10,WeightedRevAge08)-SUMIF(ThresholdAge08,"&lt;"&amp;N10,WeightedMinAge08),MAX(CapacityAge08*АбонементНовых*N10,MeanMinAge08)))</f>
        <v/>
      </c>
      <c r="O82" s="87">
        <f>IF(OR(('03_Сеть'!O30-O28)=0,8&lt;=КаникулыРоялти),0,('03_Сеть'!O30-O28)*IF(РоялтиПоГруппам="Да",MeanMinAge08+O10*SUMIF(ThresholdAge08,"&lt;"&amp;O10,WeightedRevAge08)-SUMIF(ThresholdAge08,"&lt;"&amp;O10,WeightedMinAge08),MAX(CapacityAge08*АбонементНовых*O10,MeanMinAge08)))</f>
        <v/>
      </c>
      <c r="P82" s="87">
        <f>IF(OR(('03_Сеть'!P30-P28)=0,8&lt;=КаникулыРоялти),0,('03_Сеть'!P30-P28)*IF(РоялтиПоГруппам="Да",MeanMinAge08+P10*SUMIF(ThresholdAge08,"&lt;"&amp;P10,WeightedRevAge08)-SUMIF(ThresholdAge08,"&lt;"&amp;P10,WeightedMinAge08),MAX(CapacityAge08*АбонементНовых*P10,MeanMinAge08)))</f>
        <v/>
      </c>
      <c r="Q82" s="87">
        <f>IF(OR(('03_Сеть'!Q30-Q28)=0,8&lt;=КаникулыРоялти),0,('03_Сеть'!Q30-Q28)*IF(РоялтиПоГруппам="Да",MeanMinAge08+Q10*SUMIF(ThresholdAge08,"&lt;"&amp;Q10,WeightedRevAge08)-SUMIF(ThresholdAge08,"&lt;"&amp;Q10,WeightedMinAge08),MAX(CapacityAge08*АбонементНовых*Q10,MeanMinAge08)))</f>
        <v/>
      </c>
      <c r="R82" s="87">
        <f>IF(OR(('03_Сеть'!R30-R28)=0,8&lt;=КаникулыРоялти),0,('03_Сеть'!R30-R28)*IF(РоялтиПоГруппам="Да",MeanMinAge08+R10*SUMIF(ThresholdAge08,"&lt;"&amp;R10,WeightedRevAge08)-SUMIF(ThresholdAge08,"&lt;"&amp;R10,WeightedMinAge08),MAX(CapacityAge08*АбонементНовых*R10,MeanMinAge08)))</f>
        <v/>
      </c>
      <c r="S82" s="87">
        <f>IF(OR(('03_Сеть'!S30-S28)=0,8&lt;=КаникулыРоялти),0,('03_Сеть'!S30-S28)*IF(РоялтиПоГруппам="Да",MeanMinAge08+S10*SUMIF(ThresholdAge08,"&lt;"&amp;S10,WeightedRevAge08)-SUMIF(ThresholdAge08,"&lt;"&amp;S10,WeightedMinAge08),MAX(CapacityAge08*АбонементНовых*S10,MeanMinAge08)))</f>
        <v/>
      </c>
      <c r="T82" s="87">
        <f>IF(OR(('03_Сеть'!T30-T28)=0,8&lt;=КаникулыРоялти),0,('03_Сеть'!T30-T28)*IF(РоялтиПоГруппам="Да",MeanMinAge08+T10*SUMIF(ThresholdAge08,"&lt;"&amp;T10,WeightedRevAge08)-SUMIF(ThresholdAge08,"&lt;"&amp;T10,WeightedMinAge08),MAX(CapacityAge08*АбонементНовых*T10,MeanMinAge08)))</f>
        <v/>
      </c>
      <c r="U82" s="87">
        <f>IF(OR(('03_Сеть'!U30-U28)=0,8&lt;=КаникулыРоялти),0,('03_Сеть'!U30-U28)*IF(РоялтиПоГруппам="Да",MeanMinAge08+U10*SUMIF(ThresholdAge08,"&lt;"&amp;U10,WeightedRevAge08)-SUMIF(ThresholdAge08,"&lt;"&amp;U10,WeightedMinAge08),MAX(CapacityAge08*АбонементНовых*U10,MeanMinAge08)))</f>
        <v/>
      </c>
      <c r="V82" s="87">
        <f>IF(OR(('03_Сеть'!V30-V28)=0,8&lt;=КаникулыРоялти),0,('03_Сеть'!V30-V28)*IF(РоялтиПоГруппам="Да",MeanMinAge08+V10*SUMIF(ThresholdAge08,"&lt;"&amp;V10,WeightedRevAge08)-SUMIF(ThresholdAge08,"&lt;"&amp;V10,WeightedMinAge08),MAX(CapacityAge08*АбонементНовых*V10,MeanMinAge08)))</f>
        <v/>
      </c>
      <c r="W82" s="87">
        <f>IF(OR(('03_Сеть'!W30-W28)=0,8&lt;=КаникулыРоялти),0,('03_Сеть'!W30-W28)*IF(РоялтиПоГруппам="Да",MeanMinAge08+W10*SUMIF(ThresholdAge08,"&lt;"&amp;W10,WeightedRevAge08)-SUMIF(ThresholdAge08,"&lt;"&amp;W10,WeightedMinAge08),MAX(CapacityAge08*АбонементНовых*W10,MeanMinAge08)))</f>
        <v/>
      </c>
      <c r="X82" s="87">
        <f>IF(OR(('03_Сеть'!X30-X28)=0,8&lt;=КаникулыРоялти),0,('03_Сеть'!X30-X28)*IF(РоялтиПоГруппам="Да",MeanMinAge08+X10*SUMIF(ThresholdAge08,"&lt;"&amp;X10,WeightedRevAge08)-SUMIF(ThresholdAge08,"&lt;"&amp;X10,WeightedMinAge08),MAX(CapacityAge08*АбонементНовых*X10,MeanMinAge08)))</f>
        <v/>
      </c>
      <c r="Y82" s="87">
        <f>IF(OR(('03_Сеть'!Y30-Y28)=0,8&lt;=КаникулыРоялти),0,('03_Сеть'!Y30-Y28)*IF(РоялтиПоГруппам="Да",MeanMinAge08+Y10*SUMIF(ThresholdAge08,"&lt;"&amp;Y10,WeightedRevAge08)-SUMIF(ThresholdAge08,"&lt;"&amp;Y10,WeightedMinAge08),MAX(CapacityAge08*АбонементНовых*Y10,MeanMinAge08)))</f>
        <v/>
      </c>
      <c r="Z82" s="87">
        <f>IF(OR(('03_Сеть'!Z30-Z28)=0,8&lt;=КаникулыРоялти),0,('03_Сеть'!Z30-Z28)*IF(РоялтиПоГруппам="Да",MeanMinAge08+Z10*SUMIF(ThresholdAge08,"&lt;"&amp;Z10,WeightedRevAge08)-SUMIF(ThresholdAge08,"&lt;"&amp;Z10,WeightedMinAge08),MAX(CapacityAge08*АбонементНовых*Z10,MeanMinAge08)))</f>
        <v/>
      </c>
      <c r="AA82" s="87">
        <f>IF(OR(('03_Сеть'!AA30-AA28)=0,8&lt;=КаникулыРоялти),0,('03_Сеть'!AA30-AA28)*IF(РоялтиПоГруппам="Да",MeanMinAge08+AA10*SUMIF(ThresholdAge08,"&lt;"&amp;AA10,WeightedRevAge08)-SUMIF(ThresholdAge08,"&lt;"&amp;AA10,WeightedMinAge08),MAX(CapacityAge08*АбонементНовых*AA10,MeanMinAge08)))</f>
        <v/>
      </c>
      <c r="AB82" s="87">
        <f>IF(OR(('03_Сеть'!AB30-AB28)=0,8&lt;=КаникулыРоялти),0,('03_Сеть'!AB30-AB28)*IF(РоялтиПоГруппам="Да",MeanMinAge08+AB10*SUMIF(ThresholdAge08,"&lt;"&amp;AB10,WeightedRevAge08)-SUMIF(ThresholdAge08,"&lt;"&amp;AB10,WeightedMinAge08),MAX(CapacityAge08*АбонементНовых*AB10,MeanMinAge08)))</f>
        <v/>
      </c>
      <c r="AC82" s="87">
        <f>IF(OR(('03_Сеть'!AC30-AC28)=0,8&lt;=КаникулыРоялти),0,('03_Сеть'!AC30-AC28)*IF(РоялтиПоГруппам="Да",MeanMinAge08+AC10*SUMIF(ThresholdAge08,"&lt;"&amp;AC10,WeightedRevAge08)-SUMIF(ThresholdAge08,"&lt;"&amp;AC10,WeightedMinAge08),MAX(CapacityAge08*АбонементНовых*AC10,MeanMinAge08)))</f>
        <v/>
      </c>
      <c r="AD82" s="87">
        <f>IF(OR(('03_Сеть'!AD30-AD28)=0,8&lt;=КаникулыРоялти),0,('03_Сеть'!AD30-AD28)*IF(РоялтиПоГруппам="Да",MeanMinAge08+AD10*SUMIF(ThresholdAge08,"&lt;"&amp;AD10,WeightedRevAge08)-SUMIF(ThresholdAge08,"&lt;"&amp;AD10,WeightedMinAge08),MAX(CapacityAge08*АбонементНовых*AD10,MeanMinAge08)))</f>
        <v/>
      </c>
      <c r="AE82" s="87">
        <f>IF(OR(('03_Сеть'!AE30-AE28)=0,8&lt;=КаникулыРоялти),0,('03_Сеть'!AE30-AE28)*IF(РоялтиПоГруппам="Да",MeanMinAge08+AE10*SUMIF(ThresholdAge08,"&lt;"&amp;AE10,WeightedRevAge08)-SUMIF(ThresholdAge08,"&lt;"&amp;AE10,WeightedMinAge08),MAX(CapacityAge08*АбонементНовых*AE10,MeanMinAge08)))</f>
        <v/>
      </c>
      <c r="AF82" s="87">
        <f>IF(OR(('03_Сеть'!AF30-AF28)=0,8&lt;=КаникулыРоялти),0,('03_Сеть'!AF30-AF28)*IF(РоялтиПоГруппам="Да",MeanMinAge08+AF10*SUMIF(ThresholdAge08,"&lt;"&amp;AF10,WeightedRevAge08)-SUMIF(ThresholdAge08,"&lt;"&amp;AF10,WeightedMinAge08),MAX(CapacityAge08*АбонементНовых*AF10,MeanMinAge08)))</f>
        <v/>
      </c>
      <c r="AG82" s="87">
        <f>IF(OR(('03_Сеть'!AG30-AG28)=0,8&lt;=КаникулыРоялти),0,('03_Сеть'!AG30-AG28)*IF(РоялтиПоГруппам="Да",MeanMinAge08+AG10*SUMIF(ThresholdAge08,"&lt;"&amp;AG10,WeightedRevAge08)-SUMIF(ThresholdAge08,"&lt;"&amp;AG10,WeightedMinAge08),MAX(CapacityAge08*АбонементНовых*AG10,MeanMinAge08)))</f>
        <v/>
      </c>
      <c r="AH82" s="87">
        <f>IF(OR(('03_Сеть'!AH30-AH28)=0,8&lt;=КаникулыРоялти),0,('03_Сеть'!AH30-AH28)*IF(РоялтиПоГруппам="Да",MeanMinAge08+AH10*SUMIF(ThresholdAge08,"&lt;"&amp;AH10,WeightedRevAge08)-SUMIF(ThresholdAge08,"&lt;"&amp;AH10,WeightedMinAge08),MAX(CapacityAge08*АбонементНовых*AH10,MeanMinAge08)))</f>
        <v/>
      </c>
      <c r="AI82" s="87">
        <f>IF(OR(('03_Сеть'!AI30-AI28)=0,8&lt;=КаникулыРоялти),0,('03_Сеть'!AI30-AI28)*IF(РоялтиПоГруппам="Да",MeanMinAge08+AI10*SUMIF(ThresholdAge08,"&lt;"&amp;AI10,WeightedRevAge08)-SUMIF(ThresholdAge08,"&lt;"&amp;AI10,WeightedMinAge08),MAX(CapacityAge08*АбонементНовых*AI10,MeanMinAge08)))</f>
        <v/>
      </c>
      <c r="AJ82" s="87">
        <f>IF(OR(('03_Сеть'!AJ30-AJ28)=0,8&lt;=КаникулыРоялти),0,('03_Сеть'!AJ30-AJ28)*IF(РоялтиПоГруппам="Да",MeanMinAge08+AJ10*SUMIF(ThresholdAge08,"&lt;"&amp;AJ10,WeightedRevAge08)-SUMIF(ThresholdAge08,"&lt;"&amp;AJ10,WeightedMinAge08),MAX(CapacityAge08*АбонементНовых*AJ10,MeanMinAge08)))</f>
        <v/>
      </c>
      <c r="AK82" s="87">
        <f>IF(OR(('03_Сеть'!AK30-AK28)=0,8&lt;=КаникулыРоялти),0,('03_Сеть'!AK30-AK28)*IF(РоялтиПоГруппам="Да",MeanMinAge08+AK10*SUMIF(ThresholdAge08,"&lt;"&amp;AK10,WeightedRevAge08)-SUMIF(ThresholdAge08,"&lt;"&amp;AK10,WeightedMinAge08),MAX(CapacityAge08*АбонементНовых*AK10,MeanMinAge08)))</f>
        <v/>
      </c>
      <c r="AL82" s="87">
        <f>IF(OR(('03_Сеть'!AL30-AL28)=0,8&lt;=КаникулыРоялти),0,('03_Сеть'!AL30-AL28)*IF(РоялтиПоГруппам="Да",MeanMinAge08+AL10*SUMIF(ThresholdAge08,"&lt;"&amp;AL10,WeightedRevAge08)-SUMIF(ThresholdAge08,"&lt;"&amp;AL10,WeightedMinAge08),MAX(CapacityAge08*АбонементНовых*AL10,MeanMinAge08)))</f>
        <v/>
      </c>
      <c r="AM82" s="87">
        <f>IF(OR(('03_Сеть'!AM30-AM28)=0,8&lt;=КаникулыРоялти),0,('03_Сеть'!AM30-AM28)*IF(РоялтиПоГруппам="Да",MeanMinAge08+AM10*SUMIF(ThresholdAge08,"&lt;"&amp;AM10,WeightedRevAge08)-SUMIF(ThresholdAge08,"&lt;"&amp;AM10,WeightedMinAge08),MAX(CapacityAge08*АбонементНовых*AM10,MeanMinAge08)))</f>
        <v/>
      </c>
      <c r="AN82" s="87">
        <f>IF(OR(('03_Сеть'!AN30-AN28)=0,8&lt;=КаникулыРоялти),0,('03_Сеть'!AN30-AN28)*IF(РоялтиПоГруппам="Да",MeanMinAge08+AN10*SUMIF(ThresholdAge08,"&lt;"&amp;AN10,WeightedRevAge08)-SUMIF(ThresholdAge08,"&lt;"&amp;AN10,WeightedMinAge08),MAX(CapacityAge08*АбонементНовых*AN10,MeanMinAge08)))</f>
        <v/>
      </c>
      <c r="AO82" s="87">
        <f>IF(OR(('03_Сеть'!AO30-AO28)=0,8&lt;=КаникулыРоялти),0,('03_Сеть'!AO30-AO28)*IF(РоялтиПоГруппам="Да",MeanMinAge08+AO10*SUMIF(ThresholdAge08,"&lt;"&amp;AO10,WeightedRevAge08)-SUMIF(ThresholdAge08,"&lt;"&amp;AO10,WeightedMinAge08),MAX(CapacityAge08*АбонементНовых*AO10,MeanMinAge08)))</f>
        <v/>
      </c>
      <c r="AP82" s="87">
        <f>IF(OR(('03_Сеть'!AP30-AP28)=0,8&lt;=КаникулыРоялти),0,('03_Сеть'!AP30-AP28)*IF(РоялтиПоГруппам="Да",MeanMinAge08+AP10*SUMIF(ThresholdAge08,"&lt;"&amp;AP10,WeightedRevAge08)-SUMIF(ThresholdAge08,"&lt;"&amp;AP10,WeightedMinAge08),MAX(CapacityAge08*АбонементНовых*AP10,MeanMinAge08)))</f>
        <v/>
      </c>
      <c r="AQ82" s="87">
        <f>IF(OR(('03_Сеть'!AQ30-AQ28)=0,8&lt;=КаникулыРоялти),0,('03_Сеть'!AQ30-AQ28)*IF(РоялтиПоГруппам="Да",MeanMinAge08+AQ10*SUMIF(ThresholdAge08,"&lt;"&amp;AQ10,WeightedRevAge08)-SUMIF(ThresholdAge08,"&lt;"&amp;AQ10,WeightedMinAge08),MAX(CapacityAge08*АбонементНовых*AQ10,MeanMinAge08)))</f>
        <v/>
      </c>
      <c r="AR82" s="87">
        <f>IF(OR(('03_Сеть'!AR30-AR28)=0,8&lt;=КаникулыРоялти),0,('03_Сеть'!AR30-AR28)*IF(РоялтиПоГруппам="Да",MeanMinAge08+AR10*SUMIF(ThresholdAge08,"&lt;"&amp;AR10,WeightedRevAge08)-SUMIF(ThresholdAge08,"&lt;"&amp;AR10,WeightedMinAge08),MAX(CapacityAge08*АбонементНовых*AR10,MeanMinAge08)))</f>
        <v/>
      </c>
      <c r="AS82" s="87">
        <f>IF(OR(('03_Сеть'!AS30-AS28)=0,8&lt;=КаникулыРоялти),0,('03_Сеть'!AS30-AS28)*IF(РоялтиПоГруппам="Да",MeanMinAge08+AS10*SUMIF(ThresholdAge08,"&lt;"&amp;AS10,WeightedRevAge08)-SUMIF(ThresholdAge08,"&lt;"&amp;AS10,WeightedMinAge08),MAX(CapacityAge08*АбонементНовых*AS10,MeanMinAge08)))</f>
        <v/>
      </c>
      <c r="AT82" s="87">
        <f>IF(OR(('03_Сеть'!AT30-AT28)=0,8&lt;=КаникулыРоялти),0,('03_Сеть'!AT30-AT28)*IF(РоялтиПоГруппам="Да",MeanMinAge08+AT10*SUMIF(ThresholdAge08,"&lt;"&amp;AT10,WeightedRevAge08)-SUMIF(ThresholdAge08,"&lt;"&amp;AT10,WeightedMinAge08),MAX(CapacityAge08*АбонементНовых*AT10,MeanMinAge08)))</f>
        <v/>
      </c>
      <c r="AU82" s="87">
        <f>IF(OR(('03_Сеть'!AU30-AU28)=0,8&lt;=КаникулыРоялти),0,('03_Сеть'!AU30-AU28)*IF(РоялтиПоГруппам="Да",MeanMinAge08+AU10*SUMIF(ThresholdAge08,"&lt;"&amp;AU10,WeightedRevAge08)-SUMIF(ThresholdAge08,"&lt;"&amp;AU10,WeightedMinAge08),MAX(CapacityAge08*АбонементНовых*AU10,MeanMinAge08)))</f>
        <v/>
      </c>
      <c r="AV82" s="87">
        <f>IF(OR(('03_Сеть'!AV30-AV28)=0,8&lt;=КаникулыРоялти),0,('03_Сеть'!AV30-AV28)*IF(РоялтиПоГруппам="Да",MeanMinAge08+AV10*SUMIF(ThresholdAge08,"&lt;"&amp;AV10,WeightedRevAge08)-SUMIF(ThresholdAge08,"&lt;"&amp;AV10,WeightedMinAge08),MAX(CapacityAge08*АбонементНовых*AV10,MeanMinAge08)))</f>
        <v/>
      </c>
      <c r="AW82" s="87">
        <f>IF(OR(('03_Сеть'!AW30-AW28)=0,8&lt;=КаникулыРоялти),0,('03_Сеть'!AW30-AW28)*IF(РоялтиПоГруппам="Да",MeanMinAge08+AW10*SUMIF(ThresholdAge08,"&lt;"&amp;AW10,WeightedRevAge08)-SUMIF(ThresholdAge08,"&lt;"&amp;AW10,WeightedMinAge08),MAX(CapacityAge08*АбонементНовых*AW10,MeanMinAge08)))</f>
        <v/>
      </c>
      <c r="AX82" s="87">
        <f>IF(OR(('03_Сеть'!AX30-AX28)=0,8&lt;=КаникулыРоялти),0,('03_Сеть'!AX30-AX28)*IF(РоялтиПоГруппам="Да",MeanMinAge08+AX10*SUMIF(ThresholdAge08,"&lt;"&amp;AX10,WeightedRevAge08)-SUMIF(ThresholdAge08,"&lt;"&amp;AX10,WeightedMinAge08),MAX(CapacityAge08*АбонементНовых*AX10,MeanMinAge08)))</f>
        <v/>
      </c>
      <c r="AY82" s="87">
        <f>IF(OR(('03_Сеть'!AY30-AY28)=0,8&lt;=КаникулыРоялти),0,('03_Сеть'!AY30-AY28)*IF(РоялтиПоГруппам="Да",MeanMinAge08+AY10*SUMIF(ThresholdAge08,"&lt;"&amp;AY10,WeightedRevAge08)-SUMIF(ThresholdAge08,"&lt;"&amp;AY10,WeightedMinAge08),MAX(CapacityAge08*АбонементНовых*AY10,MeanMinAge08)))</f>
        <v/>
      </c>
      <c r="AZ82" s="87">
        <f>IF(OR(('03_Сеть'!AZ30-AZ28)=0,8&lt;=КаникулыРоялти),0,('03_Сеть'!AZ30-AZ28)*IF(РоялтиПоГруппам="Да",MeanMinAge08+AZ10*SUMIF(ThresholdAge08,"&lt;"&amp;AZ10,WeightedRevAge08)-SUMIF(ThresholdAge08,"&lt;"&amp;AZ10,WeightedMinAge08),MAX(CapacityAge08*АбонементНовых*AZ10,MeanMinAge08)))</f>
        <v/>
      </c>
      <c r="BA82" s="87">
        <f>IF(OR(('03_Сеть'!BA30-BA28)=0,8&lt;=КаникулыРоялти),0,('03_Сеть'!BA30-BA28)*IF(РоялтиПоГруппам="Да",MeanMinAge08+BA10*SUMIF(ThresholdAge08,"&lt;"&amp;BA10,WeightedRevAge08)-SUMIF(ThresholdAge08,"&lt;"&amp;BA10,WeightedMinAge08),MAX(CapacityAge08*АбонементНовых*BA10,MeanMinAge08)))</f>
        <v/>
      </c>
      <c r="BB82" s="87">
        <f>IF(OR(('03_Сеть'!BB30-BB28)=0,8&lt;=КаникулыРоялти),0,('03_Сеть'!BB30-BB28)*IF(РоялтиПоГруппам="Да",MeanMinAge08+BB10*SUMIF(ThresholdAge08,"&lt;"&amp;BB10,WeightedRevAge08)-SUMIF(ThresholdAge08,"&lt;"&amp;BB10,WeightedMinAge08),MAX(CapacityAge08*АбонементНовых*BB10,MeanMinAge08)))</f>
        <v/>
      </c>
      <c r="BC82" s="87">
        <f>IF(OR(('03_Сеть'!BC30-BC28)=0,8&lt;=КаникулыРоялти),0,('03_Сеть'!BC30-BC28)*IF(РоялтиПоГруппам="Да",MeanMinAge08+BC10*SUMIF(ThresholdAge08,"&lt;"&amp;BC10,WeightedRevAge08)-SUMIF(ThresholdAge08,"&lt;"&amp;BC10,WeightedMinAge08),MAX(CapacityAge08*АбонементНовых*BC10,MeanMinAge08)))</f>
        <v/>
      </c>
      <c r="BD82" s="87">
        <f>IF(OR(('03_Сеть'!BD30-BD28)=0,8&lt;=КаникулыРоялти),0,('03_Сеть'!BD30-BD28)*IF(РоялтиПоГруппам="Да",MeanMinAge08+BD10*SUMIF(ThresholdAge08,"&lt;"&amp;BD10,WeightedRevAge08)-SUMIF(ThresholdAge08,"&lt;"&amp;BD10,WeightedMinAge08),MAX(CapacityAge08*АбонементНовых*BD10,MeanMinAge08)))</f>
        <v/>
      </c>
      <c r="BE82" s="87">
        <f>IF(OR(('03_Сеть'!BE30-BE28)=0,8&lt;=КаникулыРоялти),0,('03_Сеть'!BE30-BE28)*IF(РоялтиПоГруппам="Да",MeanMinAge08+BE10*SUMIF(ThresholdAge08,"&lt;"&amp;BE10,WeightedRevAge08)-SUMIF(ThresholdAge08,"&lt;"&amp;BE10,WeightedMinAge08),MAX(CapacityAge08*АбонементНовых*BE10,MeanMinAge08)))</f>
        <v/>
      </c>
      <c r="BF82" s="87">
        <f>IF(OR(('03_Сеть'!BF30-BF28)=0,8&lt;=КаникулыРоялти),0,('03_Сеть'!BF30-BF28)*IF(РоялтиПоГруппам="Да",MeanMinAge08+BF10*SUMIF(ThresholdAge08,"&lt;"&amp;BF10,WeightedRevAge08)-SUMIF(ThresholdAge08,"&lt;"&amp;BF10,WeightedMinAge08),MAX(CapacityAge08*АбонементНовых*BF10,MeanMinAge08)))</f>
        <v/>
      </c>
      <c r="BG82" s="87">
        <f>IF(OR(('03_Сеть'!BG30-BG28)=0,8&lt;=КаникулыРоялти),0,('03_Сеть'!BG30-BG28)*IF(РоялтиПоГруппам="Да",MeanMinAge08+BG10*SUMIF(ThresholdAge08,"&lt;"&amp;BG10,WeightedRevAge08)-SUMIF(ThresholdAge08,"&lt;"&amp;BG10,WeightedMinAge08),MAX(CapacityAge08*АбонементНовых*BG10,MeanMinAge08)))</f>
        <v/>
      </c>
      <c r="BH82" s="87">
        <f>IF(OR(('03_Сеть'!BH30-BH28)=0,8&lt;=КаникулыРоялти),0,('03_Сеть'!BH30-BH28)*IF(РоялтиПоГруппам="Да",MeanMinAge08+BH10*SUMIF(ThresholdAge08,"&lt;"&amp;BH10,WeightedRevAge08)-SUMIF(ThresholdAge08,"&lt;"&amp;BH10,WeightedMinAge08),MAX(CapacityAge08*АбонементНовых*BH10,MeanMinAge08)))</f>
        <v/>
      </c>
      <c r="BI82" s="87">
        <f>IF(OR(('03_Сеть'!BI30-BI28)=0,8&lt;=КаникулыРоялти),0,('03_Сеть'!BI30-BI28)*IF(РоялтиПоГруппам="Да",MeanMinAge08+BI10*SUMIF(ThresholdAge08,"&lt;"&amp;BI10,WeightedRevAge08)-SUMIF(ThresholdAge08,"&lt;"&amp;BI10,WeightedMinAge08),MAX(CapacityAge08*АбонементНовых*BI10,MeanMinAge08)))</f>
        <v/>
      </c>
      <c r="BJ82" s="87">
        <f>IF(OR(('03_Сеть'!BJ30-BJ28)=0,8&lt;=КаникулыРоялти),0,('03_Сеть'!BJ30-BJ28)*IF(РоялтиПоГруппам="Да",MeanMinAge08+BJ10*SUMIF(ThresholdAge08,"&lt;"&amp;BJ10,WeightedRevAge08)-SUMIF(ThresholdAge08,"&lt;"&amp;BJ10,WeightedMinAge08),MAX(CapacityAge08*АбонементНовых*BJ10,MeanMinAge08)))</f>
        <v/>
      </c>
      <c r="BK82" s="87">
        <f>IF(OR(('03_Сеть'!BK30-BK28)=0,8&lt;=КаникулыРоялти),0,('03_Сеть'!BK30-BK28)*IF(РоялтиПоГруппам="Да",MeanMinAge08+BK10*SUMIF(ThresholdAge08,"&lt;"&amp;BK10,WeightedRevAge08)-SUMIF(ThresholdAge08,"&lt;"&amp;BK10,WeightedMinAge08),MAX(CapacityAge08*АбонементНовых*BK10,MeanMinAge08)))</f>
        <v/>
      </c>
      <c r="BL82" s="87">
        <f>IF(OR(('03_Сеть'!BL30-BL28)=0,8&lt;=КаникулыРоялти),0,('03_Сеть'!BL30-BL28)*IF(РоялтиПоГруппам="Да",MeanMinAge08+BL10*SUMIF(ThresholdAge08,"&lt;"&amp;BL10,WeightedRevAge08)-SUMIF(ThresholdAge08,"&lt;"&amp;BL10,WeightedMinAge08),MAX(CapacityAge08*АбонементНовых*BL10,MeanMinAge08)))</f>
        <v/>
      </c>
      <c r="BM82" s="87">
        <f>IF(OR(('03_Сеть'!BM30-BM28)=0,8&lt;=КаникулыРоялти),0,('03_Сеть'!BM30-BM28)*IF(РоялтиПоГруппам="Да",MeanMinAge08+BM10*SUMIF(ThresholdAge08,"&lt;"&amp;BM10,WeightedRevAge08)-SUMIF(ThresholdAge08,"&lt;"&amp;BM10,WeightedMinAge08),MAX(CapacityAge08*АбонементНовых*BM10,MeanMinAge08)))</f>
        <v/>
      </c>
      <c r="BN82" s="87">
        <f>IF(OR(('03_Сеть'!BN30-BN28)=0,8&lt;=КаникулыРоялти),0,('03_Сеть'!BN30-BN28)*IF(РоялтиПоГруппам="Да",MeanMinAge08+BN10*SUMIF(ThresholdAge08,"&lt;"&amp;BN10,WeightedRevAge08)-SUMIF(ThresholdAge08,"&lt;"&amp;BN10,WeightedMinAge08),MAX(CapacityAge08*АбонементНовых*BN10,MeanMinAge08)))</f>
        <v/>
      </c>
      <c r="BO82" s="87">
        <f>IF(OR(('03_Сеть'!BO30-BO28)=0,8&lt;=КаникулыРоялти),0,('03_Сеть'!BO30-BO28)*IF(РоялтиПоГруппам="Да",MeanMinAge08+BO10*SUMIF(ThresholdAge08,"&lt;"&amp;BO10,WeightedRevAge08)-SUMIF(ThresholdAge08,"&lt;"&amp;BO10,WeightedMinAge08),MAX(CapacityAge08*АбонементНовых*BO10,MeanMinAge08)))</f>
        <v/>
      </c>
      <c r="BP82" s="87">
        <f>IF(OR(('03_Сеть'!BP30-BP28)=0,8&lt;=КаникулыРоялти),0,('03_Сеть'!BP30-BP28)*IF(РоялтиПоГруппам="Да",MeanMinAge08+BP10*SUMIF(ThresholdAge08,"&lt;"&amp;BP10,WeightedRevAge08)-SUMIF(ThresholdAge08,"&lt;"&amp;BP10,WeightedMinAge08),MAX(CapacityAge08*АбонементНовых*BP10,MeanMinAge08)))</f>
        <v/>
      </c>
      <c r="BQ82" s="87">
        <f>IF(OR(('03_Сеть'!BQ30-BQ28)=0,8&lt;=КаникулыРоялти),0,('03_Сеть'!BQ30-BQ28)*IF(РоялтиПоГруппам="Да",MeanMinAge08+BQ10*SUMIF(ThresholdAge08,"&lt;"&amp;BQ10,WeightedRevAge08)-SUMIF(ThresholdAge08,"&lt;"&amp;BQ10,WeightedMinAge08),MAX(CapacityAge08*АбонементНовых*BQ10,MeanMinAge08)))</f>
        <v/>
      </c>
      <c r="BR82" s="87">
        <f>IF(OR(('03_Сеть'!BR30-BR28)=0,8&lt;=КаникулыРоялти),0,('03_Сеть'!BR30-BR28)*IF(РоялтиПоГруппам="Да",MeanMinAge08+BR10*SUMIF(ThresholdAge08,"&lt;"&amp;BR10,WeightedRevAge08)-SUMIF(ThresholdAge08,"&lt;"&amp;BR10,WeightedMinAge08),MAX(CapacityAge08*АбонементНовых*BR10,MeanMinAge08)))</f>
        <v/>
      </c>
      <c r="BS82" s="87">
        <f>IF(OR(('03_Сеть'!BS30-BS28)=0,8&lt;=КаникулыРоялти),0,('03_Сеть'!BS30-BS28)*IF(РоялтиПоГруппам="Да",MeanMinAge08+BS10*SUMIF(ThresholdAge08,"&lt;"&amp;BS10,WeightedRevAge08)-SUMIF(ThresholdAge08,"&lt;"&amp;BS10,WeightedMinAge08),MAX(CapacityAge08*АбонементНовых*BS10,MeanMinAge08)))</f>
        <v/>
      </c>
      <c r="BT82" s="87">
        <f>IF(OR(('03_Сеть'!BT30-BT28)=0,8&lt;=КаникулыРоялти),0,('03_Сеть'!BT30-BT28)*IF(РоялтиПоГруппам="Да",MeanMinAge08+BT10*SUMIF(ThresholdAge08,"&lt;"&amp;BT10,WeightedRevAge08)-SUMIF(ThresholdAge08,"&lt;"&amp;BT10,WeightedMinAge08),MAX(CapacityAge08*АбонементНовых*BT10,MeanMinAge08)))</f>
        <v/>
      </c>
      <c r="BU82" s="87">
        <f>IF(OR(('03_Сеть'!BU30-BU28)=0,8&lt;=КаникулыРоялти),0,('03_Сеть'!BU30-BU28)*IF(РоялтиПоГруппам="Да",MeanMinAge08+BU10*SUMIF(ThresholdAge08,"&lt;"&amp;BU10,WeightedRevAge08)-SUMIF(ThresholdAge08,"&lt;"&amp;BU10,WeightedMinAge08),MAX(CapacityAge08*АбонементНовых*BU10,MeanMinAge08)))</f>
        <v/>
      </c>
      <c r="BV82" s="87">
        <f>IF(OR(('03_Сеть'!BV30-BV28)=0,8&lt;=КаникулыРоялти),0,('03_Сеть'!BV30-BV28)*IF(РоялтиПоГруппам="Да",MeanMinAge08+BV10*SUMIF(ThresholdAge08,"&lt;"&amp;BV10,WeightedRevAge08)-SUMIF(ThresholdAge08,"&lt;"&amp;BV10,WeightedMinAge08),MAX(CapacityAge08*АбонементНовых*BV10,MeanMinAge08)))</f>
        <v/>
      </c>
      <c r="BW82" s="87">
        <f>IF(OR(('03_Сеть'!BW30-BW28)=0,8&lt;=КаникулыРоялти),0,('03_Сеть'!BW30-BW28)*IF(РоялтиПоГруппам="Да",MeanMinAge08+BW10*SUMIF(ThresholdAge08,"&lt;"&amp;BW10,WeightedRevAge08)-SUMIF(ThresholdAge08,"&lt;"&amp;BW10,WeightedMinAge08),MAX(CapacityAge08*АбонементНовых*BW10,MeanMinAge08)))</f>
        <v/>
      </c>
      <c r="BX82" s="87">
        <f>IF(OR(('03_Сеть'!BX30-BX28)=0,8&lt;=КаникулыРоялти),0,('03_Сеть'!BX30-BX28)*IF(РоялтиПоГруппам="Да",MeanMinAge08+BX10*SUMIF(ThresholdAge08,"&lt;"&amp;BX10,WeightedRevAge08)-SUMIF(ThresholdAge08,"&lt;"&amp;BX10,WeightedMinAge08),MAX(CapacityAge08*АбонементНовых*BX10,MeanMinAge08)))</f>
        <v/>
      </c>
      <c r="BY82" s="87">
        <f>IF(OR(('03_Сеть'!BY30-BY28)=0,8&lt;=КаникулыРоялти),0,('03_Сеть'!BY30-BY28)*IF(РоялтиПоГруппам="Да",MeanMinAge08+BY10*SUMIF(ThresholdAge08,"&lt;"&amp;BY10,WeightedRevAge08)-SUMIF(ThresholdAge08,"&lt;"&amp;BY10,WeightedMinAge08),MAX(CapacityAge08*АбонементНовых*BY10,MeanMinAge08)))</f>
        <v/>
      </c>
    </row>
    <row r="83" ht="15.75" customHeight="1" s="194">
      <c r="B83" s="56" t="inlineStr">
        <is>
          <t>9 мес.</t>
        </is>
      </c>
      <c r="C83" s="56" t="inlineStr">
        <is>
          <t>₽</t>
        </is>
      </c>
      <c r="D83" s="57" t="n"/>
      <c r="E83" s="85">
        <f>SUM(L83:W83)</f>
        <v/>
      </c>
      <c r="F83" s="85">
        <f>SUM(X83:AI83)</f>
        <v/>
      </c>
      <c r="G83" s="85">
        <f>SUM(AJ83:AU83)</f>
        <v/>
      </c>
      <c r="H83" s="85">
        <f>SUM(AV83:BG83)</f>
        <v/>
      </c>
      <c r="I83" s="85">
        <f>SUM(BH83:BS83)</f>
        <v/>
      </c>
      <c r="J83" s="86">
        <f>SUM(L83:BS83)</f>
        <v/>
      </c>
      <c r="L83" s="87">
        <f>IF(OR(('03_Сеть'!L31-L29)=0,9&lt;=КаникулыРоялти),0,('03_Сеть'!L31-L29)*IF(РоялтиПоГруппам="Да",MeanMinAge09+L10*SUMIF(ThresholdAge09,"&lt;"&amp;L10,WeightedRevAge09)-SUMIF(ThresholdAge09,"&lt;"&amp;L10,WeightedMinAge09),MAX(CapacityAge09*АбонементНовых*L10,MeanMinAge09)))</f>
        <v/>
      </c>
      <c r="M83" s="87">
        <f>IF(OR(('03_Сеть'!M31-M29)=0,9&lt;=КаникулыРоялти),0,('03_Сеть'!M31-M29)*IF(РоялтиПоГруппам="Да",MeanMinAge09+M10*SUMIF(ThresholdAge09,"&lt;"&amp;M10,WeightedRevAge09)-SUMIF(ThresholdAge09,"&lt;"&amp;M10,WeightedMinAge09),MAX(CapacityAge09*АбонементНовых*M10,MeanMinAge09)))</f>
        <v/>
      </c>
      <c r="N83" s="87">
        <f>IF(OR(('03_Сеть'!N31-N29)=0,9&lt;=КаникулыРоялти),0,('03_Сеть'!N31-N29)*IF(РоялтиПоГруппам="Да",MeanMinAge09+N10*SUMIF(ThresholdAge09,"&lt;"&amp;N10,WeightedRevAge09)-SUMIF(ThresholdAge09,"&lt;"&amp;N10,WeightedMinAge09),MAX(CapacityAge09*АбонементНовых*N10,MeanMinAge09)))</f>
        <v/>
      </c>
      <c r="O83" s="87">
        <f>IF(OR(('03_Сеть'!O31-O29)=0,9&lt;=КаникулыРоялти),0,('03_Сеть'!O31-O29)*IF(РоялтиПоГруппам="Да",MeanMinAge09+O10*SUMIF(ThresholdAge09,"&lt;"&amp;O10,WeightedRevAge09)-SUMIF(ThresholdAge09,"&lt;"&amp;O10,WeightedMinAge09),MAX(CapacityAge09*АбонементНовых*O10,MeanMinAge09)))</f>
        <v/>
      </c>
      <c r="P83" s="87">
        <f>IF(OR(('03_Сеть'!P31-P29)=0,9&lt;=КаникулыРоялти),0,('03_Сеть'!P31-P29)*IF(РоялтиПоГруппам="Да",MeanMinAge09+P10*SUMIF(ThresholdAge09,"&lt;"&amp;P10,WeightedRevAge09)-SUMIF(ThresholdAge09,"&lt;"&amp;P10,WeightedMinAge09),MAX(CapacityAge09*АбонементНовых*P10,MeanMinAge09)))</f>
        <v/>
      </c>
      <c r="Q83" s="87">
        <f>IF(OR(('03_Сеть'!Q31-Q29)=0,9&lt;=КаникулыРоялти),0,('03_Сеть'!Q31-Q29)*IF(РоялтиПоГруппам="Да",MeanMinAge09+Q10*SUMIF(ThresholdAge09,"&lt;"&amp;Q10,WeightedRevAge09)-SUMIF(ThresholdAge09,"&lt;"&amp;Q10,WeightedMinAge09),MAX(CapacityAge09*АбонементНовых*Q10,MeanMinAge09)))</f>
        <v/>
      </c>
      <c r="R83" s="87">
        <f>IF(OR(('03_Сеть'!R31-R29)=0,9&lt;=КаникулыРоялти),0,('03_Сеть'!R31-R29)*IF(РоялтиПоГруппам="Да",MeanMinAge09+R10*SUMIF(ThresholdAge09,"&lt;"&amp;R10,WeightedRevAge09)-SUMIF(ThresholdAge09,"&lt;"&amp;R10,WeightedMinAge09),MAX(CapacityAge09*АбонементНовых*R10,MeanMinAge09)))</f>
        <v/>
      </c>
      <c r="S83" s="87">
        <f>IF(OR(('03_Сеть'!S31-S29)=0,9&lt;=КаникулыРоялти),0,('03_Сеть'!S31-S29)*IF(РоялтиПоГруппам="Да",MeanMinAge09+S10*SUMIF(ThresholdAge09,"&lt;"&amp;S10,WeightedRevAge09)-SUMIF(ThresholdAge09,"&lt;"&amp;S10,WeightedMinAge09),MAX(CapacityAge09*АбонементНовых*S10,MeanMinAge09)))</f>
        <v/>
      </c>
      <c r="T83" s="87">
        <f>IF(OR(('03_Сеть'!T31-T29)=0,9&lt;=КаникулыРоялти),0,('03_Сеть'!T31-T29)*IF(РоялтиПоГруппам="Да",MeanMinAge09+T10*SUMIF(ThresholdAge09,"&lt;"&amp;T10,WeightedRevAge09)-SUMIF(ThresholdAge09,"&lt;"&amp;T10,WeightedMinAge09),MAX(CapacityAge09*АбонементНовых*T10,MeanMinAge09)))</f>
        <v/>
      </c>
      <c r="U83" s="87">
        <f>IF(OR(('03_Сеть'!U31-U29)=0,9&lt;=КаникулыРоялти),0,('03_Сеть'!U31-U29)*IF(РоялтиПоГруппам="Да",MeanMinAge09+U10*SUMIF(ThresholdAge09,"&lt;"&amp;U10,WeightedRevAge09)-SUMIF(ThresholdAge09,"&lt;"&amp;U10,WeightedMinAge09),MAX(CapacityAge09*АбонементНовых*U10,MeanMinAge09)))</f>
        <v/>
      </c>
      <c r="V83" s="87">
        <f>IF(OR(('03_Сеть'!V31-V29)=0,9&lt;=КаникулыРоялти),0,('03_Сеть'!V31-V29)*IF(РоялтиПоГруппам="Да",MeanMinAge09+V10*SUMIF(ThresholdAge09,"&lt;"&amp;V10,WeightedRevAge09)-SUMIF(ThresholdAge09,"&lt;"&amp;V10,WeightedMinAge09),MAX(CapacityAge09*АбонементНовых*V10,MeanMinAge09)))</f>
        <v/>
      </c>
      <c r="W83" s="87">
        <f>IF(OR(('03_Сеть'!W31-W29)=0,9&lt;=КаникулыРоялти),0,('03_Сеть'!W31-W29)*IF(РоялтиПоГруппам="Да",MeanMinAge09+W10*SUMIF(ThresholdAge09,"&lt;"&amp;W10,WeightedRevAge09)-SUMIF(ThresholdAge09,"&lt;"&amp;W10,WeightedMinAge09),MAX(CapacityAge09*АбонементНовых*W10,MeanMinAge09)))</f>
        <v/>
      </c>
      <c r="X83" s="87">
        <f>IF(OR(('03_Сеть'!X31-X29)=0,9&lt;=КаникулыРоялти),0,('03_Сеть'!X31-X29)*IF(РоялтиПоГруппам="Да",MeanMinAge09+X10*SUMIF(ThresholdAge09,"&lt;"&amp;X10,WeightedRevAge09)-SUMIF(ThresholdAge09,"&lt;"&amp;X10,WeightedMinAge09),MAX(CapacityAge09*АбонементНовых*X10,MeanMinAge09)))</f>
        <v/>
      </c>
      <c r="Y83" s="87">
        <f>IF(OR(('03_Сеть'!Y31-Y29)=0,9&lt;=КаникулыРоялти),0,('03_Сеть'!Y31-Y29)*IF(РоялтиПоГруппам="Да",MeanMinAge09+Y10*SUMIF(ThresholdAge09,"&lt;"&amp;Y10,WeightedRevAge09)-SUMIF(ThresholdAge09,"&lt;"&amp;Y10,WeightedMinAge09),MAX(CapacityAge09*АбонементНовых*Y10,MeanMinAge09)))</f>
        <v/>
      </c>
      <c r="Z83" s="87">
        <f>IF(OR(('03_Сеть'!Z31-Z29)=0,9&lt;=КаникулыРоялти),0,('03_Сеть'!Z31-Z29)*IF(РоялтиПоГруппам="Да",MeanMinAge09+Z10*SUMIF(ThresholdAge09,"&lt;"&amp;Z10,WeightedRevAge09)-SUMIF(ThresholdAge09,"&lt;"&amp;Z10,WeightedMinAge09),MAX(CapacityAge09*АбонементНовых*Z10,MeanMinAge09)))</f>
        <v/>
      </c>
      <c r="AA83" s="87">
        <f>IF(OR(('03_Сеть'!AA31-AA29)=0,9&lt;=КаникулыРоялти),0,('03_Сеть'!AA31-AA29)*IF(РоялтиПоГруппам="Да",MeanMinAge09+AA10*SUMIF(ThresholdAge09,"&lt;"&amp;AA10,WeightedRevAge09)-SUMIF(ThresholdAge09,"&lt;"&amp;AA10,WeightedMinAge09),MAX(CapacityAge09*АбонементНовых*AA10,MeanMinAge09)))</f>
        <v/>
      </c>
      <c r="AB83" s="87">
        <f>IF(OR(('03_Сеть'!AB31-AB29)=0,9&lt;=КаникулыРоялти),0,('03_Сеть'!AB31-AB29)*IF(РоялтиПоГруппам="Да",MeanMinAge09+AB10*SUMIF(ThresholdAge09,"&lt;"&amp;AB10,WeightedRevAge09)-SUMIF(ThresholdAge09,"&lt;"&amp;AB10,WeightedMinAge09),MAX(CapacityAge09*АбонементНовых*AB10,MeanMinAge09)))</f>
        <v/>
      </c>
      <c r="AC83" s="87">
        <f>IF(OR(('03_Сеть'!AC31-AC29)=0,9&lt;=КаникулыРоялти),0,('03_Сеть'!AC31-AC29)*IF(РоялтиПоГруппам="Да",MeanMinAge09+AC10*SUMIF(ThresholdAge09,"&lt;"&amp;AC10,WeightedRevAge09)-SUMIF(ThresholdAge09,"&lt;"&amp;AC10,WeightedMinAge09),MAX(CapacityAge09*АбонементНовых*AC10,MeanMinAge09)))</f>
        <v/>
      </c>
      <c r="AD83" s="87">
        <f>IF(OR(('03_Сеть'!AD31-AD29)=0,9&lt;=КаникулыРоялти),0,('03_Сеть'!AD31-AD29)*IF(РоялтиПоГруппам="Да",MeanMinAge09+AD10*SUMIF(ThresholdAge09,"&lt;"&amp;AD10,WeightedRevAge09)-SUMIF(ThresholdAge09,"&lt;"&amp;AD10,WeightedMinAge09),MAX(CapacityAge09*АбонементНовых*AD10,MeanMinAge09)))</f>
        <v/>
      </c>
      <c r="AE83" s="87">
        <f>IF(OR(('03_Сеть'!AE31-AE29)=0,9&lt;=КаникулыРоялти),0,('03_Сеть'!AE31-AE29)*IF(РоялтиПоГруппам="Да",MeanMinAge09+AE10*SUMIF(ThresholdAge09,"&lt;"&amp;AE10,WeightedRevAge09)-SUMIF(ThresholdAge09,"&lt;"&amp;AE10,WeightedMinAge09),MAX(CapacityAge09*АбонементНовых*AE10,MeanMinAge09)))</f>
        <v/>
      </c>
      <c r="AF83" s="87">
        <f>IF(OR(('03_Сеть'!AF31-AF29)=0,9&lt;=КаникулыРоялти),0,('03_Сеть'!AF31-AF29)*IF(РоялтиПоГруппам="Да",MeanMinAge09+AF10*SUMIF(ThresholdAge09,"&lt;"&amp;AF10,WeightedRevAge09)-SUMIF(ThresholdAge09,"&lt;"&amp;AF10,WeightedMinAge09),MAX(CapacityAge09*АбонементНовых*AF10,MeanMinAge09)))</f>
        <v/>
      </c>
      <c r="AG83" s="87">
        <f>IF(OR(('03_Сеть'!AG31-AG29)=0,9&lt;=КаникулыРоялти),0,('03_Сеть'!AG31-AG29)*IF(РоялтиПоГруппам="Да",MeanMinAge09+AG10*SUMIF(ThresholdAge09,"&lt;"&amp;AG10,WeightedRevAge09)-SUMIF(ThresholdAge09,"&lt;"&amp;AG10,WeightedMinAge09),MAX(CapacityAge09*АбонементНовых*AG10,MeanMinAge09)))</f>
        <v/>
      </c>
      <c r="AH83" s="87">
        <f>IF(OR(('03_Сеть'!AH31-AH29)=0,9&lt;=КаникулыРоялти),0,('03_Сеть'!AH31-AH29)*IF(РоялтиПоГруппам="Да",MeanMinAge09+AH10*SUMIF(ThresholdAge09,"&lt;"&amp;AH10,WeightedRevAge09)-SUMIF(ThresholdAge09,"&lt;"&amp;AH10,WeightedMinAge09),MAX(CapacityAge09*АбонементНовых*AH10,MeanMinAge09)))</f>
        <v/>
      </c>
      <c r="AI83" s="87">
        <f>IF(OR(('03_Сеть'!AI31-AI29)=0,9&lt;=КаникулыРоялти),0,('03_Сеть'!AI31-AI29)*IF(РоялтиПоГруппам="Да",MeanMinAge09+AI10*SUMIF(ThresholdAge09,"&lt;"&amp;AI10,WeightedRevAge09)-SUMIF(ThresholdAge09,"&lt;"&amp;AI10,WeightedMinAge09),MAX(CapacityAge09*АбонементНовых*AI10,MeanMinAge09)))</f>
        <v/>
      </c>
      <c r="AJ83" s="87">
        <f>IF(OR(('03_Сеть'!AJ31-AJ29)=0,9&lt;=КаникулыРоялти),0,('03_Сеть'!AJ31-AJ29)*IF(РоялтиПоГруппам="Да",MeanMinAge09+AJ10*SUMIF(ThresholdAge09,"&lt;"&amp;AJ10,WeightedRevAge09)-SUMIF(ThresholdAge09,"&lt;"&amp;AJ10,WeightedMinAge09),MAX(CapacityAge09*АбонементНовых*AJ10,MeanMinAge09)))</f>
        <v/>
      </c>
      <c r="AK83" s="87">
        <f>IF(OR(('03_Сеть'!AK31-AK29)=0,9&lt;=КаникулыРоялти),0,('03_Сеть'!AK31-AK29)*IF(РоялтиПоГруппам="Да",MeanMinAge09+AK10*SUMIF(ThresholdAge09,"&lt;"&amp;AK10,WeightedRevAge09)-SUMIF(ThresholdAge09,"&lt;"&amp;AK10,WeightedMinAge09),MAX(CapacityAge09*АбонементНовых*AK10,MeanMinAge09)))</f>
        <v/>
      </c>
      <c r="AL83" s="87">
        <f>IF(OR(('03_Сеть'!AL31-AL29)=0,9&lt;=КаникулыРоялти),0,('03_Сеть'!AL31-AL29)*IF(РоялтиПоГруппам="Да",MeanMinAge09+AL10*SUMIF(ThresholdAge09,"&lt;"&amp;AL10,WeightedRevAge09)-SUMIF(ThresholdAge09,"&lt;"&amp;AL10,WeightedMinAge09),MAX(CapacityAge09*АбонементНовых*AL10,MeanMinAge09)))</f>
        <v/>
      </c>
      <c r="AM83" s="87">
        <f>IF(OR(('03_Сеть'!AM31-AM29)=0,9&lt;=КаникулыРоялти),0,('03_Сеть'!AM31-AM29)*IF(РоялтиПоГруппам="Да",MeanMinAge09+AM10*SUMIF(ThresholdAge09,"&lt;"&amp;AM10,WeightedRevAge09)-SUMIF(ThresholdAge09,"&lt;"&amp;AM10,WeightedMinAge09),MAX(CapacityAge09*АбонементНовых*AM10,MeanMinAge09)))</f>
        <v/>
      </c>
      <c r="AN83" s="87">
        <f>IF(OR(('03_Сеть'!AN31-AN29)=0,9&lt;=КаникулыРоялти),0,('03_Сеть'!AN31-AN29)*IF(РоялтиПоГруппам="Да",MeanMinAge09+AN10*SUMIF(ThresholdAge09,"&lt;"&amp;AN10,WeightedRevAge09)-SUMIF(ThresholdAge09,"&lt;"&amp;AN10,WeightedMinAge09),MAX(CapacityAge09*АбонементНовых*AN10,MeanMinAge09)))</f>
        <v/>
      </c>
      <c r="AO83" s="87">
        <f>IF(OR(('03_Сеть'!AO31-AO29)=0,9&lt;=КаникулыРоялти),0,('03_Сеть'!AO31-AO29)*IF(РоялтиПоГруппам="Да",MeanMinAge09+AO10*SUMIF(ThresholdAge09,"&lt;"&amp;AO10,WeightedRevAge09)-SUMIF(ThresholdAge09,"&lt;"&amp;AO10,WeightedMinAge09),MAX(CapacityAge09*АбонементНовых*AO10,MeanMinAge09)))</f>
        <v/>
      </c>
      <c r="AP83" s="87">
        <f>IF(OR(('03_Сеть'!AP31-AP29)=0,9&lt;=КаникулыРоялти),0,('03_Сеть'!AP31-AP29)*IF(РоялтиПоГруппам="Да",MeanMinAge09+AP10*SUMIF(ThresholdAge09,"&lt;"&amp;AP10,WeightedRevAge09)-SUMIF(ThresholdAge09,"&lt;"&amp;AP10,WeightedMinAge09),MAX(CapacityAge09*АбонементНовых*AP10,MeanMinAge09)))</f>
        <v/>
      </c>
      <c r="AQ83" s="87">
        <f>IF(OR(('03_Сеть'!AQ31-AQ29)=0,9&lt;=КаникулыРоялти),0,('03_Сеть'!AQ31-AQ29)*IF(РоялтиПоГруппам="Да",MeanMinAge09+AQ10*SUMIF(ThresholdAge09,"&lt;"&amp;AQ10,WeightedRevAge09)-SUMIF(ThresholdAge09,"&lt;"&amp;AQ10,WeightedMinAge09),MAX(CapacityAge09*АбонементНовых*AQ10,MeanMinAge09)))</f>
        <v/>
      </c>
      <c r="AR83" s="87">
        <f>IF(OR(('03_Сеть'!AR31-AR29)=0,9&lt;=КаникулыРоялти),0,('03_Сеть'!AR31-AR29)*IF(РоялтиПоГруппам="Да",MeanMinAge09+AR10*SUMIF(ThresholdAge09,"&lt;"&amp;AR10,WeightedRevAge09)-SUMIF(ThresholdAge09,"&lt;"&amp;AR10,WeightedMinAge09),MAX(CapacityAge09*АбонементНовых*AR10,MeanMinAge09)))</f>
        <v/>
      </c>
      <c r="AS83" s="87">
        <f>IF(OR(('03_Сеть'!AS31-AS29)=0,9&lt;=КаникулыРоялти),0,('03_Сеть'!AS31-AS29)*IF(РоялтиПоГруппам="Да",MeanMinAge09+AS10*SUMIF(ThresholdAge09,"&lt;"&amp;AS10,WeightedRevAge09)-SUMIF(ThresholdAge09,"&lt;"&amp;AS10,WeightedMinAge09),MAX(CapacityAge09*АбонементНовых*AS10,MeanMinAge09)))</f>
        <v/>
      </c>
      <c r="AT83" s="87">
        <f>IF(OR(('03_Сеть'!AT31-AT29)=0,9&lt;=КаникулыРоялти),0,('03_Сеть'!AT31-AT29)*IF(РоялтиПоГруппам="Да",MeanMinAge09+AT10*SUMIF(ThresholdAge09,"&lt;"&amp;AT10,WeightedRevAge09)-SUMIF(ThresholdAge09,"&lt;"&amp;AT10,WeightedMinAge09),MAX(CapacityAge09*АбонементНовых*AT10,MeanMinAge09)))</f>
        <v/>
      </c>
      <c r="AU83" s="87">
        <f>IF(OR(('03_Сеть'!AU31-AU29)=0,9&lt;=КаникулыРоялти),0,('03_Сеть'!AU31-AU29)*IF(РоялтиПоГруппам="Да",MeanMinAge09+AU10*SUMIF(ThresholdAge09,"&lt;"&amp;AU10,WeightedRevAge09)-SUMIF(ThresholdAge09,"&lt;"&amp;AU10,WeightedMinAge09),MAX(CapacityAge09*АбонементНовых*AU10,MeanMinAge09)))</f>
        <v/>
      </c>
      <c r="AV83" s="87">
        <f>IF(OR(('03_Сеть'!AV31-AV29)=0,9&lt;=КаникулыРоялти),0,('03_Сеть'!AV31-AV29)*IF(РоялтиПоГруппам="Да",MeanMinAge09+AV10*SUMIF(ThresholdAge09,"&lt;"&amp;AV10,WeightedRevAge09)-SUMIF(ThresholdAge09,"&lt;"&amp;AV10,WeightedMinAge09),MAX(CapacityAge09*АбонементНовых*AV10,MeanMinAge09)))</f>
        <v/>
      </c>
      <c r="AW83" s="87">
        <f>IF(OR(('03_Сеть'!AW31-AW29)=0,9&lt;=КаникулыРоялти),0,('03_Сеть'!AW31-AW29)*IF(РоялтиПоГруппам="Да",MeanMinAge09+AW10*SUMIF(ThresholdAge09,"&lt;"&amp;AW10,WeightedRevAge09)-SUMIF(ThresholdAge09,"&lt;"&amp;AW10,WeightedMinAge09),MAX(CapacityAge09*АбонементНовых*AW10,MeanMinAge09)))</f>
        <v/>
      </c>
      <c r="AX83" s="87">
        <f>IF(OR(('03_Сеть'!AX31-AX29)=0,9&lt;=КаникулыРоялти),0,('03_Сеть'!AX31-AX29)*IF(РоялтиПоГруппам="Да",MeanMinAge09+AX10*SUMIF(ThresholdAge09,"&lt;"&amp;AX10,WeightedRevAge09)-SUMIF(ThresholdAge09,"&lt;"&amp;AX10,WeightedMinAge09),MAX(CapacityAge09*АбонементНовых*AX10,MeanMinAge09)))</f>
        <v/>
      </c>
      <c r="AY83" s="87">
        <f>IF(OR(('03_Сеть'!AY31-AY29)=0,9&lt;=КаникулыРоялти),0,('03_Сеть'!AY31-AY29)*IF(РоялтиПоГруппам="Да",MeanMinAge09+AY10*SUMIF(ThresholdAge09,"&lt;"&amp;AY10,WeightedRevAge09)-SUMIF(ThresholdAge09,"&lt;"&amp;AY10,WeightedMinAge09),MAX(CapacityAge09*АбонементНовых*AY10,MeanMinAge09)))</f>
        <v/>
      </c>
      <c r="AZ83" s="87">
        <f>IF(OR(('03_Сеть'!AZ31-AZ29)=0,9&lt;=КаникулыРоялти),0,('03_Сеть'!AZ31-AZ29)*IF(РоялтиПоГруппам="Да",MeanMinAge09+AZ10*SUMIF(ThresholdAge09,"&lt;"&amp;AZ10,WeightedRevAge09)-SUMIF(ThresholdAge09,"&lt;"&amp;AZ10,WeightedMinAge09),MAX(CapacityAge09*АбонементНовых*AZ10,MeanMinAge09)))</f>
        <v/>
      </c>
      <c r="BA83" s="87">
        <f>IF(OR(('03_Сеть'!BA31-BA29)=0,9&lt;=КаникулыРоялти),0,('03_Сеть'!BA31-BA29)*IF(РоялтиПоГруппам="Да",MeanMinAge09+BA10*SUMIF(ThresholdAge09,"&lt;"&amp;BA10,WeightedRevAge09)-SUMIF(ThresholdAge09,"&lt;"&amp;BA10,WeightedMinAge09),MAX(CapacityAge09*АбонементНовых*BA10,MeanMinAge09)))</f>
        <v/>
      </c>
      <c r="BB83" s="87">
        <f>IF(OR(('03_Сеть'!BB31-BB29)=0,9&lt;=КаникулыРоялти),0,('03_Сеть'!BB31-BB29)*IF(РоялтиПоГруппам="Да",MeanMinAge09+BB10*SUMIF(ThresholdAge09,"&lt;"&amp;BB10,WeightedRevAge09)-SUMIF(ThresholdAge09,"&lt;"&amp;BB10,WeightedMinAge09),MAX(CapacityAge09*АбонементНовых*BB10,MeanMinAge09)))</f>
        <v/>
      </c>
      <c r="BC83" s="87">
        <f>IF(OR(('03_Сеть'!BC31-BC29)=0,9&lt;=КаникулыРоялти),0,('03_Сеть'!BC31-BC29)*IF(РоялтиПоГруппам="Да",MeanMinAge09+BC10*SUMIF(ThresholdAge09,"&lt;"&amp;BC10,WeightedRevAge09)-SUMIF(ThresholdAge09,"&lt;"&amp;BC10,WeightedMinAge09),MAX(CapacityAge09*АбонементНовых*BC10,MeanMinAge09)))</f>
        <v/>
      </c>
      <c r="BD83" s="87">
        <f>IF(OR(('03_Сеть'!BD31-BD29)=0,9&lt;=КаникулыРоялти),0,('03_Сеть'!BD31-BD29)*IF(РоялтиПоГруппам="Да",MeanMinAge09+BD10*SUMIF(ThresholdAge09,"&lt;"&amp;BD10,WeightedRevAge09)-SUMIF(ThresholdAge09,"&lt;"&amp;BD10,WeightedMinAge09),MAX(CapacityAge09*АбонементНовых*BD10,MeanMinAge09)))</f>
        <v/>
      </c>
      <c r="BE83" s="87">
        <f>IF(OR(('03_Сеть'!BE31-BE29)=0,9&lt;=КаникулыРоялти),0,('03_Сеть'!BE31-BE29)*IF(РоялтиПоГруппам="Да",MeanMinAge09+BE10*SUMIF(ThresholdAge09,"&lt;"&amp;BE10,WeightedRevAge09)-SUMIF(ThresholdAge09,"&lt;"&amp;BE10,WeightedMinAge09),MAX(CapacityAge09*АбонементНовых*BE10,MeanMinAge09)))</f>
        <v/>
      </c>
      <c r="BF83" s="87">
        <f>IF(OR(('03_Сеть'!BF31-BF29)=0,9&lt;=КаникулыРоялти),0,('03_Сеть'!BF31-BF29)*IF(РоялтиПоГруппам="Да",MeanMinAge09+BF10*SUMIF(ThresholdAge09,"&lt;"&amp;BF10,WeightedRevAge09)-SUMIF(ThresholdAge09,"&lt;"&amp;BF10,WeightedMinAge09),MAX(CapacityAge09*АбонементНовых*BF10,MeanMinAge09)))</f>
        <v/>
      </c>
      <c r="BG83" s="87">
        <f>IF(OR(('03_Сеть'!BG31-BG29)=0,9&lt;=КаникулыРоялти),0,('03_Сеть'!BG31-BG29)*IF(РоялтиПоГруппам="Да",MeanMinAge09+BG10*SUMIF(ThresholdAge09,"&lt;"&amp;BG10,WeightedRevAge09)-SUMIF(ThresholdAge09,"&lt;"&amp;BG10,WeightedMinAge09),MAX(CapacityAge09*АбонементНовых*BG10,MeanMinAge09)))</f>
        <v/>
      </c>
      <c r="BH83" s="87">
        <f>IF(OR(('03_Сеть'!BH31-BH29)=0,9&lt;=КаникулыРоялти),0,('03_Сеть'!BH31-BH29)*IF(РоялтиПоГруппам="Да",MeanMinAge09+BH10*SUMIF(ThresholdAge09,"&lt;"&amp;BH10,WeightedRevAge09)-SUMIF(ThresholdAge09,"&lt;"&amp;BH10,WeightedMinAge09),MAX(CapacityAge09*АбонементНовых*BH10,MeanMinAge09)))</f>
        <v/>
      </c>
      <c r="BI83" s="87">
        <f>IF(OR(('03_Сеть'!BI31-BI29)=0,9&lt;=КаникулыРоялти),0,('03_Сеть'!BI31-BI29)*IF(РоялтиПоГруппам="Да",MeanMinAge09+BI10*SUMIF(ThresholdAge09,"&lt;"&amp;BI10,WeightedRevAge09)-SUMIF(ThresholdAge09,"&lt;"&amp;BI10,WeightedMinAge09),MAX(CapacityAge09*АбонементНовых*BI10,MeanMinAge09)))</f>
        <v/>
      </c>
      <c r="BJ83" s="87">
        <f>IF(OR(('03_Сеть'!BJ31-BJ29)=0,9&lt;=КаникулыРоялти),0,('03_Сеть'!BJ31-BJ29)*IF(РоялтиПоГруппам="Да",MeanMinAge09+BJ10*SUMIF(ThresholdAge09,"&lt;"&amp;BJ10,WeightedRevAge09)-SUMIF(ThresholdAge09,"&lt;"&amp;BJ10,WeightedMinAge09),MAX(CapacityAge09*АбонементНовых*BJ10,MeanMinAge09)))</f>
        <v/>
      </c>
      <c r="BK83" s="87">
        <f>IF(OR(('03_Сеть'!BK31-BK29)=0,9&lt;=КаникулыРоялти),0,('03_Сеть'!BK31-BK29)*IF(РоялтиПоГруппам="Да",MeanMinAge09+BK10*SUMIF(ThresholdAge09,"&lt;"&amp;BK10,WeightedRevAge09)-SUMIF(ThresholdAge09,"&lt;"&amp;BK10,WeightedMinAge09),MAX(CapacityAge09*АбонементНовых*BK10,MeanMinAge09)))</f>
        <v/>
      </c>
      <c r="BL83" s="87">
        <f>IF(OR(('03_Сеть'!BL31-BL29)=0,9&lt;=КаникулыРоялти),0,('03_Сеть'!BL31-BL29)*IF(РоялтиПоГруппам="Да",MeanMinAge09+BL10*SUMIF(ThresholdAge09,"&lt;"&amp;BL10,WeightedRevAge09)-SUMIF(ThresholdAge09,"&lt;"&amp;BL10,WeightedMinAge09),MAX(CapacityAge09*АбонементНовых*BL10,MeanMinAge09)))</f>
        <v/>
      </c>
      <c r="BM83" s="87">
        <f>IF(OR(('03_Сеть'!BM31-BM29)=0,9&lt;=КаникулыРоялти),0,('03_Сеть'!BM31-BM29)*IF(РоялтиПоГруппам="Да",MeanMinAge09+BM10*SUMIF(ThresholdAge09,"&lt;"&amp;BM10,WeightedRevAge09)-SUMIF(ThresholdAge09,"&lt;"&amp;BM10,WeightedMinAge09),MAX(CapacityAge09*АбонементНовых*BM10,MeanMinAge09)))</f>
        <v/>
      </c>
      <c r="BN83" s="87">
        <f>IF(OR(('03_Сеть'!BN31-BN29)=0,9&lt;=КаникулыРоялти),0,('03_Сеть'!BN31-BN29)*IF(РоялтиПоГруппам="Да",MeanMinAge09+BN10*SUMIF(ThresholdAge09,"&lt;"&amp;BN10,WeightedRevAge09)-SUMIF(ThresholdAge09,"&lt;"&amp;BN10,WeightedMinAge09),MAX(CapacityAge09*АбонементНовых*BN10,MeanMinAge09)))</f>
        <v/>
      </c>
      <c r="BO83" s="87">
        <f>IF(OR(('03_Сеть'!BO31-BO29)=0,9&lt;=КаникулыРоялти),0,('03_Сеть'!BO31-BO29)*IF(РоялтиПоГруппам="Да",MeanMinAge09+BO10*SUMIF(ThresholdAge09,"&lt;"&amp;BO10,WeightedRevAge09)-SUMIF(ThresholdAge09,"&lt;"&amp;BO10,WeightedMinAge09),MAX(CapacityAge09*АбонементНовых*BO10,MeanMinAge09)))</f>
        <v/>
      </c>
      <c r="BP83" s="87">
        <f>IF(OR(('03_Сеть'!BP31-BP29)=0,9&lt;=КаникулыРоялти),0,('03_Сеть'!BP31-BP29)*IF(РоялтиПоГруппам="Да",MeanMinAge09+BP10*SUMIF(ThresholdAge09,"&lt;"&amp;BP10,WeightedRevAge09)-SUMIF(ThresholdAge09,"&lt;"&amp;BP10,WeightedMinAge09),MAX(CapacityAge09*АбонементНовых*BP10,MeanMinAge09)))</f>
        <v/>
      </c>
      <c r="BQ83" s="87">
        <f>IF(OR(('03_Сеть'!BQ31-BQ29)=0,9&lt;=КаникулыРоялти),0,('03_Сеть'!BQ31-BQ29)*IF(РоялтиПоГруппам="Да",MeanMinAge09+BQ10*SUMIF(ThresholdAge09,"&lt;"&amp;BQ10,WeightedRevAge09)-SUMIF(ThresholdAge09,"&lt;"&amp;BQ10,WeightedMinAge09),MAX(CapacityAge09*АбонементНовых*BQ10,MeanMinAge09)))</f>
        <v/>
      </c>
      <c r="BR83" s="87">
        <f>IF(OR(('03_Сеть'!BR31-BR29)=0,9&lt;=КаникулыРоялти),0,('03_Сеть'!BR31-BR29)*IF(РоялтиПоГруппам="Да",MeanMinAge09+BR10*SUMIF(ThresholdAge09,"&lt;"&amp;BR10,WeightedRevAge09)-SUMIF(ThresholdAge09,"&lt;"&amp;BR10,WeightedMinAge09),MAX(CapacityAge09*АбонементНовых*BR10,MeanMinAge09)))</f>
        <v/>
      </c>
      <c r="BS83" s="87">
        <f>IF(OR(('03_Сеть'!BS31-BS29)=0,9&lt;=КаникулыРоялти),0,('03_Сеть'!BS31-BS29)*IF(РоялтиПоГруппам="Да",MeanMinAge09+BS10*SUMIF(ThresholdAge09,"&lt;"&amp;BS10,WeightedRevAge09)-SUMIF(ThresholdAge09,"&lt;"&amp;BS10,WeightedMinAge09),MAX(CapacityAge09*АбонементНовых*BS10,MeanMinAge09)))</f>
        <v/>
      </c>
      <c r="BT83" s="87">
        <f>IF(OR(('03_Сеть'!BT31-BT29)=0,9&lt;=КаникулыРоялти),0,('03_Сеть'!BT31-BT29)*IF(РоялтиПоГруппам="Да",MeanMinAge09+BT10*SUMIF(ThresholdAge09,"&lt;"&amp;BT10,WeightedRevAge09)-SUMIF(ThresholdAge09,"&lt;"&amp;BT10,WeightedMinAge09),MAX(CapacityAge09*АбонементНовых*BT10,MeanMinAge09)))</f>
        <v/>
      </c>
      <c r="BU83" s="87">
        <f>IF(OR(('03_Сеть'!BU31-BU29)=0,9&lt;=КаникулыРоялти),0,('03_Сеть'!BU31-BU29)*IF(РоялтиПоГруппам="Да",MeanMinAge09+BU10*SUMIF(ThresholdAge09,"&lt;"&amp;BU10,WeightedRevAge09)-SUMIF(ThresholdAge09,"&lt;"&amp;BU10,WeightedMinAge09),MAX(CapacityAge09*АбонементНовых*BU10,MeanMinAge09)))</f>
        <v/>
      </c>
      <c r="BV83" s="87">
        <f>IF(OR(('03_Сеть'!BV31-BV29)=0,9&lt;=КаникулыРоялти),0,('03_Сеть'!BV31-BV29)*IF(РоялтиПоГруппам="Да",MeanMinAge09+BV10*SUMIF(ThresholdAge09,"&lt;"&amp;BV10,WeightedRevAge09)-SUMIF(ThresholdAge09,"&lt;"&amp;BV10,WeightedMinAge09),MAX(CapacityAge09*АбонементНовых*BV10,MeanMinAge09)))</f>
        <v/>
      </c>
      <c r="BW83" s="87">
        <f>IF(OR(('03_Сеть'!BW31-BW29)=0,9&lt;=КаникулыРоялти),0,('03_Сеть'!BW31-BW29)*IF(РоялтиПоГруппам="Да",MeanMinAge09+BW10*SUMIF(ThresholdAge09,"&lt;"&amp;BW10,WeightedRevAge09)-SUMIF(ThresholdAge09,"&lt;"&amp;BW10,WeightedMinAge09),MAX(CapacityAge09*АбонементНовых*BW10,MeanMinAge09)))</f>
        <v/>
      </c>
      <c r="BX83" s="87">
        <f>IF(OR(('03_Сеть'!BX31-BX29)=0,9&lt;=КаникулыРоялти),0,('03_Сеть'!BX31-BX29)*IF(РоялтиПоГруппам="Да",MeanMinAge09+BX10*SUMIF(ThresholdAge09,"&lt;"&amp;BX10,WeightedRevAge09)-SUMIF(ThresholdAge09,"&lt;"&amp;BX10,WeightedMinAge09),MAX(CapacityAge09*АбонементНовых*BX10,MeanMinAge09)))</f>
        <v/>
      </c>
      <c r="BY83" s="87">
        <f>IF(OR(('03_Сеть'!BY31-BY29)=0,9&lt;=КаникулыРоялти),0,('03_Сеть'!BY31-BY29)*IF(РоялтиПоГруппам="Да",MeanMinAge09+BY10*SUMIF(ThresholdAge09,"&lt;"&amp;BY10,WeightedRevAge09)-SUMIF(ThresholdAge09,"&lt;"&amp;BY10,WeightedMinAge09),MAX(CapacityAge09*АбонементНовых*BY10,MeanMinAge09)))</f>
        <v/>
      </c>
    </row>
    <row r="84" ht="15.75" customHeight="1" s="194">
      <c r="B84" s="56" t="inlineStr">
        <is>
          <t>10 мес.</t>
        </is>
      </c>
      <c r="C84" s="56" t="inlineStr">
        <is>
          <t>₽</t>
        </is>
      </c>
      <c r="D84" s="57" t="n"/>
      <c r="E84" s="85">
        <f>SUM(L84:W84)</f>
        <v/>
      </c>
      <c r="F84" s="85">
        <f>SUM(X84:AI84)</f>
        <v/>
      </c>
      <c r="G84" s="85">
        <f>SUM(AJ84:AU84)</f>
        <v/>
      </c>
      <c r="H84" s="85">
        <f>SUM(AV84:BG84)</f>
        <v/>
      </c>
      <c r="I84" s="85">
        <f>SUM(BH84:BS84)</f>
        <v/>
      </c>
      <c r="J84" s="86">
        <f>SUM(L84:BS84)</f>
        <v/>
      </c>
      <c r="L84" s="87">
        <f>IF(OR(('03_Сеть'!L32-L30)=0,10&lt;=КаникулыРоялти),0,('03_Сеть'!L32-L30)*IF(РоялтиПоГруппам="Да",MeanMinAge10+L10*SUMIF(ThresholdAge10,"&lt;"&amp;L10,WeightedRevAge10)-SUMIF(ThresholdAge10,"&lt;"&amp;L10,WeightedMinAge10),MAX(CapacityAge10*АбонементНовых*L10,MeanMinAge10)))</f>
        <v/>
      </c>
      <c r="M84" s="87">
        <f>IF(OR(('03_Сеть'!M32-M30)=0,10&lt;=КаникулыРоялти),0,('03_Сеть'!M32-M30)*IF(РоялтиПоГруппам="Да",MeanMinAge10+M10*SUMIF(ThresholdAge10,"&lt;"&amp;M10,WeightedRevAge10)-SUMIF(ThresholdAge10,"&lt;"&amp;M10,WeightedMinAge10),MAX(CapacityAge10*АбонементНовых*M10,MeanMinAge10)))</f>
        <v/>
      </c>
      <c r="N84" s="87">
        <f>IF(OR(('03_Сеть'!N32-N30)=0,10&lt;=КаникулыРоялти),0,('03_Сеть'!N32-N30)*IF(РоялтиПоГруппам="Да",MeanMinAge10+N10*SUMIF(ThresholdAge10,"&lt;"&amp;N10,WeightedRevAge10)-SUMIF(ThresholdAge10,"&lt;"&amp;N10,WeightedMinAge10),MAX(CapacityAge10*АбонементНовых*N10,MeanMinAge10)))</f>
        <v/>
      </c>
      <c r="O84" s="87">
        <f>IF(OR(('03_Сеть'!O32-O30)=0,10&lt;=КаникулыРоялти),0,('03_Сеть'!O32-O30)*IF(РоялтиПоГруппам="Да",MeanMinAge10+O10*SUMIF(ThresholdAge10,"&lt;"&amp;O10,WeightedRevAge10)-SUMIF(ThresholdAge10,"&lt;"&amp;O10,WeightedMinAge10),MAX(CapacityAge10*АбонементНовых*O10,MeanMinAge10)))</f>
        <v/>
      </c>
      <c r="P84" s="87">
        <f>IF(OR(('03_Сеть'!P32-P30)=0,10&lt;=КаникулыРоялти),0,('03_Сеть'!P32-P30)*IF(РоялтиПоГруппам="Да",MeanMinAge10+P10*SUMIF(ThresholdAge10,"&lt;"&amp;P10,WeightedRevAge10)-SUMIF(ThresholdAge10,"&lt;"&amp;P10,WeightedMinAge10),MAX(CapacityAge10*АбонементНовых*P10,MeanMinAge10)))</f>
        <v/>
      </c>
      <c r="Q84" s="87">
        <f>IF(OR(('03_Сеть'!Q32-Q30)=0,10&lt;=КаникулыРоялти),0,('03_Сеть'!Q32-Q30)*IF(РоялтиПоГруппам="Да",MeanMinAge10+Q10*SUMIF(ThresholdAge10,"&lt;"&amp;Q10,WeightedRevAge10)-SUMIF(ThresholdAge10,"&lt;"&amp;Q10,WeightedMinAge10),MAX(CapacityAge10*АбонементНовых*Q10,MeanMinAge10)))</f>
        <v/>
      </c>
      <c r="R84" s="87">
        <f>IF(OR(('03_Сеть'!R32-R30)=0,10&lt;=КаникулыРоялти),0,('03_Сеть'!R32-R30)*IF(РоялтиПоГруппам="Да",MeanMinAge10+R10*SUMIF(ThresholdAge10,"&lt;"&amp;R10,WeightedRevAge10)-SUMIF(ThresholdAge10,"&lt;"&amp;R10,WeightedMinAge10),MAX(CapacityAge10*АбонементНовых*R10,MeanMinAge10)))</f>
        <v/>
      </c>
      <c r="S84" s="87">
        <f>IF(OR(('03_Сеть'!S32-S30)=0,10&lt;=КаникулыРоялти),0,('03_Сеть'!S32-S30)*IF(РоялтиПоГруппам="Да",MeanMinAge10+S10*SUMIF(ThresholdAge10,"&lt;"&amp;S10,WeightedRevAge10)-SUMIF(ThresholdAge10,"&lt;"&amp;S10,WeightedMinAge10),MAX(CapacityAge10*АбонементНовых*S10,MeanMinAge10)))</f>
        <v/>
      </c>
      <c r="T84" s="87">
        <f>IF(OR(('03_Сеть'!T32-T30)=0,10&lt;=КаникулыРоялти),0,('03_Сеть'!T32-T30)*IF(РоялтиПоГруппам="Да",MeanMinAge10+T10*SUMIF(ThresholdAge10,"&lt;"&amp;T10,WeightedRevAge10)-SUMIF(ThresholdAge10,"&lt;"&amp;T10,WeightedMinAge10),MAX(CapacityAge10*АбонементНовых*T10,MeanMinAge10)))</f>
        <v/>
      </c>
      <c r="U84" s="87">
        <f>IF(OR(('03_Сеть'!U32-U30)=0,10&lt;=КаникулыРоялти),0,('03_Сеть'!U32-U30)*IF(РоялтиПоГруппам="Да",MeanMinAge10+U10*SUMIF(ThresholdAge10,"&lt;"&amp;U10,WeightedRevAge10)-SUMIF(ThresholdAge10,"&lt;"&amp;U10,WeightedMinAge10),MAX(CapacityAge10*АбонементНовых*U10,MeanMinAge10)))</f>
        <v/>
      </c>
      <c r="V84" s="87">
        <f>IF(OR(('03_Сеть'!V32-V30)=0,10&lt;=КаникулыРоялти),0,('03_Сеть'!V32-V30)*IF(РоялтиПоГруппам="Да",MeanMinAge10+V10*SUMIF(ThresholdAge10,"&lt;"&amp;V10,WeightedRevAge10)-SUMIF(ThresholdAge10,"&lt;"&amp;V10,WeightedMinAge10),MAX(CapacityAge10*АбонементНовых*V10,MeanMinAge10)))</f>
        <v/>
      </c>
      <c r="W84" s="87">
        <f>IF(OR(('03_Сеть'!W32-W30)=0,10&lt;=КаникулыРоялти),0,('03_Сеть'!W32-W30)*IF(РоялтиПоГруппам="Да",MeanMinAge10+W10*SUMIF(ThresholdAge10,"&lt;"&amp;W10,WeightedRevAge10)-SUMIF(ThresholdAge10,"&lt;"&amp;W10,WeightedMinAge10),MAX(CapacityAge10*АбонементНовых*W10,MeanMinAge10)))</f>
        <v/>
      </c>
      <c r="X84" s="87">
        <f>IF(OR(('03_Сеть'!X32-X30)=0,10&lt;=КаникулыРоялти),0,('03_Сеть'!X32-X30)*IF(РоялтиПоГруппам="Да",MeanMinAge10+X10*SUMIF(ThresholdAge10,"&lt;"&amp;X10,WeightedRevAge10)-SUMIF(ThresholdAge10,"&lt;"&amp;X10,WeightedMinAge10),MAX(CapacityAge10*АбонементНовых*X10,MeanMinAge10)))</f>
        <v/>
      </c>
      <c r="Y84" s="87">
        <f>IF(OR(('03_Сеть'!Y32-Y30)=0,10&lt;=КаникулыРоялти),0,('03_Сеть'!Y32-Y30)*IF(РоялтиПоГруппам="Да",MeanMinAge10+Y10*SUMIF(ThresholdAge10,"&lt;"&amp;Y10,WeightedRevAge10)-SUMIF(ThresholdAge10,"&lt;"&amp;Y10,WeightedMinAge10),MAX(CapacityAge10*АбонементНовых*Y10,MeanMinAge10)))</f>
        <v/>
      </c>
      <c r="Z84" s="87">
        <f>IF(OR(('03_Сеть'!Z32-Z30)=0,10&lt;=КаникулыРоялти),0,('03_Сеть'!Z32-Z30)*IF(РоялтиПоГруппам="Да",MeanMinAge10+Z10*SUMIF(ThresholdAge10,"&lt;"&amp;Z10,WeightedRevAge10)-SUMIF(ThresholdAge10,"&lt;"&amp;Z10,WeightedMinAge10),MAX(CapacityAge10*АбонементНовых*Z10,MeanMinAge10)))</f>
        <v/>
      </c>
      <c r="AA84" s="87">
        <f>IF(OR(('03_Сеть'!AA32-AA30)=0,10&lt;=КаникулыРоялти),0,('03_Сеть'!AA32-AA30)*IF(РоялтиПоГруппам="Да",MeanMinAge10+AA10*SUMIF(ThresholdAge10,"&lt;"&amp;AA10,WeightedRevAge10)-SUMIF(ThresholdAge10,"&lt;"&amp;AA10,WeightedMinAge10),MAX(CapacityAge10*АбонементНовых*AA10,MeanMinAge10)))</f>
        <v/>
      </c>
      <c r="AB84" s="87">
        <f>IF(OR(('03_Сеть'!AB32-AB30)=0,10&lt;=КаникулыРоялти),0,('03_Сеть'!AB32-AB30)*IF(РоялтиПоГруппам="Да",MeanMinAge10+AB10*SUMIF(ThresholdAge10,"&lt;"&amp;AB10,WeightedRevAge10)-SUMIF(ThresholdAge10,"&lt;"&amp;AB10,WeightedMinAge10),MAX(CapacityAge10*АбонементНовых*AB10,MeanMinAge10)))</f>
        <v/>
      </c>
      <c r="AC84" s="87">
        <f>IF(OR(('03_Сеть'!AC32-AC30)=0,10&lt;=КаникулыРоялти),0,('03_Сеть'!AC32-AC30)*IF(РоялтиПоГруппам="Да",MeanMinAge10+AC10*SUMIF(ThresholdAge10,"&lt;"&amp;AC10,WeightedRevAge10)-SUMIF(ThresholdAge10,"&lt;"&amp;AC10,WeightedMinAge10),MAX(CapacityAge10*АбонементНовых*AC10,MeanMinAge10)))</f>
        <v/>
      </c>
      <c r="AD84" s="87">
        <f>IF(OR(('03_Сеть'!AD32-AD30)=0,10&lt;=КаникулыРоялти),0,('03_Сеть'!AD32-AD30)*IF(РоялтиПоГруппам="Да",MeanMinAge10+AD10*SUMIF(ThresholdAge10,"&lt;"&amp;AD10,WeightedRevAge10)-SUMIF(ThresholdAge10,"&lt;"&amp;AD10,WeightedMinAge10),MAX(CapacityAge10*АбонементНовых*AD10,MeanMinAge10)))</f>
        <v/>
      </c>
      <c r="AE84" s="87">
        <f>IF(OR(('03_Сеть'!AE32-AE30)=0,10&lt;=КаникулыРоялти),0,('03_Сеть'!AE32-AE30)*IF(РоялтиПоГруппам="Да",MeanMinAge10+AE10*SUMIF(ThresholdAge10,"&lt;"&amp;AE10,WeightedRevAge10)-SUMIF(ThresholdAge10,"&lt;"&amp;AE10,WeightedMinAge10),MAX(CapacityAge10*АбонементНовых*AE10,MeanMinAge10)))</f>
        <v/>
      </c>
      <c r="AF84" s="87">
        <f>IF(OR(('03_Сеть'!AF32-AF30)=0,10&lt;=КаникулыРоялти),0,('03_Сеть'!AF32-AF30)*IF(РоялтиПоГруппам="Да",MeanMinAge10+AF10*SUMIF(ThresholdAge10,"&lt;"&amp;AF10,WeightedRevAge10)-SUMIF(ThresholdAge10,"&lt;"&amp;AF10,WeightedMinAge10),MAX(CapacityAge10*АбонементНовых*AF10,MeanMinAge10)))</f>
        <v/>
      </c>
      <c r="AG84" s="87">
        <f>IF(OR(('03_Сеть'!AG32-AG30)=0,10&lt;=КаникулыРоялти),0,('03_Сеть'!AG32-AG30)*IF(РоялтиПоГруппам="Да",MeanMinAge10+AG10*SUMIF(ThresholdAge10,"&lt;"&amp;AG10,WeightedRevAge10)-SUMIF(ThresholdAge10,"&lt;"&amp;AG10,WeightedMinAge10),MAX(CapacityAge10*АбонементНовых*AG10,MeanMinAge10)))</f>
        <v/>
      </c>
      <c r="AH84" s="87">
        <f>IF(OR(('03_Сеть'!AH32-AH30)=0,10&lt;=КаникулыРоялти),0,('03_Сеть'!AH32-AH30)*IF(РоялтиПоГруппам="Да",MeanMinAge10+AH10*SUMIF(ThresholdAge10,"&lt;"&amp;AH10,WeightedRevAge10)-SUMIF(ThresholdAge10,"&lt;"&amp;AH10,WeightedMinAge10),MAX(CapacityAge10*АбонементНовых*AH10,MeanMinAge10)))</f>
        <v/>
      </c>
      <c r="AI84" s="87">
        <f>IF(OR(('03_Сеть'!AI32-AI30)=0,10&lt;=КаникулыРоялти),0,('03_Сеть'!AI32-AI30)*IF(РоялтиПоГруппам="Да",MeanMinAge10+AI10*SUMIF(ThresholdAge10,"&lt;"&amp;AI10,WeightedRevAge10)-SUMIF(ThresholdAge10,"&lt;"&amp;AI10,WeightedMinAge10),MAX(CapacityAge10*АбонементНовых*AI10,MeanMinAge10)))</f>
        <v/>
      </c>
      <c r="AJ84" s="87">
        <f>IF(OR(('03_Сеть'!AJ32-AJ30)=0,10&lt;=КаникулыРоялти),0,('03_Сеть'!AJ32-AJ30)*IF(РоялтиПоГруппам="Да",MeanMinAge10+AJ10*SUMIF(ThresholdAge10,"&lt;"&amp;AJ10,WeightedRevAge10)-SUMIF(ThresholdAge10,"&lt;"&amp;AJ10,WeightedMinAge10),MAX(CapacityAge10*АбонементНовых*AJ10,MeanMinAge10)))</f>
        <v/>
      </c>
      <c r="AK84" s="87">
        <f>IF(OR(('03_Сеть'!AK32-AK30)=0,10&lt;=КаникулыРоялти),0,('03_Сеть'!AK32-AK30)*IF(РоялтиПоГруппам="Да",MeanMinAge10+AK10*SUMIF(ThresholdAge10,"&lt;"&amp;AK10,WeightedRevAge10)-SUMIF(ThresholdAge10,"&lt;"&amp;AK10,WeightedMinAge10),MAX(CapacityAge10*АбонементНовых*AK10,MeanMinAge10)))</f>
        <v/>
      </c>
      <c r="AL84" s="87">
        <f>IF(OR(('03_Сеть'!AL32-AL30)=0,10&lt;=КаникулыРоялти),0,('03_Сеть'!AL32-AL30)*IF(РоялтиПоГруппам="Да",MeanMinAge10+AL10*SUMIF(ThresholdAge10,"&lt;"&amp;AL10,WeightedRevAge10)-SUMIF(ThresholdAge10,"&lt;"&amp;AL10,WeightedMinAge10),MAX(CapacityAge10*АбонементНовых*AL10,MeanMinAge10)))</f>
        <v/>
      </c>
      <c r="AM84" s="87">
        <f>IF(OR(('03_Сеть'!AM32-AM30)=0,10&lt;=КаникулыРоялти),0,('03_Сеть'!AM32-AM30)*IF(РоялтиПоГруппам="Да",MeanMinAge10+AM10*SUMIF(ThresholdAge10,"&lt;"&amp;AM10,WeightedRevAge10)-SUMIF(ThresholdAge10,"&lt;"&amp;AM10,WeightedMinAge10),MAX(CapacityAge10*АбонементНовых*AM10,MeanMinAge10)))</f>
        <v/>
      </c>
      <c r="AN84" s="87">
        <f>IF(OR(('03_Сеть'!AN32-AN30)=0,10&lt;=КаникулыРоялти),0,('03_Сеть'!AN32-AN30)*IF(РоялтиПоГруппам="Да",MeanMinAge10+AN10*SUMIF(ThresholdAge10,"&lt;"&amp;AN10,WeightedRevAge10)-SUMIF(ThresholdAge10,"&lt;"&amp;AN10,WeightedMinAge10),MAX(CapacityAge10*АбонементНовых*AN10,MeanMinAge10)))</f>
        <v/>
      </c>
      <c r="AO84" s="87">
        <f>IF(OR(('03_Сеть'!AO32-AO30)=0,10&lt;=КаникулыРоялти),0,('03_Сеть'!AO32-AO30)*IF(РоялтиПоГруппам="Да",MeanMinAge10+AO10*SUMIF(ThresholdAge10,"&lt;"&amp;AO10,WeightedRevAge10)-SUMIF(ThresholdAge10,"&lt;"&amp;AO10,WeightedMinAge10),MAX(CapacityAge10*АбонементНовых*AO10,MeanMinAge10)))</f>
        <v/>
      </c>
      <c r="AP84" s="87">
        <f>IF(OR(('03_Сеть'!AP32-AP30)=0,10&lt;=КаникулыРоялти),0,('03_Сеть'!AP32-AP30)*IF(РоялтиПоГруппам="Да",MeanMinAge10+AP10*SUMIF(ThresholdAge10,"&lt;"&amp;AP10,WeightedRevAge10)-SUMIF(ThresholdAge10,"&lt;"&amp;AP10,WeightedMinAge10),MAX(CapacityAge10*АбонементНовых*AP10,MeanMinAge10)))</f>
        <v/>
      </c>
      <c r="AQ84" s="87">
        <f>IF(OR(('03_Сеть'!AQ32-AQ30)=0,10&lt;=КаникулыРоялти),0,('03_Сеть'!AQ32-AQ30)*IF(РоялтиПоГруппам="Да",MeanMinAge10+AQ10*SUMIF(ThresholdAge10,"&lt;"&amp;AQ10,WeightedRevAge10)-SUMIF(ThresholdAge10,"&lt;"&amp;AQ10,WeightedMinAge10),MAX(CapacityAge10*АбонементНовых*AQ10,MeanMinAge10)))</f>
        <v/>
      </c>
      <c r="AR84" s="87">
        <f>IF(OR(('03_Сеть'!AR32-AR30)=0,10&lt;=КаникулыРоялти),0,('03_Сеть'!AR32-AR30)*IF(РоялтиПоГруппам="Да",MeanMinAge10+AR10*SUMIF(ThresholdAge10,"&lt;"&amp;AR10,WeightedRevAge10)-SUMIF(ThresholdAge10,"&lt;"&amp;AR10,WeightedMinAge10),MAX(CapacityAge10*АбонементНовых*AR10,MeanMinAge10)))</f>
        <v/>
      </c>
      <c r="AS84" s="87">
        <f>IF(OR(('03_Сеть'!AS32-AS30)=0,10&lt;=КаникулыРоялти),0,('03_Сеть'!AS32-AS30)*IF(РоялтиПоГруппам="Да",MeanMinAge10+AS10*SUMIF(ThresholdAge10,"&lt;"&amp;AS10,WeightedRevAge10)-SUMIF(ThresholdAge10,"&lt;"&amp;AS10,WeightedMinAge10),MAX(CapacityAge10*АбонементНовых*AS10,MeanMinAge10)))</f>
        <v/>
      </c>
      <c r="AT84" s="87">
        <f>IF(OR(('03_Сеть'!AT32-AT30)=0,10&lt;=КаникулыРоялти),0,('03_Сеть'!AT32-AT30)*IF(РоялтиПоГруппам="Да",MeanMinAge10+AT10*SUMIF(ThresholdAge10,"&lt;"&amp;AT10,WeightedRevAge10)-SUMIF(ThresholdAge10,"&lt;"&amp;AT10,WeightedMinAge10),MAX(CapacityAge10*АбонементНовых*AT10,MeanMinAge10)))</f>
        <v/>
      </c>
      <c r="AU84" s="87">
        <f>IF(OR(('03_Сеть'!AU32-AU30)=0,10&lt;=КаникулыРоялти),0,('03_Сеть'!AU32-AU30)*IF(РоялтиПоГруппам="Да",MeanMinAge10+AU10*SUMIF(ThresholdAge10,"&lt;"&amp;AU10,WeightedRevAge10)-SUMIF(ThresholdAge10,"&lt;"&amp;AU10,WeightedMinAge10),MAX(CapacityAge10*АбонементНовых*AU10,MeanMinAge10)))</f>
        <v/>
      </c>
      <c r="AV84" s="87">
        <f>IF(OR(('03_Сеть'!AV32-AV30)=0,10&lt;=КаникулыРоялти),0,('03_Сеть'!AV32-AV30)*IF(РоялтиПоГруппам="Да",MeanMinAge10+AV10*SUMIF(ThresholdAge10,"&lt;"&amp;AV10,WeightedRevAge10)-SUMIF(ThresholdAge10,"&lt;"&amp;AV10,WeightedMinAge10),MAX(CapacityAge10*АбонементНовых*AV10,MeanMinAge10)))</f>
        <v/>
      </c>
      <c r="AW84" s="87">
        <f>IF(OR(('03_Сеть'!AW32-AW30)=0,10&lt;=КаникулыРоялти),0,('03_Сеть'!AW32-AW30)*IF(РоялтиПоГруппам="Да",MeanMinAge10+AW10*SUMIF(ThresholdAge10,"&lt;"&amp;AW10,WeightedRevAge10)-SUMIF(ThresholdAge10,"&lt;"&amp;AW10,WeightedMinAge10),MAX(CapacityAge10*АбонементНовых*AW10,MeanMinAge10)))</f>
        <v/>
      </c>
      <c r="AX84" s="87">
        <f>IF(OR(('03_Сеть'!AX32-AX30)=0,10&lt;=КаникулыРоялти),0,('03_Сеть'!AX32-AX30)*IF(РоялтиПоГруппам="Да",MeanMinAge10+AX10*SUMIF(ThresholdAge10,"&lt;"&amp;AX10,WeightedRevAge10)-SUMIF(ThresholdAge10,"&lt;"&amp;AX10,WeightedMinAge10),MAX(CapacityAge10*АбонементНовых*AX10,MeanMinAge10)))</f>
        <v/>
      </c>
      <c r="AY84" s="87">
        <f>IF(OR(('03_Сеть'!AY32-AY30)=0,10&lt;=КаникулыРоялти),0,('03_Сеть'!AY32-AY30)*IF(РоялтиПоГруппам="Да",MeanMinAge10+AY10*SUMIF(ThresholdAge10,"&lt;"&amp;AY10,WeightedRevAge10)-SUMIF(ThresholdAge10,"&lt;"&amp;AY10,WeightedMinAge10),MAX(CapacityAge10*АбонементНовых*AY10,MeanMinAge10)))</f>
        <v/>
      </c>
      <c r="AZ84" s="87">
        <f>IF(OR(('03_Сеть'!AZ32-AZ30)=0,10&lt;=КаникулыРоялти),0,('03_Сеть'!AZ32-AZ30)*IF(РоялтиПоГруппам="Да",MeanMinAge10+AZ10*SUMIF(ThresholdAge10,"&lt;"&amp;AZ10,WeightedRevAge10)-SUMIF(ThresholdAge10,"&lt;"&amp;AZ10,WeightedMinAge10),MAX(CapacityAge10*АбонементНовых*AZ10,MeanMinAge10)))</f>
        <v/>
      </c>
      <c r="BA84" s="87">
        <f>IF(OR(('03_Сеть'!BA32-BA30)=0,10&lt;=КаникулыРоялти),0,('03_Сеть'!BA32-BA30)*IF(РоялтиПоГруппам="Да",MeanMinAge10+BA10*SUMIF(ThresholdAge10,"&lt;"&amp;BA10,WeightedRevAge10)-SUMIF(ThresholdAge10,"&lt;"&amp;BA10,WeightedMinAge10),MAX(CapacityAge10*АбонементНовых*BA10,MeanMinAge10)))</f>
        <v/>
      </c>
      <c r="BB84" s="87">
        <f>IF(OR(('03_Сеть'!BB32-BB30)=0,10&lt;=КаникулыРоялти),0,('03_Сеть'!BB32-BB30)*IF(РоялтиПоГруппам="Да",MeanMinAge10+BB10*SUMIF(ThresholdAge10,"&lt;"&amp;BB10,WeightedRevAge10)-SUMIF(ThresholdAge10,"&lt;"&amp;BB10,WeightedMinAge10),MAX(CapacityAge10*АбонементНовых*BB10,MeanMinAge10)))</f>
        <v/>
      </c>
      <c r="BC84" s="87">
        <f>IF(OR(('03_Сеть'!BC32-BC30)=0,10&lt;=КаникулыРоялти),0,('03_Сеть'!BC32-BC30)*IF(РоялтиПоГруппам="Да",MeanMinAge10+BC10*SUMIF(ThresholdAge10,"&lt;"&amp;BC10,WeightedRevAge10)-SUMIF(ThresholdAge10,"&lt;"&amp;BC10,WeightedMinAge10),MAX(CapacityAge10*АбонементНовых*BC10,MeanMinAge10)))</f>
        <v/>
      </c>
      <c r="BD84" s="87">
        <f>IF(OR(('03_Сеть'!BD32-BD30)=0,10&lt;=КаникулыРоялти),0,('03_Сеть'!BD32-BD30)*IF(РоялтиПоГруппам="Да",MeanMinAge10+BD10*SUMIF(ThresholdAge10,"&lt;"&amp;BD10,WeightedRevAge10)-SUMIF(ThresholdAge10,"&lt;"&amp;BD10,WeightedMinAge10),MAX(CapacityAge10*АбонементНовых*BD10,MeanMinAge10)))</f>
        <v/>
      </c>
      <c r="BE84" s="87">
        <f>IF(OR(('03_Сеть'!BE32-BE30)=0,10&lt;=КаникулыРоялти),0,('03_Сеть'!BE32-BE30)*IF(РоялтиПоГруппам="Да",MeanMinAge10+BE10*SUMIF(ThresholdAge10,"&lt;"&amp;BE10,WeightedRevAge10)-SUMIF(ThresholdAge10,"&lt;"&amp;BE10,WeightedMinAge10),MAX(CapacityAge10*АбонементНовых*BE10,MeanMinAge10)))</f>
        <v/>
      </c>
      <c r="BF84" s="87">
        <f>IF(OR(('03_Сеть'!BF32-BF30)=0,10&lt;=КаникулыРоялти),0,('03_Сеть'!BF32-BF30)*IF(РоялтиПоГруппам="Да",MeanMinAge10+BF10*SUMIF(ThresholdAge10,"&lt;"&amp;BF10,WeightedRevAge10)-SUMIF(ThresholdAge10,"&lt;"&amp;BF10,WeightedMinAge10),MAX(CapacityAge10*АбонементНовых*BF10,MeanMinAge10)))</f>
        <v/>
      </c>
      <c r="BG84" s="87">
        <f>IF(OR(('03_Сеть'!BG32-BG30)=0,10&lt;=КаникулыРоялти),0,('03_Сеть'!BG32-BG30)*IF(РоялтиПоГруппам="Да",MeanMinAge10+BG10*SUMIF(ThresholdAge10,"&lt;"&amp;BG10,WeightedRevAge10)-SUMIF(ThresholdAge10,"&lt;"&amp;BG10,WeightedMinAge10),MAX(CapacityAge10*АбонементНовых*BG10,MeanMinAge10)))</f>
        <v/>
      </c>
      <c r="BH84" s="87">
        <f>IF(OR(('03_Сеть'!BH32-BH30)=0,10&lt;=КаникулыРоялти),0,('03_Сеть'!BH32-BH30)*IF(РоялтиПоГруппам="Да",MeanMinAge10+BH10*SUMIF(ThresholdAge10,"&lt;"&amp;BH10,WeightedRevAge10)-SUMIF(ThresholdAge10,"&lt;"&amp;BH10,WeightedMinAge10),MAX(CapacityAge10*АбонементНовых*BH10,MeanMinAge10)))</f>
        <v/>
      </c>
      <c r="BI84" s="87">
        <f>IF(OR(('03_Сеть'!BI32-BI30)=0,10&lt;=КаникулыРоялти),0,('03_Сеть'!BI32-BI30)*IF(РоялтиПоГруппам="Да",MeanMinAge10+BI10*SUMIF(ThresholdAge10,"&lt;"&amp;BI10,WeightedRevAge10)-SUMIF(ThresholdAge10,"&lt;"&amp;BI10,WeightedMinAge10),MAX(CapacityAge10*АбонементНовых*BI10,MeanMinAge10)))</f>
        <v/>
      </c>
      <c r="BJ84" s="87">
        <f>IF(OR(('03_Сеть'!BJ32-BJ30)=0,10&lt;=КаникулыРоялти),0,('03_Сеть'!BJ32-BJ30)*IF(РоялтиПоГруппам="Да",MeanMinAge10+BJ10*SUMIF(ThresholdAge10,"&lt;"&amp;BJ10,WeightedRevAge10)-SUMIF(ThresholdAge10,"&lt;"&amp;BJ10,WeightedMinAge10),MAX(CapacityAge10*АбонементНовых*BJ10,MeanMinAge10)))</f>
        <v/>
      </c>
      <c r="BK84" s="87">
        <f>IF(OR(('03_Сеть'!BK32-BK30)=0,10&lt;=КаникулыРоялти),0,('03_Сеть'!BK32-BK30)*IF(РоялтиПоГруппам="Да",MeanMinAge10+BK10*SUMIF(ThresholdAge10,"&lt;"&amp;BK10,WeightedRevAge10)-SUMIF(ThresholdAge10,"&lt;"&amp;BK10,WeightedMinAge10),MAX(CapacityAge10*АбонементНовых*BK10,MeanMinAge10)))</f>
        <v/>
      </c>
      <c r="BL84" s="87">
        <f>IF(OR(('03_Сеть'!BL32-BL30)=0,10&lt;=КаникулыРоялти),0,('03_Сеть'!BL32-BL30)*IF(РоялтиПоГруппам="Да",MeanMinAge10+BL10*SUMIF(ThresholdAge10,"&lt;"&amp;BL10,WeightedRevAge10)-SUMIF(ThresholdAge10,"&lt;"&amp;BL10,WeightedMinAge10),MAX(CapacityAge10*АбонементНовых*BL10,MeanMinAge10)))</f>
        <v/>
      </c>
      <c r="BM84" s="87">
        <f>IF(OR(('03_Сеть'!BM32-BM30)=0,10&lt;=КаникулыРоялти),0,('03_Сеть'!BM32-BM30)*IF(РоялтиПоГруппам="Да",MeanMinAge10+BM10*SUMIF(ThresholdAge10,"&lt;"&amp;BM10,WeightedRevAge10)-SUMIF(ThresholdAge10,"&lt;"&amp;BM10,WeightedMinAge10),MAX(CapacityAge10*АбонементНовых*BM10,MeanMinAge10)))</f>
        <v/>
      </c>
      <c r="BN84" s="87">
        <f>IF(OR(('03_Сеть'!BN32-BN30)=0,10&lt;=КаникулыРоялти),0,('03_Сеть'!BN32-BN30)*IF(РоялтиПоГруппам="Да",MeanMinAge10+BN10*SUMIF(ThresholdAge10,"&lt;"&amp;BN10,WeightedRevAge10)-SUMIF(ThresholdAge10,"&lt;"&amp;BN10,WeightedMinAge10),MAX(CapacityAge10*АбонементНовых*BN10,MeanMinAge10)))</f>
        <v/>
      </c>
      <c r="BO84" s="87">
        <f>IF(OR(('03_Сеть'!BO32-BO30)=0,10&lt;=КаникулыРоялти),0,('03_Сеть'!BO32-BO30)*IF(РоялтиПоГруппам="Да",MeanMinAge10+BO10*SUMIF(ThresholdAge10,"&lt;"&amp;BO10,WeightedRevAge10)-SUMIF(ThresholdAge10,"&lt;"&amp;BO10,WeightedMinAge10),MAX(CapacityAge10*АбонементНовых*BO10,MeanMinAge10)))</f>
        <v/>
      </c>
      <c r="BP84" s="87">
        <f>IF(OR(('03_Сеть'!BP32-BP30)=0,10&lt;=КаникулыРоялти),0,('03_Сеть'!BP32-BP30)*IF(РоялтиПоГруппам="Да",MeanMinAge10+BP10*SUMIF(ThresholdAge10,"&lt;"&amp;BP10,WeightedRevAge10)-SUMIF(ThresholdAge10,"&lt;"&amp;BP10,WeightedMinAge10),MAX(CapacityAge10*АбонементНовых*BP10,MeanMinAge10)))</f>
        <v/>
      </c>
      <c r="BQ84" s="87">
        <f>IF(OR(('03_Сеть'!BQ32-BQ30)=0,10&lt;=КаникулыРоялти),0,('03_Сеть'!BQ32-BQ30)*IF(РоялтиПоГруппам="Да",MeanMinAge10+BQ10*SUMIF(ThresholdAge10,"&lt;"&amp;BQ10,WeightedRevAge10)-SUMIF(ThresholdAge10,"&lt;"&amp;BQ10,WeightedMinAge10),MAX(CapacityAge10*АбонементНовых*BQ10,MeanMinAge10)))</f>
        <v/>
      </c>
      <c r="BR84" s="87">
        <f>IF(OR(('03_Сеть'!BR32-BR30)=0,10&lt;=КаникулыРоялти),0,('03_Сеть'!BR32-BR30)*IF(РоялтиПоГруппам="Да",MeanMinAge10+BR10*SUMIF(ThresholdAge10,"&lt;"&amp;BR10,WeightedRevAge10)-SUMIF(ThresholdAge10,"&lt;"&amp;BR10,WeightedMinAge10),MAX(CapacityAge10*АбонементНовых*BR10,MeanMinAge10)))</f>
        <v/>
      </c>
      <c r="BS84" s="87">
        <f>IF(OR(('03_Сеть'!BS32-BS30)=0,10&lt;=КаникулыРоялти),0,('03_Сеть'!BS32-BS30)*IF(РоялтиПоГруппам="Да",MeanMinAge10+BS10*SUMIF(ThresholdAge10,"&lt;"&amp;BS10,WeightedRevAge10)-SUMIF(ThresholdAge10,"&lt;"&amp;BS10,WeightedMinAge10),MAX(CapacityAge10*АбонементНовых*BS10,MeanMinAge10)))</f>
        <v/>
      </c>
      <c r="BT84" s="87">
        <f>IF(OR(('03_Сеть'!BT32-BT30)=0,10&lt;=КаникулыРоялти),0,('03_Сеть'!BT32-BT30)*IF(РоялтиПоГруппам="Да",MeanMinAge10+BT10*SUMIF(ThresholdAge10,"&lt;"&amp;BT10,WeightedRevAge10)-SUMIF(ThresholdAge10,"&lt;"&amp;BT10,WeightedMinAge10),MAX(CapacityAge10*АбонементНовых*BT10,MeanMinAge10)))</f>
        <v/>
      </c>
      <c r="BU84" s="87">
        <f>IF(OR(('03_Сеть'!BU32-BU30)=0,10&lt;=КаникулыРоялти),0,('03_Сеть'!BU32-BU30)*IF(РоялтиПоГруппам="Да",MeanMinAge10+BU10*SUMIF(ThresholdAge10,"&lt;"&amp;BU10,WeightedRevAge10)-SUMIF(ThresholdAge10,"&lt;"&amp;BU10,WeightedMinAge10),MAX(CapacityAge10*АбонементНовых*BU10,MeanMinAge10)))</f>
        <v/>
      </c>
      <c r="BV84" s="87">
        <f>IF(OR(('03_Сеть'!BV32-BV30)=0,10&lt;=КаникулыРоялти),0,('03_Сеть'!BV32-BV30)*IF(РоялтиПоГруппам="Да",MeanMinAge10+BV10*SUMIF(ThresholdAge10,"&lt;"&amp;BV10,WeightedRevAge10)-SUMIF(ThresholdAge10,"&lt;"&amp;BV10,WeightedMinAge10),MAX(CapacityAge10*АбонементНовых*BV10,MeanMinAge10)))</f>
        <v/>
      </c>
      <c r="BW84" s="87">
        <f>IF(OR(('03_Сеть'!BW32-BW30)=0,10&lt;=КаникулыРоялти),0,('03_Сеть'!BW32-BW30)*IF(РоялтиПоГруппам="Да",MeanMinAge10+BW10*SUMIF(ThresholdAge10,"&lt;"&amp;BW10,WeightedRevAge10)-SUMIF(ThresholdAge10,"&lt;"&amp;BW10,WeightedMinAge10),MAX(CapacityAge10*АбонементНовых*BW10,MeanMinAge10)))</f>
        <v/>
      </c>
      <c r="BX84" s="87">
        <f>IF(OR(('03_Сеть'!BX32-BX30)=0,10&lt;=КаникулыРоялти),0,('03_Сеть'!BX32-BX30)*IF(РоялтиПоГруппам="Да",MeanMinAge10+BX10*SUMIF(ThresholdAge10,"&lt;"&amp;BX10,WeightedRevAge10)-SUMIF(ThresholdAge10,"&lt;"&amp;BX10,WeightedMinAge10),MAX(CapacityAge10*АбонементНовых*BX10,MeanMinAge10)))</f>
        <v/>
      </c>
      <c r="BY84" s="87">
        <f>IF(OR(('03_Сеть'!BY32-BY30)=0,10&lt;=КаникулыРоялти),0,('03_Сеть'!BY32-BY30)*IF(РоялтиПоГруппам="Да",MeanMinAge10+BY10*SUMIF(ThresholdAge10,"&lt;"&amp;BY10,WeightedRevAge10)-SUMIF(ThresholdAge10,"&lt;"&amp;BY10,WeightedMinAge10),MAX(CapacityAge10*АбонементНовых*BY10,MeanMinAge10)))</f>
        <v/>
      </c>
    </row>
    <row r="85" ht="15.75" customHeight="1" s="194">
      <c r="B85" s="56" t="inlineStr">
        <is>
          <t>11 мес.</t>
        </is>
      </c>
      <c r="C85" s="56" t="inlineStr">
        <is>
          <t>₽</t>
        </is>
      </c>
      <c r="D85" s="57" t="n"/>
      <c r="E85" s="85">
        <f>SUM(L85:W85)</f>
        <v/>
      </c>
      <c r="F85" s="85">
        <f>SUM(X85:AI85)</f>
        <v/>
      </c>
      <c r="G85" s="85">
        <f>SUM(AJ85:AU85)</f>
        <v/>
      </c>
      <c r="H85" s="85">
        <f>SUM(AV85:BG85)</f>
        <v/>
      </c>
      <c r="I85" s="85">
        <f>SUM(BH85:BS85)</f>
        <v/>
      </c>
      <c r="J85" s="86">
        <f>SUM(L85:BS85)</f>
        <v/>
      </c>
      <c r="L85" s="87">
        <f>IF(OR(('03_Сеть'!L33-L31)=0,11&lt;=КаникулыРоялти),0,('03_Сеть'!L33-L31)*IF(РоялтиПоГруппам="Да",MeanMinAge11+L10*SUMIF(ThresholdAge11,"&lt;"&amp;L10,WeightedRevAge11)-SUMIF(ThresholdAge11,"&lt;"&amp;L10,WeightedMinAge11),MAX(CapacityAge11*АбонементНовых*L10,MeanMinAge11)))</f>
        <v/>
      </c>
      <c r="M85" s="87">
        <f>IF(OR(('03_Сеть'!M33-M31)=0,11&lt;=КаникулыРоялти),0,('03_Сеть'!M33-M31)*IF(РоялтиПоГруппам="Да",MeanMinAge11+M10*SUMIF(ThresholdAge11,"&lt;"&amp;M10,WeightedRevAge11)-SUMIF(ThresholdAge11,"&lt;"&amp;M10,WeightedMinAge11),MAX(CapacityAge11*АбонементНовых*M10,MeanMinAge11)))</f>
        <v/>
      </c>
      <c r="N85" s="87">
        <f>IF(OR(('03_Сеть'!N33-N31)=0,11&lt;=КаникулыРоялти),0,('03_Сеть'!N33-N31)*IF(РоялтиПоГруппам="Да",MeanMinAge11+N10*SUMIF(ThresholdAge11,"&lt;"&amp;N10,WeightedRevAge11)-SUMIF(ThresholdAge11,"&lt;"&amp;N10,WeightedMinAge11),MAX(CapacityAge11*АбонементНовых*N10,MeanMinAge11)))</f>
        <v/>
      </c>
      <c r="O85" s="87">
        <f>IF(OR(('03_Сеть'!O33-O31)=0,11&lt;=КаникулыРоялти),0,('03_Сеть'!O33-O31)*IF(РоялтиПоГруппам="Да",MeanMinAge11+O10*SUMIF(ThresholdAge11,"&lt;"&amp;O10,WeightedRevAge11)-SUMIF(ThresholdAge11,"&lt;"&amp;O10,WeightedMinAge11),MAX(CapacityAge11*АбонементНовых*O10,MeanMinAge11)))</f>
        <v/>
      </c>
      <c r="P85" s="87">
        <f>IF(OR(('03_Сеть'!P33-P31)=0,11&lt;=КаникулыРоялти),0,('03_Сеть'!P33-P31)*IF(РоялтиПоГруппам="Да",MeanMinAge11+P10*SUMIF(ThresholdAge11,"&lt;"&amp;P10,WeightedRevAge11)-SUMIF(ThresholdAge11,"&lt;"&amp;P10,WeightedMinAge11),MAX(CapacityAge11*АбонементНовых*P10,MeanMinAge11)))</f>
        <v/>
      </c>
      <c r="Q85" s="87">
        <f>IF(OR(('03_Сеть'!Q33-Q31)=0,11&lt;=КаникулыРоялти),0,('03_Сеть'!Q33-Q31)*IF(РоялтиПоГруппам="Да",MeanMinAge11+Q10*SUMIF(ThresholdAge11,"&lt;"&amp;Q10,WeightedRevAge11)-SUMIF(ThresholdAge11,"&lt;"&amp;Q10,WeightedMinAge11),MAX(CapacityAge11*АбонементНовых*Q10,MeanMinAge11)))</f>
        <v/>
      </c>
      <c r="R85" s="87">
        <f>IF(OR(('03_Сеть'!R33-R31)=0,11&lt;=КаникулыРоялти),0,('03_Сеть'!R33-R31)*IF(РоялтиПоГруппам="Да",MeanMinAge11+R10*SUMIF(ThresholdAge11,"&lt;"&amp;R10,WeightedRevAge11)-SUMIF(ThresholdAge11,"&lt;"&amp;R10,WeightedMinAge11),MAX(CapacityAge11*АбонементНовых*R10,MeanMinAge11)))</f>
        <v/>
      </c>
      <c r="S85" s="87">
        <f>IF(OR(('03_Сеть'!S33-S31)=0,11&lt;=КаникулыРоялти),0,('03_Сеть'!S33-S31)*IF(РоялтиПоГруппам="Да",MeanMinAge11+S10*SUMIF(ThresholdAge11,"&lt;"&amp;S10,WeightedRevAge11)-SUMIF(ThresholdAge11,"&lt;"&amp;S10,WeightedMinAge11),MAX(CapacityAge11*АбонементНовых*S10,MeanMinAge11)))</f>
        <v/>
      </c>
      <c r="T85" s="87">
        <f>IF(OR(('03_Сеть'!T33-T31)=0,11&lt;=КаникулыРоялти),0,('03_Сеть'!T33-T31)*IF(РоялтиПоГруппам="Да",MeanMinAge11+T10*SUMIF(ThresholdAge11,"&lt;"&amp;T10,WeightedRevAge11)-SUMIF(ThresholdAge11,"&lt;"&amp;T10,WeightedMinAge11),MAX(CapacityAge11*АбонементНовых*T10,MeanMinAge11)))</f>
        <v/>
      </c>
      <c r="U85" s="87">
        <f>IF(OR(('03_Сеть'!U33-U31)=0,11&lt;=КаникулыРоялти),0,('03_Сеть'!U33-U31)*IF(РоялтиПоГруппам="Да",MeanMinAge11+U10*SUMIF(ThresholdAge11,"&lt;"&amp;U10,WeightedRevAge11)-SUMIF(ThresholdAge11,"&lt;"&amp;U10,WeightedMinAge11),MAX(CapacityAge11*АбонементНовых*U10,MeanMinAge11)))</f>
        <v/>
      </c>
      <c r="V85" s="87">
        <f>IF(OR(('03_Сеть'!V33-V31)=0,11&lt;=КаникулыРоялти),0,('03_Сеть'!V33-V31)*IF(РоялтиПоГруппам="Да",MeanMinAge11+V10*SUMIF(ThresholdAge11,"&lt;"&amp;V10,WeightedRevAge11)-SUMIF(ThresholdAge11,"&lt;"&amp;V10,WeightedMinAge11),MAX(CapacityAge11*АбонементНовых*V10,MeanMinAge11)))</f>
        <v/>
      </c>
      <c r="W85" s="87">
        <f>IF(OR(('03_Сеть'!W33-W31)=0,11&lt;=КаникулыРоялти),0,('03_Сеть'!W33-W31)*IF(РоялтиПоГруппам="Да",MeanMinAge11+W10*SUMIF(ThresholdAge11,"&lt;"&amp;W10,WeightedRevAge11)-SUMIF(ThresholdAge11,"&lt;"&amp;W10,WeightedMinAge11),MAX(CapacityAge11*АбонементНовых*W10,MeanMinAge11)))</f>
        <v/>
      </c>
      <c r="X85" s="87">
        <f>IF(OR(('03_Сеть'!X33-X31)=0,11&lt;=КаникулыРоялти),0,('03_Сеть'!X33-X31)*IF(РоялтиПоГруппам="Да",MeanMinAge11+X10*SUMIF(ThresholdAge11,"&lt;"&amp;X10,WeightedRevAge11)-SUMIF(ThresholdAge11,"&lt;"&amp;X10,WeightedMinAge11),MAX(CapacityAge11*АбонементНовых*X10,MeanMinAge11)))</f>
        <v/>
      </c>
      <c r="Y85" s="87">
        <f>IF(OR(('03_Сеть'!Y33-Y31)=0,11&lt;=КаникулыРоялти),0,('03_Сеть'!Y33-Y31)*IF(РоялтиПоГруппам="Да",MeanMinAge11+Y10*SUMIF(ThresholdAge11,"&lt;"&amp;Y10,WeightedRevAge11)-SUMIF(ThresholdAge11,"&lt;"&amp;Y10,WeightedMinAge11),MAX(CapacityAge11*АбонементНовых*Y10,MeanMinAge11)))</f>
        <v/>
      </c>
      <c r="Z85" s="87">
        <f>IF(OR(('03_Сеть'!Z33-Z31)=0,11&lt;=КаникулыРоялти),0,('03_Сеть'!Z33-Z31)*IF(РоялтиПоГруппам="Да",MeanMinAge11+Z10*SUMIF(ThresholdAge11,"&lt;"&amp;Z10,WeightedRevAge11)-SUMIF(ThresholdAge11,"&lt;"&amp;Z10,WeightedMinAge11),MAX(CapacityAge11*АбонементНовых*Z10,MeanMinAge11)))</f>
        <v/>
      </c>
      <c r="AA85" s="87">
        <f>IF(OR(('03_Сеть'!AA33-AA31)=0,11&lt;=КаникулыРоялти),0,('03_Сеть'!AA33-AA31)*IF(РоялтиПоГруппам="Да",MeanMinAge11+AA10*SUMIF(ThresholdAge11,"&lt;"&amp;AA10,WeightedRevAge11)-SUMIF(ThresholdAge11,"&lt;"&amp;AA10,WeightedMinAge11),MAX(CapacityAge11*АбонементНовых*AA10,MeanMinAge11)))</f>
        <v/>
      </c>
      <c r="AB85" s="87">
        <f>IF(OR(('03_Сеть'!AB33-AB31)=0,11&lt;=КаникулыРоялти),0,('03_Сеть'!AB33-AB31)*IF(РоялтиПоГруппам="Да",MeanMinAge11+AB10*SUMIF(ThresholdAge11,"&lt;"&amp;AB10,WeightedRevAge11)-SUMIF(ThresholdAge11,"&lt;"&amp;AB10,WeightedMinAge11),MAX(CapacityAge11*АбонементНовых*AB10,MeanMinAge11)))</f>
        <v/>
      </c>
      <c r="AC85" s="87">
        <f>IF(OR(('03_Сеть'!AC33-AC31)=0,11&lt;=КаникулыРоялти),0,('03_Сеть'!AC33-AC31)*IF(РоялтиПоГруппам="Да",MeanMinAge11+AC10*SUMIF(ThresholdAge11,"&lt;"&amp;AC10,WeightedRevAge11)-SUMIF(ThresholdAge11,"&lt;"&amp;AC10,WeightedMinAge11),MAX(CapacityAge11*АбонементНовых*AC10,MeanMinAge11)))</f>
        <v/>
      </c>
      <c r="AD85" s="87">
        <f>IF(OR(('03_Сеть'!AD33-AD31)=0,11&lt;=КаникулыРоялти),0,('03_Сеть'!AD33-AD31)*IF(РоялтиПоГруппам="Да",MeanMinAge11+AD10*SUMIF(ThresholdAge11,"&lt;"&amp;AD10,WeightedRevAge11)-SUMIF(ThresholdAge11,"&lt;"&amp;AD10,WeightedMinAge11),MAX(CapacityAge11*АбонементНовых*AD10,MeanMinAge11)))</f>
        <v/>
      </c>
      <c r="AE85" s="87">
        <f>IF(OR(('03_Сеть'!AE33-AE31)=0,11&lt;=КаникулыРоялти),0,('03_Сеть'!AE33-AE31)*IF(РоялтиПоГруппам="Да",MeanMinAge11+AE10*SUMIF(ThresholdAge11,"&lt;"&amp;AE10,WeightedRevAge11)-SUMIF(ThresholdAge11,"&lt;"&amp;AE10,WeightedMinAge11),MAX(CapacityAge11*АбонементНовых*AE10,MeanMinAge11)))</f>
        <v/>
      </c>
      <c r="AF85" s="87">
        <f>IF(OR(('03_Сеть'!AF33-AF31)=0,11&lt;=КаникулыРоялти),0,('03_Сеть'!AF33-AF31)*IF(РоялтиПоГруппам="Да",MeanMinAge11+AF10*SUMIF(ThresholdAge11,"&lt;"&amp;AF10,WeightedRevAge11)-SUMIF(ThresholdAge11,"&lt;"&amp;AF10,WeightedMinAge11),MAX(CapacityAge11*АбонементНовых*AF10,MeanMinAge11)))</f>
        <v/>
      </c>
      <c r="AG85" s="87">
        <f>IF(OR(('03_Сеть'!AG33-AG31)=0,11&lt;=КаникулыРоялти),0,('03_Сеть'!AG33-AG31)*IF(РоялтиПоГруппам="Да",MeanMinAge11+AG10*SUMIF(ThresholdAge11,"&lt;"&amp;AG10,WeightedRevAge11)-SUMIF(ThresholdAge11,"&lt;"&amp;AG10,WeightedMinAge11),MAX(CapacityAge11*АбонементНовых*AG10,MeanMinAge11)))</f>
        <v/>
      </c>
      <c r="AH85" s="87">
        <f>IF(OR(('03_Сеть'!AH33-AH31)=0,11&lt;=КаникулыРоялти),0,('03_Сеть'!AH33-AH31)*IF(РоялтиПоГруппам="Да",MeanMinAge11+AH10*SUMIF(ThresholdAge11,"&lt;"&amp;AH10,WeightedRevAge11)-SUMIF(ThresholdAge11,"&lt;"&amp;AH10,WeightedMinAge11),MAX(CapacityAge11*АбонементНовых*AH10,MeanMinAge11)))</f>
        <v/>
      </c>
      <c r="AI85" s="87">
        <f>IF(OR(('03_Сеть'!AI33-AI31)=0,11&lt;=КаникулыРоялти),0,('03_Сеть'!AI33-AI31)*IF(РоялтиПоГруппам="Да",MeanMinAge11+AI10*SUMIF(ThresholdAge11,"&lt;"&amp;AI10,WeightedRevAge11)-SUMIF(ThresholdAge11,"&lt;"&amp;AI10,WeightedMinAge11),MAX(CapacityAge11*АбонементНовых*AI10,MeanMinAge11)))</f>
        <v/>
      </c>
      <c r="AJ85" s="87">
        <f>IF(OR(('03_Сеть'!AJ33-AJ31)=0,11&lt;=КаникулыРоялти),0,('03_Сеть'!AJ33-AJ31)*IF(РоялтиПоГруппам="Да",MeanMinAge11+AJ10*SUMIF(ThresholdAge11,"&lt;"&amp;AJ10,WeightedRevAge11)-SUMIF(ThresholdAge11,"&lt;"&amp;AJ10,WeightedMinAge11),MAX(CapacityAge11*АбонементНовых*AJ10,MeanMinAge11)))</f>
        <v/>
      </c>
      <c r="AK85" s="87">
        <f>IF(OR(('03_Сеть'!AK33-AK31)=0,11&lt;=КаникулыРоялти),0,('03_Сеть'!AK33-AK31)*IF(РоялтиПоГруппам="Да",MeanMinAge11+AK10*SUMIF(ThresholdAge11,"&lt;"&amp;AK10,WeightedRevAge11)-SUMIF(ThresholdAge11,"&lt;"&amp;AK10,WeightedMinAge11),MAX(CapacityAge11*АбонементНовых*AK10,MeanMinAge11)))</f>
        <v/>
      </c>
      <c r="AL85" s="87">
        <f>IF(OR(('03_Сеть'!AL33-AL31)=0,11&lt;=КаникулыРоялти),0,('03_Сеть'!AL33-AL31)*IF(РоялтиПоГруппам="Да",MeanMinAge11+AL10*SUMIF(ThresholdAge11,"&lt;"&amp;AL10,WeightedRevAge11)-SUMIF(ThresholdAge11,"&lt;"&amp;AL10,WeightedMinAge11),MAX(CapacityAge11*АбонементНовых*AL10,MeanMinAge11)))</f>
        <v/>
      </c>
      <c r="AM85" s="87">
        <f>IF(OR(('03_Сеть'!AM33-AM31)=0,11&lt;=КаникулыРоялти),0,('03_Сеть'!AM33-AM31)*IF(РоялтиПоГруппам="Да",MeanMinAge11+AM10*SUMIF(ThresholdAge11,"&lt;"&amp;AM10,WeightedRevAge11)-SUMIF(ThresholdAge11,"&lt;"&amp;AM10,WeightedMinAge11),MAX(CapacityAge11*АбонементНовых*AM10,MeanMinAge11)))</f>
        <v/>
      </c>
      <c r="AN85" s="87">
        <f>IF(OR(('03_Сеть'!AN33-AN31)=0,11&lt;=КаникулыРоялти),0,('03_Сеть'!AN33-AN31)*IF(РоялтиПоГруппам="Да",MeanMinAge11+AN10*SUMIF(ThresholdAge11,"&lt;"&amp;AN10,WeightedRevAge11)-SUMIF(ThresholdAge11,"&lt;"&amp;AN10,WeightedMinAge11),MAX(CapacityAge11*АбонементНовых*AN10,MeanMinAge11)))</f>
        <v/>
      </c>
      <c r="AO85" s="87">
        <f>IF(OR(('03_Сеть'!AO33-AO31)=0,11&lt;=КаникулыРоялти),0,('03_Сеть'!AO33-AO31)*IF(РоялтиПоГруппам="Да",MeanMinAge11+AO10*SUMIF(ThresholdAge11,"&lt;"&amp;AO10,WeightedRevAge11)-SUMIF(ThresholdAge11,"&lt;"&amp;AO10,WeightedMinAge11),MAX(CapacityAge11*АбонементНовых*AO10,MeanMinAge11)))</f>
        <v/>
      </c>
      <c r="AP85" s="87">
        <f>IF(OR(('03_Сеть'!AP33-AP31)=0,11&lt;=КаникулыРоялти),0,('03_Сеть'!AP33-AP31)*IF(РоялтиПоГруппам="Да",MeanMinAge11+AP10*SUMIF(ThresholdAge11,"&lt;"&amp;AP10,WeightedRevAge11)-SUMIF(ThresholdAge11,"&lt;"&amp;AP10,WeightedMinAge11),MAX(CapacityAge11*АбонементНовых*AP10,MeanMinAge11)))</f>
        <v/>
      </c>
      <c r="AQ85" s="87">
        <f>IF(OR(('03_Сеть'!AQ33-AQ31)=0,11&lt;=КаникулыРоялти),0,('03_Сеть'!AQ33-AQ31)*IF(РоялтиПоГруппам="Да",MeanMinAge11+AQ10*SUMIF(ThresholdAge11,"&lt;"&amp;AQ10,WeightedRevAge11)-SUMIF(ThresholdAge11,"&lt;"&amp;AQ10,WeightedMinAge11),MAX(CapacityAge11*АбонементНовых*AQ10,MeanMinAge11)))</f>
        <v/>
      </c>
      <c r="AR85" s="87">
        <f>IF(OR(('03_Сеть'!AR33-AR31)=0,11&lt;=КаникулыРоялти),0,('03_Сеть'!AR33-AR31)*IF(РоялтиПоГруппам="Да",MeanMinAge11+AR10*SUMIF(ThresholdAge11,"&lt;"&amp;AR10,WeightedRevAge11)-SUMIF(ThresholdAge11,"&lt;"&amp;AR10,WeightedMinAge11),MAX(CapacityAge11*АбонементНовых*AR10,MeanMinAge11)))</f>
        <v/>
      </c>
      <c r="AS85" s="87">
        <f>IF(OR(('03_Сеть'!AS33-AS31)=0,11&lt;=КаникулыРоялти),0,('03_Сеть'!AS33-AS31)*IF(РоялтиПоГруппам="Да",MeanMinAge11+AS10*SUMIF(ThresholdAge11,"&lt;"&amp;AS10,WeightedRevAge11)-SUMIF(ThresholdAge11,"&lt;"&amp;AS10,WeightedMinAge11),MAX(CapacityAge11*АбонементНовых*AS10,MeanMinAge11)))</f>
        <v/>
      </c>
      <c r="AT85" s="87">
        <f>IF(OR(('03_Сеть'!AT33-AT31)=0,11&lt;=КаникулыРоялти),0,('03_Сеть'!AT33-AT31)*IF(РоялтиПоГруппам="Да",MeanMinAge11+AT10*SUMIF(ThresholdAge11,"&lt;"&amp;AT10,WeightedRevAge11)-SUMIF(ThresholdAge11,"&lt;"&amp;AT10,WeightedMinAge11),MAX(CapacityAge11*АбонементНовых*AT10,MeanMinAge11)))</f>
        <v/>
      </c>
      <c r="AU85" s="87">
        <f>IF(OR(('03_Сеть'!AU33-AU31)=0,11&lt;=КаникулыРоялти),0,('03_Сеть'!AU33-AU31)*IF(РоялтиПоГруппам="Да",MeanMinAge11+AU10*SUMIF(ThresholdAge11,"&lt;"&amp;AU10,WeightedRevAge11)-SUMIF(ThresholdAge11,"&lt;"&amp;AU10,WeightedMinAge11),MAX(CapacityAge11*АбонементНовых*AU10,MeanMinAge11)))</f>
        <v/>
      </c>
      <c r="AV85" s="87">
        <f>IF(OR(('03_Сеть'!AV33-AV31)=0,11&lt;=КаникулыРоялти),0,('03_Сеть'!AV33-AV31)*IF(РоялтиПоГруппам="Да",MeanMinAge11+AV10*SUMIF(ThresholdAge11,"&lt;"&amp;AV10,WeightedRevAge11)-SUMIF(ThresholdAge11,"&lt;"&amp;AV10,WeightedMinAge11),MAX(CapacityAge11*АбонементНовых*AV10,MeanMinAge11)))</f>
        <v/>
      </c>
      <c r="AW85" s="87">
        <f>IF(OR(('03_Сеть'!AW33-AW31)=0,11&lt;=КаникулыРоялти),0,('03_Сеть'!AW33-AW31)*IF(РоялтиПоГруппам="Да",MeanMinAge11+AW10*SUMIF(ThresholdAge11,"&lt;"&amp;AW10,WeightedRevAge11)-SUMIF(ThresholdAge11,"&lt;"&amp;AW10,WeightedMinAge11),MAX(CapacityAge11*АбонементНовых*AW10,MeanMinAge11)))</f>
        <v/>
      </c>
      <c r="AX85" s="87">
        <f>IF(OR(('03_Сеть'!AX33-AX31)=0,11&lt;=КаникулыРоялти),0,('03_Сеть'!AX33-AX31)*IF(РоялтиПоГруппам="Да",MeanMinAge11+AX10*SUMIF(ThresholdAge11,"&lt;"&amp;AX10,WeightedRevAge11)-SUMIF(ThresholdAge11,"&lt;"&amp;AX10,WeightedMinAge11),MAX(CapacityAge11*АбонементНовых*AX10,MeanMinAge11)))</f>
        <v/>
      </c>
      <c r="AY85" s="87">
        <f>IF(OR(('03_Сеть'!AY33-AY31)=0,11&lt;=КаникулыРоялти),0,('03_Сеть'!AY33-AY31)*IF(РоялтиПоГруппам="Да",MeanMinAge11+AY10*SUMIF(ThresholdAge11,"&lt;"&amp;AY10,WeightedRevAge11)-SUMIF(ThresholdAge11,"&lt;"&amp;AY10,WeightedMinAge11),MAX(CapacityAge11*АбонементНовых*AY10,MeanMinAge11)))</f>
        <v/>
      </c>
      <c r="AZ85" s="87">
        <f>IF(OR(('03_Сеть'!AZ33-AZ31)=0,11&lt;=КаникулыРоялти),0,('03_Сеть'!AZ33-AZ31)*IF(РоялтиПоГруппам="Да",MeanMinAge11+AZ10*SUMIF(ThresholdAge11,"&lt;"&amp;AZ10,WeightedRevAge11)-SUMIF(ThresholdAge11,"&lt;"&amp;AZ10,WeightedMinAge11),MAX(CapacityAge11*АбонементНовых*AZ10,MeanMinAge11)))</f>
        <v/>
      </c>
      <c r="BA85" s="87">
        <f>IF(OR(('03_Сеть'!BA33-BA31)=0,11&lt;=КаникулыРоялти),0,('03_Сеть'!BA33-BA31)*IF(РоялтиПоГруппам="Да",MeanMinAge11+BA10*SUMIF(ThresholdAge11,"&lt;"&amp;BA10,WeightedRevAge11)-SUMIF(ThresholdAge11,"&lt;"&amp;BA10,WeightedMinAge11),MAX(CapacityAge11*АбонементНовых*BA10,MeanMinAge11)))</f>
        <v/>
      </c>
      <c r="BB85" s="87">
        <f>IF(OR(('03_Сеть'!BB33-BB31)=0,11&lt;=КаникулыРоялти),0,('03_Сеть'!BB33-BB31)*IF(РоялтиПоГруппам="Да",MeanMinAge11+BB10*SUMIF(ThresholdAge11,"&lt;"&amp;BB10,WeightedRevAge11)-SUMIF(ThresholdAge11,"&lt;"&amp;BB10,WeightedMinAge11),MAX(CapacityAge11*АбонементНовых*BB10,MeanMinAge11)))</f>
        <v/>
      </c>
      <c r="BC85" s="87">
        <f>IF(OR(('03_Сеть'!BC33-BC31)=0,11&lt;=КаникулыРоялти),0,('03_Сеть'!BC33-BC31)*IF(РоялтиПоГруппам="Да",MeanMinAge11+BC10*SUMIF(ThresholdAge11,"&lt;"&amp;BC10,WeightedRevAge11)-SUMIF(ThresholdAge11,"&lt;"&amp;BC10,WeightedMinAge11),MAX(CapacityAge11*АбонементНовых*BC10,MeanMinAge11)))</f>
        <v/>
      </c>
      <c r="BD85" s="87">
        <f>IF(OR(('03_Сеть'!BD33-BD31)=0,11&lt;=КаникулыРоялти),0,('03_Сеть'!BD33-BD31)*IF(РоялтиПоГруппам="Да",MeanMinAge11+BD10*SUMIF(ThresholdAge11,"&lt;"&amp;BD10,WeightedRevAge11)-SUMIF(ThresholdAge11,"&lt;"&amp;BD10,WeightedMinAge11),MAX(CapacityAge11*АбонементНовых*BD10,MeanMinAge11)))</f>
        <v/>
      </c>
      <c r="BE85" s="87">
        <f>IF(OR(('03_Сеть'!BE33-BE31)=0,11&lt;=КаникулыРоялти),0,('03_Сеть'!BE33-BE31)*IF(РоялтиПоГруппам="Да",MeanMinAge11+BE10*SUMIF(ThresholdAge11,"&lt;"&amp;BE10,WeightedRevAge11)-SUMIF(ThresholdAge11,"&lt;"&amp;BE10,WeightedMinAge11),MAX(CapacityAge11*АбонементНовых*BE10,MeanMinAge11)))</f>
        <v/>
      </c>
      <c r="BF85" s="87">
        <f>IF(OR(('03_Сеть'!BF33-BF31)=0,11&lt;=КаникулыРоялти),0,('03_Сеть'!BF33-BF31)*IF(РоялтиПоГруппам="Да",MeanMinAge11+BF10*SUMIF(ThresholdAge11,"&lt;"&amp;BF10,WeightedRevAge11)-SUMIF(ThresholdAge11,"&lt;"&amp;BF10,WeightedMinAge11),MAX(CapacityAge11*АбонементНовых*BF10,MeanMinAge11)))</f>
        <v/>
      </c>
      <c r="BG85" s="87">
        <f>IF(OR(('03_Сеть'!BG33-BG31)=0,11&lt;=КаникулыРоялти),0,('03_Сеть'!BG33-BG31)*IF(РоялтиПоГруппам="Да",MeanMinAge11+BG10*SUMIF(ThresholdAge11,"&lt;"&amp;BG10,WeightedRevAge11)-SUMIF(ThresholdAge11,"&lt;"&amp;BG10,WeightedMinAge11),MAX(CapacityAge11*АбонементНовых*BG10,MeanMinAge11)))</f>
        <v/>
      </c>
      <c r="BH85" s="87">
        <f>IF(OR(('03_Сеть'!BH33-BH31)=0,11&lt;=КаникулыРоялти),0,('03_Сеть'!BH33-BH31)*IF(РоялтиПоГруппам="Да",MeanMinAge11+BH10*SUMIF(ThresholdAge11,"&lt;"&amp;BH10,WeightedRevAge11)-SUMIF(ThresholdAge11,"&lt;"&amp;BH10,WeightedMinAge11),MAX(CapacityAge11*АбонементНовых*BH10,MeanMinAge11)))</f>
        <v/>
      </c>
      <c r="BI85" s="87">
        <f>IF(OR(('03_Сеть'!BI33-BI31)=0,11&lt;=КаникулыРоялти),0,('03_Сеть'!BI33-BI31)*IF(РоялтиПоГруппам="Да",MeanMinAge11+BI10*SUMIF(ThresholdAge11,"&lt;"&amp;BI10,WeightedRevAge11)-SUMIF(ThresholdAge11,"&lt;"&amp;BI10,WeightedMinAge11),MAX(CapacityAge11*АбонементНовых*BI10,MeanMinAge11)))</f>
        <v/>
      </c>
      <c r="BJ85" s="87">
        <f>IF(OR(('03_Сеть'!BJ33-BJ31)=0,11&lt;=КаникулыРоялти),0,('03_Сеть'!BJ33-BJ31)*IF(РоялтиПоГруппам="Да",MeanMinAge11+BJ10*SUMIF(ThresholdAge11,"&lt;"&amp;BJ10,WeightedRevAge11)-SUMIF(ThresholdAge11,"&lt;"&amp;BJ10,WeightedMinAge11),MAX(CapacityAge11*АбонементНовых*BJ10,MeanMinAge11)))</f>
        <v/>
      </c>
      <c r="BK85" s="87">
        <f>IF(OR(('03_Сеть'!BK33-BK31)=0,11&lt;=КаникулыРоялти),0,('03_Сеть'!BK33-BK31)*IF(РоялтиПоГруппам="Да",MeanMinAge11+BK10*SUMIF(ThresholdAge11,"&lt;"&amp;BK10,WeightedRevAge11)-SUMIF(ThresholdAge11,"&lt;"&amp;BK10,WeightedMinAge11),MAX(CapacityAge11*АбонементНовых*BK10,MeanMinAge11)))</f>
        <v/>
      </c>
      <c r="BL85" s="87">
        <f>IF(OR(('03_Сеть'!BL33-BL31)=0,11&lt;=КаникулыРоялти),0,('03_Сеть'!BL33-BL31)*IF(РоялтиПоГруппам="Да",MeanMinAge11+BL10*SUMIF(ThresholdAge11,"&lt;"&amp;BL10,WeightedRevAge11)-SUMIF(ThresholdAge11,"&lt;"&amp;BL10,WeightedMinAge11),MAX(CapacityAge11*АбонементНовых*BL10,MeanMinAge11)))</f>
        <v/>
      </c>
      <c r="BM85" s="87">
        <f>IF(OR(('03_Сеть'!BM33-BM31)=0,11&lt;=КаникулыРоялти),0,('03_Сеть'!BM33-BM31)*IF(РоялтиПоГруппам="Да",MeanMinAge11+BM10*SUMIF(ThresholdAge11,"&lt;"&amp;BM10,WeightedRevAge11)-SUMIF(ThresholdAge11,"&lt;"&amp;BM10,WeightedMinAge11),MAX(CapacityAge11*АбонементНовых*BM10,MeanMinAge11)))</f>
        <v/>
      </c>
      <c r="BN85" s="87">
        <f>IF(OR(('03_Сеть'!BN33-BN31)=0,11&lt;=КаникулыРоялти),0,('03_Сеть'!BN33-BN31)*IF(РоялтиПоГруппам="Да",MeanMinAge11+BN10*SUMIF(ThresholdAge11,"&lt;"&amp;BN10,WeightedRevAge11)-SUMIF(ThresholdAge11,"&lt;"&amp;BN10,WeightedMinAge11),MAX(CapacityAge11*АбонементНовых*BN10,MeanMinAge11)))</f>
        <v/>
      </c>
      <c r="BO85" s="87">
        <f>IF(OR(('03_Сеть'!BO33-BO31)=0,11&lt;=КаникулыРоялти),0,('03_Сеть'!BO33-BO31)*IF(РоялтиПоГруппам="Да",MeanMinAge11+BO10*SUMIF(ThresholdAge11,"&lt;"&amp;BO10,WeightedRevAge11)-SUMIF(ThresholdAge11,"&lt;"&amp;BO10,WeightedMinAge11),MAX(CapacityAge11*АбонементНовых*BO10,MeanMinAge11)))</f>
        <v/>
      </c>
      <c r="BP85" s="87">
        <f>IF(OR(('03_Сеть'!BP33-BP31)=0,11&lt;=КаникулыРоялти),0,('03_Сеть'!BP33-BP31)*IF(РоялтиПоГруппам="Да",MeanMinAge11+BP10*SUMIF(ThresholdAge11,"&lt;"&amp;BP10,WeightedRevAge11)-SUMIF(ThresholdAge11,"&lt;"&amp;BP10,WeightedMinAge11),MAX(CapacityAge11*АбонементНовых*BP10,MeanMinAge11)))</f>
        <v/>
      </c>
      <c r="BQ85" s="87">
        <f>IF(OR(('03_Сеть'!BQ33-BQ31)=0,11&lt;=КаникулыРоялти),0,('03_Сеть'!BQ33-BQ31)*IF(РоялтиПоГруппам="Да",MeanMinAge11+BQ10*SUMIF(ThresholdAge11,"&lt;"&amp;BQ10,WeightedRevAge11)-SUMIF(ThresholdAge11,"&lt;"&amp;BQ10,WeightedMinAge11),MAX(CapacityAge11*АбонементНовых*BQ10,MeanMinAge11)))</f>
        <v/>
      </c>
      <c r="BR85" s="87">
        <f>IF(OR(('03_Сеть'!BR33-BR31)=0,11&lt;=КаникулыРоялти),0,('03_Сеть'!BR33-BR31)*IF(РоялтиПоГруппам="Да",MeanMinAge11+BR10*SUMIF(ThresholdAge11,"&lt;"&amp;BR10,WeightedRevAge11)-SUMIF(ThresholdAge11,"&lt;"&amp;BR10,WeightedMinAge11),MAX(CapacityAge11*АбонементНовых*BR10,MeanMinAge11)))</f>
        <v/>
      </c>
      <c r="BS85" s="87">
        <f>IF(OR(('03_Сеть'!BS33-BS31)=0,11&lt;=КаникулыРоялти),0,('03_Сеть'!BS33-BS31)*IF(РоялтиПоГруппам="Да",MeanMinAge11+BS10*SUMIF(ThresholdAge11,"&lt;"&amp;BS10,WeightedRevAge11)-SUMIF(ThresholdAge11,"&lt;"&amp;BS10,WeightedMinAge11),MAX(CapacityAge11*АбонементНовых*BS10,MeanMinAge11)))</f>
        <v/>
      </c>
      <c r="BT85" s="87">
        <f>IF(OR(('03_Сеть'!BT33-BT31)=0,11&lt;=КаникулыРоялти),0,('03_Сеть'!BT33-BT31)*IF(РоялтиПоГруппам="Да",MeanMinAge11+BT10*SUMIF(ThresholdAge11,"&lt;"&amp;BT10,WeightedRevAge11)-SUMIF(ThresholdAge11,"&lt;"&amp;BT10,WeightedMinAge11),MAX(CapacityAge11*АбонементНовых*BT10,MeanMinAge11)))</f>
        <v/>
      </c>
      <c r="BU85" s="87">
        <f>IF(OR(('03_Сеть'!BU33-BU31)=0,11&lt;=КаникулыРоялти),0,('03_Сеть'!BU33-BU31)*IF(РоялтиПоГруппам="Да",MeanMinAge11+BU10*SUMIF(ThresholdAge11,"&lt;"&amp;BU10,WeightedRevAge11)-SUMIF(ThresholdAge11,"&lt;"&amp;BU10,WeightedMinAge11),MAX(CapacityAge11*АбонементНовых*BU10,MeanMinAge11)))</f>
        <v/>
      </c>
      <c r="BV85" s="87">
        <f>IF(OR(('03_Сеть'!BV33-BV31)=0,11&lt;=КаникулыРоялти),0,('03_Сеть'!BV33-BV31)*IF(РоялтиПоГруппам="Да",MeanMinAge11+BV10*SUMIF(ThresholdAge11,"&lt;"&amp;BV10,WeightedRevAge11)-SUMIF(ThresholdAge11,"&lt;"&amp;BV10,WeightedMinAge11),MAX(CapacityAge11*АбонементНовых*BV10,MeanMinAge11)))</f>
        <v/>
      </c>
      <c r="BW85" s="87">
        <f>IF(OR(('03_Сеть'!BW33-BW31)=0,11&lt;=КаникулыРоялти),0,('03_Сеть'!BW33-BW31)*IF(РоялтиПоГруппам="Да",MeanMinAge11+BW10*SUMIF(ThresholdAge11,"&lt;"&amp;BW10,WeightedRevAge11)-SUMIF(ThresholdAge11,"&lt;"&amp;BW10,WeightedMinAge11),MAX(CapacityAge11*АбонементНовых*BW10,MeanMinAge11)))</f>
        <v/>
      </c>
      <c r="BX85" s="87">
        <f>IF(OR(('03_Сеть'!BX33-BX31)=0,11&lt;=КаникулыРоялти),0,('03_Сеть'!BX33-BX31)*IF(РоялтиПоГруппам="Да",MeanMinAge11+BX10*SUMIF(ThresholdAge11,"&lt;"&amp;BX10,WeightedRevAge11)-SUMIF(ThresholdAge11,"&lt;"&amp;BX10,WeightedMinAge11),MAX(CapacityAge11*АбонементНовых*BX10,MeanMinAge11)))</f>
        <v/>
      </c>
      <c r="BY85" s="87">
        <f>IF(OR(('03_Сеть'!BY33-BY31)=0,11&lt;=КаникулыРоялти),0,('03_Сеть'!BY33-BY31)*IF(РоялтиПоГруппам="Да",MeanMinAge11+BY10*SUMIF(ThresholdAge11,"&lt;"&amp;BY10,WeightedRevAge11)-SUMIF(ThresholdAge11,"&lt;"&amp;BY10,WeightedMinAge11),MAX(CapacityAge11*АбонементНовых*BY10,MeanMinAge11)))</f>
        <v/>
      </c>
    </row>
    <row r="86" ht="15.75" customHeight="1" s="194">
      <c r="B86" s="56" t="inlineStr">
        <is>
          <t>12 мес.</t>
        </is>
      </c>
      <c r="C86" s="56" t="inlineStr">
        <is>
          <t>₽</t>
        </is>
      </c>
      <c r="D86" s="57" t="n"/>
      <c r="E86" s="85">
        <f>SUM(L86:W86)</f>
        <v/>
      </c>
      <c r="F86" s="85">
        <f>SUM(X86:AI86)</f>
        <v/>
      </c>
      <c r="G86" s="85">
        <f>SUM(AJ86:AU86)</f>
        <v/>
      </c>
      <c r="H86" s="85">
        <f>SUM(AV86:BG86)</f>
        <v/>
      </c>
      <c r="I86" s="85">
        <f>SUM(BH86:BS86)</f>
        <v/>
      </c>
      <c r="J86" s="86">
        <f>SUM(L86:BS86)</f>
        <v/>
      </c>
      <c r="L86" s="87">
        <f>IF(OR(('03_Сеть'!L34-L32)=0,12&lt;=КаникулыРоялти),0,('03_Сеть'!L34-L32)*IF(РоялтиПоГруппам="Да",MeanMinAge12+L10*SUMIF(ThresholdAge12,"&lt;"&amp;L10,WeightedRevAge12)-SUMIF(ThresholdAge12,"&lt;"&amp;L10,WeightedMinAge12),MAX(CapacityAge12*АбонементНовых*L10,MeanMinAge12)))</f>
        <v/>
      </c>
      <c r="M86" s="87">
        <f>IF(OR(('03_Сеть'!M34-M32)=0,12&lt;=КаникулыРоялти),0,('03_Сеть'!M34-M32)*IF(РоялтиПоГруппам="Да",MeanMinAge12+M10*SUMIF(ThresholdAge12,"&lt;"&amp;M10,WeightedRevAge12)-SUMIF(ThresholdAge12,"&lt;"&amp;M10,WeightedMinAge12),MAX(CapacityAge12*АбонементНовых*M10,MeanMinAge12)))</f>
        <v/>
      </c>
      <c r="N86" s="87">
        <f>IF(OR(('03_Сеть'!N34-N32)=0,12&lt;=КаникулыРоялти),0,('03_Сеть'!N34-N32)*IF(РоялтиПоГруппам="Да",MeanMinAge12+N10*SUMIF(ThresholdAge12,"&lt;"&amp;N10,WeightedRevAge12)-SUMIF(ThresholdAge12,"&lt;"&amp;N10,WeightedMinAge12),MAX(CapacityAge12*АбонементНовых*N10,MeanMinAge12)))</f>
        <v/>
      </c>
      <c r="O86" s="87">
        <f>IF(OR(('03_Сеть'!O34-O32)=0,12&lt;=КаникулыРоялти),0,('03_Сеть'!O34-O32)*IF(РоялтиПоГруппам="Да",MeanMinAge12+O10*SUMIF(ThresholdAge12,"&lt;"&amp;O10,WeightedRevAge12)-SUMIF(ThresholdAge12,"&lt;"&amp;O10,WeightedMinAge12),MAX(CapacityAge12*АбонементНовых*O10,MeanMinAge12)))</f>
        <v/>
      </c>
      <c r="P86" s="87">
        <f>IF(OR(('03_Сеть'!P34-P32)=0,12&lt;=КаникулыРоялти),0,('03_Сеть'!P34-P32)*IF(РоялтиПоГруппам="Да",MeanMinAge12+P10*SUMIF(ThresholdAge12,"&lt;"&amp;P10,WeightedRevAge12)-SUMIF(ThresholdAge12,"&lt;"&amp;P10,WeightedMinAge12),MAX(CapacityAge12*АбонементНовых*P10,MeanMinAge12)))</f>
        <v/>
      </c>
      <c r="Q86" s="87">
        <f>IF(OR(('03_Сеть'!Q34-Q32)=0,12&lt;=КаникулыРоялти),0,('03_Сеть'!Q34-Q32)*IF(РоялтиПоГруппам="Да",MeanMinAge12+Q10*SUMIF(ThresholdAge12,"&lt;"&amp;Q10,WeightedRevAge12)-SUMIF(ThresholdAge12,"&lt;"&amp;Q10,WeightedMinAge12),MAX(CapacityAge12*АбонементНовых*Q10,MeanMinAge12)))</f>
        <v/>
      </c>
      <c r="R86" s="87">
        <f>IF(OR(('03_Сеть'!R34-R32)=0,12&lt;=КаникулыРоялти),0,('03_Сеть'!R34-R32)*IF(РоялтиПоГруппам="Да",MeanMinAge12+R10*SUMIF(ThresholdAge12,"&lt;"&amp;R10,WeightedRevAge12)-SUMIF(ThresholdAge12,"&lt;"&amp;R10,WeightedMinAge12),MAX(CapacityAge12*АбонементНовых*R10,MeanMinAge12)))</f>
        <v/>
      </c>
      <c r="S86" s="87">
        <f>IF(OR(('03_Сеть'!S34-S32)=0,12&lt;=КаникулыРоялти),0,('03_Сеть'!S34-S32)*IF(РоялтиПоГруппам="Да",MeanMinAge12+S10*SUMIF(ThresholdAge12,"&lt;"&amp;S10,WeightedRevAge12)-SUMIF(ThresholdAge12,"&lt;"&amp;S10,WeightedMinAge12),MAX(CapacityAge12*АбонементНовых*S10,MeanMinAge12)))</f>
        <v/>
      </c>
      <c r="T86" s="87">
        <f>IF(OR(('03_Сеть'!T34-T32)=0,12&lt;=КаникулыРоялти),0,('03_Сеть'!T34-T32)*IF(РоялтиПоГруппам="Да",MeanMinAge12+T10*SUMIF(ThresholdAge12,"&lt;"&amp;T10,WeightedRevAge12)-SUMIF(ThresholdAge12,"&lt;"&amp;T10,WeightedMinAge12),MAX(CapacityAge12*АбонементНовых*T10,MeanMinAge12)))</f>
        <v/>
      </c>
      <c r="U86" s="87">
        <f>IF(OR(('03_Сеть'!U34-U32)=0,12&lt;=КаникулыРоялти),0,('03_Сеть'!U34-U32)*IF(РоялтиПоГруппам="Да",MeanMinAge12+U10*SUMIF(ThresholdAge12,"&lt;"&amp;U10,WeightedRevAge12)-SUMIF(ThresholdAge12,"&lt;"&amp;U10,WeightedMinAge12),MAX(CapacityAge12*АбонементНовых*U10,MeanMinAge12)))</f>
        <v/>
      </c>
      <c r="V86" s="87">
        <f>IF(OR(('03_Сеть'!V34-V32)=0,12&lt;=КаникулыРоялти),0,('03_Сеть'!V34-V32)*IF(РоялтиПоГруппам="Да",MeanMinAge12+V10*SUMIF(ThresholdAge12,"&lt;"&amp;V10,WeightedRevAge12)-SUMIF(ThresholdAge12,"&lt;"&amp;V10,WeightedMinAge12),MAX(CapacityAge12*АбонементНовых*V10,MeanMinAge12)))</f>
        <v/>
      </c>
      <c r="W86" s="87">
        <f>IF(OR(('03_Сеть'!W34-W32)=0,12&lt;=КаникулыРоялти),0,('03_Сеть'!W34-W32)*IF(РоялтиПоГруппам="Да",MeanMinAge12+W10*SUMIF(ThresholdAge12,"&lt;"&amp;W10,WeightedRevAge12)-SUMIF(ThresholdAge12,"&lt;"&amp;W10,WeightedMinAge12),MAX(CapacityAge12*АбонементНовых*W10,MeanMinAge12)))</f>
        <v/>
      </c>
      <c r="X86" s="87">
        <f>IF(OR(('03_Сеть'!X34-X32)=0,12&lt;=КаникулыРоялти),0,('03_Сеть'!X34-X32)*IF(РоялтиПоГруппам="Да",MeanMinAge12+X10*SUMIF(ThresholdAge12,"&lt;"&amp;X10,WeightedRevAge12)-SUMIF(ThresholdAge12,"&lt;"&amp;X10,WeightedMinAge12),MAX(CapacityAge12*АбонементНовых*X10,MeanMinAge12)))</f>
        <v/>
      </c>
      <c r="Y86" s="87">
        <f>IF(OR(('03_Сеть'!Y34-Y32)=0,12&lt;=КаникулыРоялти),0,('03_Сеть'!Y34-Y32)*IF(РоялтиПоГруппам="Да",MeanMinAge12+Y10*SUMIF(ThresholdAge12,"&lt;"&amp;Y10,WeightedRevAge12)-SUMIF(ThresholdAge12,"&lt;"&amp;Y10,WeightedMinAge12),MAX(CapacityAge12*АбонементНовых*Y10,MeanMinAge12)))</f>
        <v/>
      </c>
      <c r="Z86" s="87">
        <f>IF(OR(('03_Сеть'!Z34-Z32)=0,12&lt;=КаникулыРоялти),0,('03_Сеть'!Z34-Z32)*IF(РоялтиПоГруппам="Да",MeanMinAge12+Z10*SUMIF(ThresholdAge12,"&lt;"&amp;Z10,WeightedRevAge12)-SUMIF(ThresholdAge12,"&lt;"&amp;Z10,WeightedMinAge12),MAX(CapacityAge12*АбонементНовых*Z10,MeanMinAge12)))</f>
        <v/>
      </c>
      <c r="AA86" s="87">
        <f>IF(OR(('03_Сеть'!AA34-AA32)=0,12&lt;=КаникулыРоялти),0,('03_Сеть'!AA34-AA32)*IF(РоялтиПоГруппам="Да",MeanMinAge12+AA10*SUMIF(ThresholdAge12,"&lt;"&amp;AA10,WeightedRevAge12)-SUMIF(ThresholdAge12,"&lt;"&amp;AA10,WeightedMinAge12),MAX(CapacityAge12*АбонементНовых*AA10,MeanMinAge12)))</f>
        <v/>
      </c>
      <c r="AB86" s="87">
        <f>IF(OR(('03_Сеть'!AB34-AB32)=0,12&lt;=КаникулыРоялти),0,('03_Сеть'!AB34-AB32)*IF(РоялтиПоГруппам="Да",MeanMinAge12+AB10*SUMIF(ThresholdAge12,"&lt;"&amp;AB10,WeightedRevAge12)-SUMIF(ThresholdAge12,"&lt;"&amp;AB10,WeightedMinAge12),MAX(CapacityAge12*АбонементНовых*AB10,MeanMinAge12)))</f>
        <v/>
      </c>
      <c r="AC86" s="87">
        <f>IF(OR(('03_Сеть'!AC34-AC32)=0,12&lt;=КаникулыРоялти),0,('03_Сеть'!AC34-AC32)*IF(РоялтиПоГруппам="Да",MeanMinAge12+AC10*SUMIF(ThresholdAge12,"&lt;"&amp;AC10,WeightedRevAge12)-SUMIF(ThresholdAge12,"&lt;"&amp;AC10,WeightedMinAge12),MAX(CapacityAge12*АбонементНовых*AC10,MeanMinAge12)))</f>
        <v/>
      </c>
      <c r="AD86" s="87">
        <f>IF(OR(('03_Сеть'!AD34-AD32)=0,12&lt;=КаникулыРоялти),0,('03_Сеть'!AD34-AD32)*IF(РоялтиПоГруппам="Да",MeanMinAge12+AD10*SUMIF(ThresholdAge12,"&lt;"&amp;AD10,WeightedRevAge12)-SUMIF(ThresholdAge12,"&lt;"&amp;AD10,WeightedMinAge12),MAX(CapacityAge12*АбонементНовых*AD10,MeanMinAge12)))</f>
        <v/>
      </c>
      <c r="AE86" s="87">
        <f>IF(OR(('03_Сеть'!AE34-AE32)=0,12&lt;=КаникулыРоялти),0,('03_Сеть'!AE34-AE32)*IF(РоялтиПоГруппам="Да",MeanMinAge12+AE10*SUMIF(ThresholdAge12,"&lt;"&amp;AE10,WeightedRevAge12)-SUMIF(ThresholdAge12,"&lt;"&amp;AE10,WeightedMinAge12),MAX(CapacityAge12*АбонементНовых*AE10,MeanMinAge12)))</f>
        <v/>
      </c>
      <c r="AF86" s="87">
        <f>IF(OR(('03_Сеть'!AF34-AF32)=0,12&lt;=КаникулыРоялти),0,('03_Сеть'!AF34-AF32)*IF(РоялтиПоГруппам="Да",MeanMinAge12+AF10*SUMIF(ThresholdAge12,"&lt;"&amp;AF10,WeightedRevAge12)-SUMIF(ThresholdAge12,"&lt;"&amp;AF10,WeightedMinAge12),MAX(CapacityAge12*АбонементНовых*AF10,MeanMinAge12)))</f>
        <v/>
      </c>
      <c r="AG86" s="87">
        <f>IF(OR(('03_Сеть'!AG34-AG32)=0,12&lt;=КаникулыРоялти),0,('03_Сеть'!AG34-AG32)*IF(РоялтиПоГруппам="Да",MeanMinAge12+AG10*SUMIF(ThresholdAge12,"&lt;"&amp;AG10,WeightedRevAge12)-SUMIF(ThresholdAge12,"&lt;"&amp;AG10,WeightedMinAge12),MAX(CapacityAge12*АбонементНовых*AG10,MeanMinAge12)))</f>
        <v/>
      </c>
      <c r="AH86" s="87">
        <f>IF(OR(('03_Сеть'!AH34-AH32)=0,12&lt;=КаникулыРоялти),0,('03_Сеть'!AH34-AH32)*IF(РоялтиПоГруппам="Да",MeanMinAge12+AH10*SUMIF(ThresholdAge12,"&lt;"&amp;AH10,WeightedRevAge12)-SUMIF(ThresholdAge12,"&lt;"&amp;AH10,WeightedMinAge12),MAX(CapacityAge12*АбонементНовых*AH10,MeanMinAge12)))</f>
        <v/>
      </c>
      <c r="AI86" s="87">
        <f>IF(OR(('03_Сеть'!AI34-AI32)=0,12&lt;=КаникулыРоялти),0,('03_Сеть'!AI34-AI32)*IF(РоялтиПоГруппам="Да",MeanMinAge12+AI10*SUMIF(ThresholdAge12,"&lt;"&amp;AI10,WeightedRevAge12)-SUMIF(ThresholdAge12,"&lt;"&amp;AI10,WeightedMinAge12),MAX(CapacityAge12*АбонементНовых*AI10,MeanMinAge12)))</f>
        <v/>
      </c>
      <c r="AJ86" s="87">
        <f>IF(OR(('03_Сеть'!AJ34-AJ32)=0,12&lt;=КаникулыРоялти),0,('03_Сеть'!AJ34-AJ32)*IF(РоялтиПоГруппам="Да",MeanMinAge12+AJ10*SUMIF(ThresholdAge12,"&lt;"&amp;AJ10,WeightedRevAge12)-SUMIF(ThresholdAge12,"&lt;"&amp;AJ10,WeightedMinAge12),MAX(CapacityAge12*АбонементНовых*AJ10,MeanMinAge12)))</f>
        <v/>
      </c>
      <c r="AK86" s="87">
        <f>IF(OR(('03_Сеть'!AK34-AK32)=0,12&lt;=КаникулыРоялти),0,('03_Сеть'!AK34-AK32)*IF(РоялтиПоГруппам="Да",MeanMinAge12+AK10*SUMIF(ThresholdAge12,"&lt;"&amp;AK10,WeightedRevAge12)-SUMIF(ThresholdAge12,"&lt;"&amp;AK10,WeightedMinAge12),MAX(CapacityAge12*АбонементНовых*AK10,MeanMinAge12)))</f>
        <v/>
      </c>
      <c r="AL86" s="87">
        <f>IF(OR(('03_Сеть'!AL34-AL32)=0,12&lt;=КаникулыРоялти),0,('03_Сеть'!AL34-AL32)*IF(РоялтиПоГруппам="Да",MeanMinAge12+AL10*SUMIF(ThresholdAge12,"&lt;"&amp;AL10,WeightedRevAge12)-SUMIF(ThresholdAge12,"&lt;"&amp;AL10,WeightedMinAge12),MAX(CapacityAge12*АбонементНовых*AL10,MeanMinAge12)))</f>
        <v/>
      </c>
      <c r="AM86" s="87">
        <f>IF(OR(('03_Сеть'!AM34-AM32)=0,12&lt;=КаникулыРоялти),0,('03_Сеть'!AM34-AM32)*IF(РоялтиПоГруппам="Да",MeanMinAge12+AM10*SUMIF(ThresholdAge12,"&lt;"&amp;AM10,WeightedRevAge12)-SUMIF(ThresholdAge12,"&lt;"&amp;AM10,WeightedMinAge12),MAX(CapacityAge12*АбонементНовых*AM10,MeanMinAge12)))</f>
        <v/>
      </c>
      <c r="AN86" s="87">
        <f>IF(OR(('03_Сеть'!AN34-AN32)=0,12&lt;=КаникулыРоялти),0,('03_Сеть'!AN34-AN32)*IF(РоялтиПоГруппам="Да",MeanMinAge12+AN10*SUMIF(ThresholdAge12,"&lt;"&amp;AN10,WeightedRevAge12)-SUMIF(ThresholdAge12,"&lt;"&amp;AN10,WeightedMinAge12),MAX(CapacityAge12*АбонементНовых*AN10,MeanMinAge12)))</f>
        <v/>
      </c>
      <c r="AO86" s="87">
        <f>IF(OR(('03_Сеть'!AO34-AO32)=0,12&lt;=КаникулыРоялти),0,('03_Сеть'!AO34-AO32)*IF(РоялтиПоГруппам="Да",MeanMinAge12+AO10*SUMIF(ThresholdAge12,"&lt;"&amp;AO10,WeightedRevAge12)-SUMIF(ThresholdAge12,"&lt;"&amp;AO10,WeightedMinAge12),MAX(CapacityAge12*АбонементНовых*AO10,MeanMinAge12)))</f>
        <v/>
      </c>
      <c r="AP86" s="87">
        <f>IF(OR(('03_Сеть'!AP34-AP32)=0,12&lt;=КаникулыРоялти),0,('03_Сеть'!AP34-AP32)*IF(РоялтиПоГруппам="Да",MeanMinAge12+AP10*SUMIF(ThresholdAge12,"&lt;"&amp;AP10,WeightedRevAge12)-SUMIF(ThresholdAge12,"&lt;"&amp;AP10,WeightedMinAge12),MAX(CapacityAge12*АбонементНовых*AP10,MeanMinAge12)))</f>
        <v/>
      </c>
      <c r="AQ86" s="87">
        <f>IF(OR(('03_Сеть'!AQ34-AQ32)=0,12&lt;=КаникулыРоялти),0,('03_Сеть'!AQ34-AQ32)*IF(РоялтиПоГруппам="Да",MeanMinAge12+AQ10*SUMIF(ThresholdAge12,"&lt;"&amp;AQ10,WeightedRevAge12)-SUMIF(ThresholdAge12,"&lt;"&amp;AQ10,WeightedMinAge12),MAX(CapacityAge12*АбонементНовых*AQ10,MeanMinAge12)))</f>
        <v/>
      </c>
      <c r="AR86" s="87">
        <f>IF(OR(('03_Сеть'!AR34-AR32)=0,12&lt;=КаникулыРоялти),0,('03_Сеть'!AR34-AR32)*IF(РоялтиПоГруппам="Да",MeanMinAge12+AR10*SUMIF(ThresholdAge12,"&lt;"&amp;AR10,WeightedRevAge12)-SUMIF(ThresholdAge12,"&lt;"&amp;AR10,WeightedMinAge12),MAX(CapacityAge12*АбонементНовых*AR10,MeanMinAge12)))</f>
        <v/>
      </c>
      <c r="AS86" s="87">
        <f>IF(OR(('03_Сеть'!AS34-AS32)=0,12&lt;=КаникулыРоялти),0,('03_Сеть'!AS34-AS32)*IF(РоялтиПоГруппам="Да",MeanMinAge12+AS10*SUMIF(ThresholdAge12,"&lt;"&amp;AS10,WeightedRevAge12)-SUMIF(ThresholdAge12,"&lt;"&amp;AS10,WeightedMinAge12),MAX(CapacityAge12*АбонементНовых*AS10,MeanMinAge12)))</f>
        <v/>
      </c>
      <c r="AT86" s="87">
        <f>IF(OR(('03_Сеть'!AT34-AT32)=0,12&lt;=КаникулыРоялти),0,('03_Сеть'!AT34-AT32)*IF(РоялтиПоГруппам="Да",MeanMinAge12+AT10*SUMIF(ThresholdAge12,"&lt;"&amp;AT10,WeightedRevAge12)-SUMIF(ThresholdAge12,"&lt;"&amp;AT10,WeightedMinAge12),MAX(CapacityAge12*АбонементНовых*AT10,MeanMinAge12)))</f>
        <v/>
      </c>
      <c r="AU86" s="87">
        <f>IF(OR(('03_Сеть'!AU34-AU32)=0,12&lt;=КаникулыРоялти),0,('03_Сеть'!AU34-AU32)*IF(РоялтиПоГруппам="Да",MeanMinAge12+AU10*SUMIF(ThresholdAge12,"&lt;"&amp;AU10,WeightedRevAge12)-SUMIF(ThresholdAge12,"&lt;"&amp;AU10,WeightedMinAge12),MAX(CapacityAge12*АбонементНовых*AU10,MeanMinAge12)))</f>
        <v/>
      </c>
      <c r="AV86" s="87">
        <f>IF(OR(('03_Сеть'!AV34-AV32)=0,12&lt;=КаникулыРоялти),0,('03_Сеть'!AV34-AV32)*IF(РоялтиПоГруппам="Да",MeanMinAge12+AV10*SUMIF(ThresholdAge12,"&lt;"&amp;AV10,WeightedRevAge12)-SUMIF(ThresholdAge12,"&lt;"&amp;AV10,WeightedMinAge12),MAX(CapacityAge12*АбонементНовых*AV10,MeanMinAge12)))</f>
        <v/>
      </c>
      <c r="AW86" s="87">
        <f>IF(OR(('03_Сеть'!AW34-AW32)=0,12&lt;=КаникулыРоялти),0,('03_Сеть'!AW34-AW32)*IF(РоялтиПоГруппам="Да",MeanMinAge12+AW10*SUMIF(ThresholdAge12,"&lt;"&amp;AW10,WeightedRevAge12)-SUMIF(ThresholdAge12,"&lt;"&amp;AW10,WeightedMinAge12),MAX(CapacityAge12*АбонементНовых*AW10,MeanMinAge12)))</f>
        <v/>
      </c>
      <c r="AX86" s="87">
        <f>IF(OR(('03_Сеть'!AX34-AX32)=0,12&lt;=КаникулыРоялти),0,('03_Сеть'!AX34-AX32)*IF(РоялтиПоГруппам="Да",MeanMinAge12+AX10*SUMIF(ThresholdAge12,"&lt;"&amp;AX10,WeightedRevAge12)-SUMIF(ThresholdAge12,"&lt;"&amp;AX10,WeightedMinAge12),MAX(CapacityAge12*АбонементНовых*AX10,MeanMinAge12)))</f>
        <v/>
      </c>
      <c r="AY86" s="87">
        <f>IF(OR(('03_Сеть'!AY34-AY32)=0,12&lt;=КаникулыРоялти),0,('03_Сеть'!AY34-AY32)*IF(РоялтиПоГруппам="Да",MeanMinAge12+AY10*SUMIF(ThresholdAge12,"&lt;"&amp;AY10,WeightedRevAge12)-SUMIF(ThresholdAge12,"&lt;"&amp;AY10,WeightedMinAge12),MAX(CapacityAge12*АбонементНовых*AY10,MeanMinAge12)))</f>
        <v/>
      </c>
      <c r="AZ86" s="87">
        <f>IF(OR(('03_Сеть'!AZ34-AZ32)=0,12&lt;=КаникулыРоялти),0,('03_Сеть'!AZ34-AZ32)*IF(РоялтиПоГруппам="Да",MeanMinAge12+AZ10*SUMIF(ThresholdAge12,"&lt;"&amp;AZ10,WeightedRevAge12)-SUMIF(ThresholdAge12,"&lt;"&amp;AZ10,WeightedMinAge12),MAX(CapacityAge12*АбонементНовых*AZ10,MeanMinAge12)))</f>
        <v/>
      </c>
      <c r="BA86" s="87">
        <f>IF(OR(('03_Сеть'!BA34-BA32)=0,12&lt;=КаникулыРоялти),0,('03_Сеть'!BA34-BA32)*IF(РоялтиПоГруппам="Да",MeanMinAge12+BA10*SUMIF(ThresholdAge12,"&lt;"&amp;BA10,WeightedRevAge12)-SUMIF(ThresholdAge12,"&lt;"&amp;BA10,WeightedMinAge12),MAX(CapacityAge12*АбонементНовых*BA10,MeanMinAge12)))</f>
        <v/>
      </c>
      <c r="BB86" s="87">
        <f>IF(OR(('03_Сеть'!BB34-BB32)=0,12&lt;=КаникулыРоялти),0,('03_Сеть'!BB34-BB32)*IF(РоялтиПоГруппам="Да",MeanMinAge12+BB10*SUMIF(ThresholdAge12,"&lt;"&amp;BB10,WeightedRevAge12)-SUMIF(ThresholdAge12,"&lt;"&amp;BB10,WeightedMinAge12),MAX(CapacityAge12*АбонементНовых*BB10,MeanMinAge12)))</f>
        <v/>
      </c>
      <c r="BC86" s="87">
        <f>IF(OR(('03_Сеть'!BC34-BC32)=0,12&lt;=КаникулыРоялти),0,('03_Сеть'!BC34-BC32)*IF(РоялтиПоГруппам="Да",MeanMinAge12+BC10*SUMIF(ThresholdAge12,"&lt;"&amp;BC10,WeightedRevAge12)-SUMIF(ThresholdAge12,"&lt;"&amp;BC10,WeightedMinAge12),MAX(CapacityAge12*АбонементНовых*BC10,MeanMinAge12)))</f>
        <v/>
      </c>
      <c r="BD86" s="87">
        <f>IF(OR(('03_Сеть'!BD34-BD32)=0,12&lt;=КаникулыРоялти),0,('03_Сеть'!BD34-BD32)*IF(РоялтиПоГруппам="Да",MeanMinAge12+BD10*SUMIF(ThresholdAge12,"&lt;"&amp;BD10,WeightedRevAge12)-SUMIF(ThresholdAge12,"&lt;"&amp;BD10,WeightedMinAge12),MAX(CapacityAge12*АбонементНовых*BD10,MeanMinAge12)))</f>
        <v/>
      </c>
      <c r="BE86" s="87">
        <f>IF(OR(('03_Сеть'!BE34-BE32)=0,12&lt;=КаникулыРоялти),0,('03_Сеть'!BE34-BE32)*IF(РоялтиПоГруппам="Да",MeanMinAge12+BE10*SUMIF(ThresholdAge12,"&lt;"&amp;BE10,WeightedRevAge12)-SUMIF(ThresholdAge12,"&lt;"&amp;BE10,WeightedMinAge12),MAX(CapacityAge12*АбонементНовых*BE10,MeanMinAge12)))</f>
        <v/>
      </c>
      <c r="BF86" s="87">
        <f>IF(OR(('03_Сеть'!BF34-BF32)=0,12&lt;=КаникулыРоялти),0,('03_Сеть'!BF34-BF32)*IF(РоялтиПоГруппам="Да",MeanMinAge12+BF10*SUMIF(ThresholdAge12,"&lt;"&amp;BF10,WeightedRevAge12)-SUMIF(ThresholdAge12,"&lt;"&amp;BF10,WeightedMinAge12),MAX(CapacityAge12*АбонементНовых*BF10,MeanMinAge12)))</f>
        <v/>
      </c>
      <c r="BG86" s="87">
        <f>IF(OR(('03_Сеть'!BG34-BG32)=0,12&lt;=КаникулыРоялти),0,('03_Сеть'!BG34-BG32)*IF(РоялтиПоГруппам="Да",MeanMinAge12+BG10*SUMIF(ThresholdAge12,"&lt;"&amp;BG10,WeightedRevAge12)-SUMIF(ThresholdAge12,"&lt;"&amp;BG10,WeightedMinAge12),MAX(CapacityAge12*АбонементНовых*BG10,MeanMinAge12)))</f>
        <v/>
      </c>
      <c r="BH86" s="87">
        <f>IF(OR(('03_Сеть'!BH34-BH32)=0,12&lt;=КаникулыРоялти),0,('03_Сеть'!BH34-BH32)*IF(РоялтиПоГруппам="Да",MeanMinAge12+BH10*SUMIF(ThresholdAge12,"&lt;"&amp;BH10,WeightedRevAge12)-SUMIF(ThresholdAge12,"&lt;"&amp;BH10,WeightedMinAge12),MAX(CapacityAge12*АбонементНовых*BH10,MeanMinAge12)))</f>
        <v/>
      </c>
      <c r="BI86" s="87">
        <f>IF(OR(('03_Сеть'!BI34-BI32)=0,12&lt;=КаникулыРоялти),0,('03_Сеть'!BI34-BI32)*IF(РоялтиПоГруппам="Да",MeanMinAge12+BI10*SUMIF(ThresholdAge12,"&lt;"&amp;BI10,WeightedRevAge12)-SUMIF(ThresholdAge12,"&lt;"&amp;BI10,WeightedMinAge12),MAX(CapacityAge12*АбонементНовых*BI10,MeanMinAge12)))</f>
        <v/>
      </c>
      <c r="BJ86" s="87">
        <f>IF(OR(('03_Сеть'!BJ34-BJ32)=0,12&lt;=КаникулыРоялти),0,('03_Сеть'!BJ34-BJ32)*IF(РоялтиПоГруппам="Да",MeanMinAge12+BJ10*SUMIF(ThresholdAge12,"&lt;"&amp;BJ10,WeightedRevAge12)-SUMIF(ThresholdAge12,"&lt;"&amp;BJ10,WeightedMinAge12),MAX(CapacityAge12*АбонементНовых*BJ10,MeanMinAge12)))</f>
        <v/>
      </c>
      <c r="BK86" s="87">
        <f>IF(OR(('03_Сеть'!BK34-BK32)=0,12&lt;=КаникулыРоялти),0,('03_Сеть'!BK34-BK32)*IF(РоялтиПоГруппам="Да",MeanMinAge12+BK10*SUMIF(ThresholdAge12,"&lt;"&amp;BK10,WeightedRevAge12)-SUMIF(ThresholdAge12,"&lt;"&amp;BK10,WeightedMinAge12),MAX(CapacityAge12*АбонементНовых*BK10,MeanMinAge12)))</f>
        <v/>
      </c>
      <c r="BL86" s="87">
        <f>IF(OR(('03_Сеть'!BL34-BL32)=0,12&lt;=КаникулыРоялти),0,('03_Сеть'!BL34-BL32)*IF(РоялтиПоГруппам="Да",MeanMinAge12+BL10*SUMIF(ThresholdAge12,"&lt;"&amp;BL10,WeightedRevAge12)-SUMIF(ThresholdAge12,"&lt;"&amp;BL10,WeightedMinAge12),MAX(CapacityAge12*АбонементНовых*BL10,MeanMinAge12)))</f>
        <v/>
      </c>
      <c r="BM86" s="87">
        <f>IF(OR(('03_Сеть'!BM34-BM32)=0,12&lt;=КаникулыРоялти),0,('03_Сеть'!BM34-BM32)*IF(РоялтиПоГруппам="Да",MeanMinAge12+BM10*SUMIF(ThresholdAge12,"&lt;"&amp;BM10,WeightedRevAge12)-SUMIF(ThresholdAge12,"&lt;"&amp;BM10,WeightedMinAge12),MAX(CapacityAge12*АбонементНовых*BM10,MeanMinAge12)))</f>
        <v/>
      </c>
      <c r="BN86" s="87">
        <f>IF(OR(('03_Сеть'!BN34-BN32)=0,12&lt;=КаникулыРоялти),0,('03_Сеть'!BN34-BN32)*IF(РоялтиПоГруппам="Да",MeanMinAge12+BN10*SUMIF(ThresholdAge12,"&lt;"&amp;BN10,WeightedRevAge12)-SUMIF(ThresholdAge12,"&lt;"&amp;BN10,WeightedMinAge12),MAX(CapacityAge12*АбонементНовых*BN10,MeanMinAge12)))</f>
        <v/>
      </c>
      <c r="BO86" s="87">
        <f>IF(OR(('03_Сеть'!BO34-BO32)=0,12&lt;=КаникулыРоялти),0,('03_Сеть'!BO34-BO32)*IF(РоялтиПоГруппам="Да",MeanMinAge12+BO10*SUMIF(ThresholdAge12,"&lt;"&amp;BO10,WeightedRevAge12)-SUMIF(ThresholdAge12,"&lt;"&amp;BO10,WeightedMinAge12),MAX(CapacityAge12*АбонементНовых*BO10,MeanMinAge12)))</f>
        <v/>
      </c>
      <c r="BP86" s="87">
        <f>IF(OR(('03_Сеть'!BP34-BP32)=0,12&lt;=КаникулыРоялти),0,('03_Сеть'!BP34-BP32)*IF(РоялтиПоГруппам="Да",MeanMinAge12+BP10*SUMIF(ThresholdAge12,"&lt;"&amp;BP10,WeightedRevAge12)-SUMIF(ThresholdAge12,"&lt;"&amp;BP10,WeightedMinAge12),MAX(CapacityAge12*АбонементНовых*BP10,MeanMinAge12)))</f>
        <v/>
      </c>
      <c r="BQ86" s="87">
        <f>IF(OR(('03_Сеть'!BQ34-BQ32)=0,12&lt;=КаникулыРоялти),0,('03_Сеть'!BQ34-BQ32)*IF(РоялтиПоГруппам="Да",MeanMinAge12+BQ10*SUMIF(ThresholdAge12,"&lt;"&amp;BQ10,WeightedRevAge12)-SUMIF(ThresholdAge12,"&lt;"&amp;BQ10,WeightedMinAge12),MAX(CapacityAge12*АбонементНовых*BQ10,MeanMinAge12)))</f>
        <v/>
      </c>
      <c r="BR86" s="87">
        <f>IF(OR(('03_Сеть'!BR34-BR32)=0,12&lt;=КаникулыРоялти),0,('03_Сеть'!BR34-BR32)*IF(РоялтиПоГруппам="Да",MeanMinAge12+BR10*SUMIF(ThresholdAge12,"&lt;"&amp;BR10,WeightedRevAge12)-SUMIF(ThresholdAge12,"&lt;"&amp;BR10,WeightedMinAge12),MAX(CapacityAge12*АбонементНовых*BR10,MeanMinAge12)))</f>
        <v/>
      </c>
      <c r="BS86" s="87">
        <f>IF(OR(('03_Сеть'!BS34-BS32)=0,12&lt;=КаникулыРоялти),0,('03_Сеть'!BS34-BS32)*IF(РоялтиПоГруппам="Да",MeanMinAge12+BS10*SUMIF(ThresholdAge12,"&lt;"&amp;BS10,WeightedRevAge12)-SUMIF(ThresholdAge12,"&lt;"&amp;BS10,WeightedMinAge12),MAX(CapacityAge12*АбонементНовых*BS10,MeanMinAge12)))</f>
        <v/>
      </c>
      <c r="BT86" s="87">
        <f>IF(OR(('03_Сеть'!BT34-BT32)=0,12&lt;=КаникулыРоялти),0,('03_Сеть'!BT34-BT32)*IF(РоялтиПоГруппам="Да",MeanMinAge12+BT10*SUMIF(ThresholdAge12,"&lt;"&amp;BT10,WeightedRevAge12)-SUMIF(ThresholdAge12,"&lt;"&amp;BT10,WeightedMinAge12),MAX(CapacityAge12*АбонементНовых*BT10,MeanMinAge12)))</f>
        <v/>
      </c>
      <c r="BU86" s="87">
        <f>IF(OR(('03_Сеть'!BU34-BU32)=0,12&lt;=КаникулыРоялти),0,('03_Сеть'!BU34-BU32)*IF(РоялтиПоГруппам="Да",MeanMinAge12+BU10*SUMIF(ThresholdAge12,"&lt;"&amp;BU10,WeightedRevAge12)-SUMIF(ThresholdAge12,"&lt;"&amp;BU10,WeightedMinAge12),MAX(CapacityAge12*АбонементНовых*BU10,MeanMinAge12)))</f>
        <v/>
      </c>
      <c r="BV86" s="87">
        <f>IF(OR(('03_Сеть'!BV34-BV32)=0,12&lt;=КаникулыРоялти),0,('03_Сеть'!BV34-BV32)*IF(РоялтиПоГруппам="Да",MeanMinAge12+BV10*SUMIF(ThresholdAge12,"&lt;"&amp;BV10,WeightedRevAge12)-SUMIF(ThresholdAge12,"&lt;"&amp;BV10,WeightedMinAge12),MAX(CapacityAge12*АбонементНовых*BV10,MeanMinAge12)))</f>
        <v/>
      </c>
      <c r="BW86" s="87">
        <f>IF(OR(('03_Сеть'!BW34-BW32)=0,12&lt;=КаникулыРоялти),0,('03_Сеть'!BW34-BW32)*IF(РоялтиПоГруппам="Да",MeanMinAge12+BW10*SUMIF(ThresholdAge12,"&lt;"&amp;BW10,WeightedRevAge12)-SUMIF(ThresholdAge12,"&lt;"&amp;BW10,WeightedMinAge12),MAX(CapacityAge12*АбонементНовых*BW10,MeanMinAge12)))</f>
        <v/>
      </c>
      <c r="BX86" s="87">
        <f>IF(OR(('03_Сеть'!BX34-BX32)=0,12&lt;=КаникулыРоялти),0,('03_Сеть'!BX34-BX32)*IF(РоялтиПоГруппам="Да",MeanMinAge12+BX10*SUMIF(ThresholdAge12,"&lt;"&amp;BX10,WeightedRevAge12)-SUMIF(ThresholdAge12,"&lt;"&amp;BX10,WeightedMinAge12),MAX(CapacityAge12*АбонементНовых*BX10,MeanMinAge12)))</f>
        <v/>
      </c>
      <c r="BY86" s="87">
        <f>IF(OR(('03_Сеть'!BY34-BY32)=0,12&lt;=КаникулыРоялти),0,('03_Сеть'!BY34-BY32)*IF(РоялтиПоГруппам="Да",MeanMinAge12+BY10*SUMIF(ThresholdAge12,"&lt;"&amp;BY10,WeightedRevAge12)-SUMIF(ThresholdAge12,"&lt;"&amp;BY10,WeightedMinAge12),MAX(CapacityAge12*АбонементНовых*BY10,MeanMinAge12)))</f>
        <v/>
      </c>
    </row>
    <row r="87" ht="15.75" customHeight="1" s="194">
      <c r="B87" s="56" t="inlineStr">
        <is>
          <t>13 мес.</t>
        </is>
      </c>
      <c r="C87" s="56" t="inlineStr">
        <is>
          <t>₽</t>
        </is>
      </c>
      <c r="D87" s="57" t="n"/>
      <c r="E87" s="85">
        <f>SUM(L87:W87)</f>
        <v/>
      </c>
      <c r="F87" s="85">
        <f>SUM(X87:AI87)</f>
        <v/>
      </c>
      <c r="G87" s="85">
        <f>SUM(AJ87:AU87)</f>
        <v/>
      </c>
      <c r="H87" s="85">
        <f>SUM(AV87:BG87)</f>
        <v/>
      </c>
      <c r="I87" s="85">
        <f>SUM(BH87:BS87)</f>
        <v/>
      </c>
      <c r="J87" s="86">
        <f>SUM(L87:BS87)</f>
        <v/>
      </c>
      <c r="L87" s="87">
        <f>IF(OR(('03_Сеть'!L35-L33)=0,13&lt;=КаникулыРоялти),0,('03_Сеть'!L35-L33)*IF(РоялтиПоГруппам="Да",MeanMinAge13+L10*SUMIF(ThresholdAge13,"&lt;"&amp;L10,WeightedRevAge13)-SUMIF(ThresholdAge13,"&lt;"&amp;L10,WeightedMinAge13),MAX(CapacityAge13*АбонементНовых*L10,MeanMinAge13)))</f>
        <v/>
      </c>
      <c r="M87" s="87">
        <f>IF(OR(('03_Сеть'!M35-M33)=0,13&lt;=КаникулыРоялти),0,('03_Сеть'!M35-M33)*IF(РоялтиПоГруппам="Да",MeanMinAge13+M10*SUMIF(ThresholdAge13,"&lt;"&amp;M10,WeightedRevAge13)-SUMIF(ThresholdAge13,"&lt;"&amp;M10,WeightedMinAge13),MAX(CapacityAge13*АбонементНовых*M10,MeanMinAge13)))</f>
        <v/>
      </c>
      <c r="N87" s="87">
        <f>IF(OR(('03_Сеть'!N35-N33)=0,13&lt;=КаникулыРоялти),0,('03_Сеть'!N35-N33)*IF(РоялтиПоГруппам="Да",MeanMinAge13+N10*SUMIF(ThresholdAge13,"&lt;"&amp;N10,WeightedRevAge13)-SUMIF(ThresholdAge13,"&lt;"&amp;N10,WeightedMinAge13),MAX(CapacityAge13*АбонементНовых*N10,MeanMinAge13)))</f>
        <v/>
      </c>
      <c r="O87" s="87">
        <f>IF(OR(('03_Сеть'!O35-O33)=0,13&lt;=КаникулыРоялти),0,('03_Сеть'!O35-O33)*IF(РоялтиПоГруппам="Да",MeanMinAge13+O10*SUMIF(ThresholdAge13,"&lt;"&amp;O10,WeightedRevAge13)-SUMIF(ThresholdAge13,"&lt;"&amp;O10,WeightedMinAge13),MAX(CapacityAge13*АбонементНовых*O10,MeanMinAge13)))</f>
        <v/>
      </c>
      <c r="P87" s="87">
        <f>IF(OR(('03_Сеть'!P35-P33)=0,13&lt;=КаникулыРоялти),0,('03_Сеть'!P35-P33)*IF(РоялтиПоГруппам="Да",MeanMinAge13+P10*SUMIF(ThresholdAge13,"&lt;"&amp;P10,WeightedRevAge13)-SUMIF(ThresholdAge13,"&lt;"&amp;P10,WeightedMinAge13),MAX(CapacityAge13*АбонементНовых*P10,MeanMinAge13)))</f>
        <v/>
      </c>
      <c r="Q87" s="87">
        <f>IF(OR(('03_Сеть'!Q35-Q33)=0,13&lt;=КаникулыРоялти),0,('03_Сеть'!Q35-Q33)*IF(РоялтиПоГруппам="Да",MeanMinAge13+Q10*SUMIF(ThresholdAge13,"&lt;"&amp;Q10,WeightedRevAge13)-SUMIF(ThresholdAge13,"&lt;"&amp;Q10,WeightedMinAge13),MAX(CapacityAge13*АбонементНовых*Q10,MeanMinAge13)))</f>
        <v/>
      </c>
      <c r="R87" s="87">
        <f>IF(OR(('03_Сеть'!R35-R33)=0,13&lt;=КаникулыРоялти),0,('03_Сеть'!R35-R33)*IF(РоялтиПоГруппам="Да",MeanMinAge13+R10*SUMIF(ThresholdAge13,"&lt;"&amp;R10,WeightedRevAge13)-SUMIF(ThresholdAge13,"&lt;"&amp;R10,WeightedMinAge13),MAX(CapacityAge13*АбонементНовых*R10,MeanMinAge13)))</f>
        <v/>
      </c>
      <c r="S87" s="87">
        <f>IF(OR(('03_Сеть'!S35-S33)=0,13&lt;=КаникулыРоялти),0,('03_Сеть'!S35-S33)*IF(РоялтиПоГруппам="Да",MeanMinAge13+S10*SUMIF(ThresholdAge13,"&lt;"&amp;S10,WeightedRevAge13)-SUMIF(ThresholdAge13,"&lt;"&amp;S10,WeightedMinAge13),MAX(CapacityAge13*АбонементНовых*S10,MeanMinAge13)))</f>
        <v/>
      </c>
      <c r="T87" s="87">
        <f>IF(OR(('03_Сеть'!T35-T33)=0,13&lt;=КаникулыРоялти),0,('03_Сеть'!T35-T33)*IF(РоялтиПоГруппам="Да",MeanMinAge13+T10*SUMIF(ThresholdAge13,"&lt;"&amp;T10,WeightedRevAge13)-SUMIF(ThresholdAge13,"&lt;"&amp;T10,WeightedMinAge13),MAX(CapacityAge13*АбонементНовых*T10,MeanMinAge13)))</f>
        <v/>
      </c>
      <c r="U87" s="87">
        <f>IF(OR(('03_Сеть'!U35-U33)=0,13&lt;=КаникулыРоялти),0,('03_Сеть'!U35-U33)*IF(РоялтиПоГруппам="Да",MeanMinAge13+U10*SUMIF(ThresholdAge13,"&lt;"&amp;U10,WeightedRevAge13)-SUMIF(ThresholdAge13,"&lt;"&amp;U10,WeightedMinAge13),MAX(CapacityAge13*АбонементНовых*U10,MeanMinAge13)))</f>
        <v/>
      </c>
      <c r="V87" s="87">
        <f>IF(OR(('03_Сеть'!V35-V33)=0,13&lt;=КаникулыРоялти),0,('03_Сеть'!V35-V33)*IF(РоялтиПоГруппам="Да",MeanMinAge13+V10*SUMIF(ThresholdAge13,"&lt;"&amp;V10,WeightedRevAge13)-SUMIF(ThresholdAge13,"&lt;"&amp;V10,WeightedMinAge13),MAX(CapacityAge13*АбонементНовых*V10,MeanMinAge13)))</f>
        <v/>
      </c>
      <c r="W87" s="87">
        <f>IF(OR(('03_Сеть'!W35-W33)=0,13&lt;=КаникулыРоялти),0,('03_Сеть'!W35-W33)*IF(РоялтиПоГруппам="Да",MeanMinAge13+W10*SUMIF(ThresholdAge13,"&lt;"&amp;W10,WeightedRevAge13)-SUMIF(ThresholdAge13,"&lt;"&amp;W10,WeightedMinAge13),MAX(CapacityAge13*АбонементНовых*W10,MeanMinAge13)))</f>
        <v/>
      </c>
      <c r="X87" s="87">
        <f>IF(OR(('03_Сеть'!X35-X33)=0,13&lt;=КаникулыРоялти),0,('03_Сеть'!X35-X33)*IF(РоялтиПоГруппам="Да",MeanMinAge13+X10*SUMIF(ThresholdAge13,"&lt;"&amp;X10,WeightedRevAge13)-SUMIF(ThresholdAge13,"&lt;"&amp;X10,WeightedMinAge13),MAX(CapacityAge13*АбонементНовых*X10,MeanMinAge13)))</f>
        <v/>
      </c>
      <c r="Y87" s="87">
        <f>IF(OR(('03_Сеть'!Y35-Y33)=0,13&lt;=КаникулыРоялти),0,('03_Сеть'!Y35-Y33)*IF(РоялтиПоГруппам="Да",MeanMinAge13+Y10*SUMIF(ThresholdAge13,"&lt;"&amp;Y10,WeightedRevAge13)-SUMIF(ThresholdAge13,"&lt;"&amp;Y10,WeightedMinAge13),MAX(CapacityAge13*АбонементНовых*Y10,MeanMinAge13)))</f>
        <v/>
      </c>
      <c r="Z87" s="87">
        <f>IF(OR(('03_Сеть'!Z35-Z33)=0,13&lt;=КаникулыРоялти),0,('03_Сеть'!Z35-Z33)*IF(РоялтиПоГруппам="Да",MeanMinAge13+Z10*SUMIF(ThresholdAge13,"&lt;"&amp;Z10,WeightedRevAge13)-SUMIF(ThresholdAge13,"&lt;"&amp;Z10,WeightedMinAge13),MAX(CapacityAge13*АбонементНовых*Z10,MeanMinAge13)))</f>
        <v/>
      </c>
      <c r="AA87" s="87">
        <f>IF(OR(('03_Сеть'!AA35-AA33)=0,13&lt;=КаникулыРоялти),0,('03_Сеть'!AA35-AA33)*IF(РоялтиПоГруппам="Да",MeanMinAge13+AA10*SUMIF(ThresholdAge13,"&lt;"&amp;AA10,WeightedRevAge13)-SUMIF(ThresholdAge13,"&lt;"&amp;AA10,WeightedMinAge13),MAX(CapacityAge13*АбонементНовых*AA10,MeanMinAge13)))</f>
        <v/>
      </c>
      <c r="AB87" s="87">
        <f>IF(OR(('03_Сеть'!AB35-AB33)=0,13&lt;=КаникулыРоялти),0,('03_Сеть'!AB35-AB33)*IF(РоялтиПоГруппам="Да",MeanMinAge13+AB10*SUMIF(ThresholdAge13,"&lt;"&amp;AB10,WeightedRevAge13)-SUMIF(ThresholdAge13,"&lt;"&amp;AB10,WeightedMinAge13),MAX(CapacityAge13*АбонементНовых*AB10,MeanMinAge13)))</f>
        <v/>
      </c>
      <c r="AC87" s="87">
        <f>IF(OR(('03_Сеть'!AC35-AC33)=0,13&lt;=КаникулыРоялти),0,('03_Сеть'!AC35-AC33)*IF(РоялтиПоГруппам="Да",MeanMinAge13+AC10*SUMIF(ThresholdAge13,"&lt;"&amp;AC10,WeightedRevAge13)-SUMIF(ThresholdAge13,"&lt;"&amp;AC10,WeightedMinAge13),MAX(CapacityAge13*АбонементНовых*AC10,MeanMinAge13)))</f>
        <v/>
      </c>
      <c r="AD87" s="87">
        <f>IF(OR(('03_Сеть'!AD35-AD33)=0,13&lt;=КаникулыРоялти),0,('03_Сеть'!AD35-AD33)*IF(РоялтиПоГруппам="Да",MeanMinAge13+AD10*SUMIF(ThresholdAge13,"&lt;"&amp;AD10,WeightedRevAge13)-SUMIF(ThresholdAge13,"&lt;"&amp;AD10,WeightedMinAge13),MAX(CapacityAge13*АбонементНовых*AD10,MeanMinAge13)))</f>
        <v/>
      </c>
      <c r="AE87" s="87">
        <f>IF(OR(('03_Сеть'!AE35-AE33)=0,13&lt;=КаникулыРоялти),0,('03_Сеть'!AE35-AE33)*IF(РоялтиПоГруппам="Да",MeanMinAge13+AE10*SUMIF(ThresholdAge13,"&lt;"&amp;AE10,WeightedRevAge13)-SUMIF(ThresholdAge13,"&lt;"&amp;AE10,WeightedMinAge13),MAX(CapacityAge13*АбонементНовых*AE10,MeanMinAge13)))</f>
        <v/>
      </c>
      <c r="AF87" s="87">
        <f>IF(OR(('03_Сеть'!AF35-AF33)=0,13&lt;=КаникулыРоялти),0,('03_Сеть'!AF35-AF33)*IF(РоялтиПоГруппам="Да",MeanMinAge13+AF10*SUMIF(ThresholdAge13,"&lt;"&amp;AF10,WeightedRevAge13)-SUMIF(ThresholdAge13,"&lt;"&amp;AF10,WeightedMinAge13),MAX(CapacityAge13*АбонементНовых*AF10,MeanMinAge13)))</f>
        <v/>
      </c>
      <c r="AG87" s="87">
        <f>IF(OR(('03_Сеть'!AG35-AG33)=0,13&lt;=КаникулыРоялти),0,('03_Сеть'!AG35-AG33)*IF(РоялтиПоГруппам="Да",MeanMinAge13+AG10*SUMIF(ThresholdAge13,"&lt;"&amp;AG10,WeightedRevAge13)-SUMIF(ThresholdAge13,"&lt;"&amp;AG10,WeightedMinAge13),MAX(CapacityAge13*АбонементНовых*AG10,MeanMinAge13)))</f>
        <v/>
      </c>
      <c r="AH87" s="87">
        <f>IF(OR(('03_Сеть'!AH35-AH33)=0,13&lt;=КаникулыРоялти),0,('03_Сеть'!AH35-AH33)*IF(РоялтиПоГруппам="Да",MeanMinAge13+AH10*SUMIF(ThresholdAge13,"&lt;"&amp;AH10,WeightedRevAge13)-SUMIF(ThresholdAge13,"&lt;"&amp;AH10,WeightedMinAge13),MAX(CapacityAge13*АбонементНовых*AH10,MeanMinAge13)))</f>
        <v/>
      </c>
      <c r="AI87" s="87">
        <f>IF(OR(('03_Сеть'!AI35-AI33)=0,13&lt;=КаникулыРоялти),0,('03_Сеть'!AI35-AI33)*IF(РоялтиПоГруппам="Да",MeanMinAge13+AI10*SUMIF(ThresholdAge13,"&lt;"&amp;AI10,WeightedRevAge13)-SUMIF(ThresholdAge13,"&lt;"&amp;AI10,WeightedMinAge13),MAX(CapacityAge13*АбонементНовых*AI10,MeanMinAge13)))</f>
        <v/>
      </c>
      <c r="AJ87" s="87">
        <f>IF(OR(('03_Сеть'!AJ35-AJ33)=0,13&lt;=КаникулыРоялти),0,('03_Сеть'!AJ35-AJ33)*IF(РоялтиПоГруппам="Да",MeanMinAge13+AJ10*SUMIF(ThresholdAge13,"&lt;"&amp;AJ10,WeightedRevAge13)-SUMIF(ThresholdAge13,"&lt;"&amp;AJ10,WeightedMinAge13),MAX(CapacityAge13*АбонементНовых*AJ10,MeanMinAge13)))</f>
        <v/>
      </c>
      <c r="AK87" s="87">
        <f>IF(OR(('03_Сеть'!AK35-AK33)=0,13&lt;=КаникулыРоялти),0,('03_Сеть'!AK35-AK33)*IF(РоялтиПоГруппам="Да",MeanMinAge13+AK10*SUMIF(ThresholdAge13,"&lt;"&amp;AK10,WeightedRevAge13)-SUMIF(ThresholdAge13,"&lt;"&amp;AK10,WeightedMinAge13),MAX(CapacityAge13*АбонементНовых*AK10,MeanMinAge13)))</f>
        <v/>
      </c>
      <c r="AL87" s="87">
        <f>IF(OR(('03_Сеть'!AL35-AL33)=0,13&lt;=КаникулыРоялти),0,('03_Сеть'!AL35-AL33)*IF(РоялтиПоГруппам="Да",MeanMinAge13+AL10*SUMIF(ThresholdAge13,"&lt;"&amp;AL10,WeightedRevAge13)-SUMIF(ThresholdAge13,"&lt;"&amp;AL10,WeightedMinAge13),MAX(CapacityAge13*АбонементНовых*AL10,MeanMinAge13)))</f>
        <v/>
      </c>
      <c r="AM87" s="87">
        <f>IF(OR(('03_Сеть'!AM35-AM33)=0,13&lt;=КаникулыРоялти),0,('03_Сеть'!AM35-AM33)*IF(РоялтиПоГруппам="Да",MeanMinAge13+AM10*SUMIF(ThresholdAge13,"&lt;"&amp;AM10,WeightedRevAge13)-SUMIF(ThresholdAge13,"&lt;"&amp;AM10,WeightedMinAge13),MAX(CapacityAge13*АбонементНовых*AM10,MeanMinAge13)))</f>
        <v/>
      </c>
      <c r="AN87" s="87">
        <f>IF(OR(('03_Сеть'!AN35-AN33)=0,13&lt;=КаникулыРоялти),0,('03_Сеть'!AN35-AN33)*IF(РоялтиПоГруппам="Да",MeanMinAge13+AN10*SUMIF(ThresholdAge13,"&lt;"&amp;AN10,WeightedRevAge13)-SUMIF(ThresholdAge13,"&lt;"&amp;AN10,WeightedMinAge13),MAX(CapacityAge13*АбонементНовых*AN10,MeanMinAge13)))</f>
        <v/>
      </c>
      <c r="AO87" s="87">
        <f>IF(OR(('03_Сеть'!AO35-AO33)=0,13&lt;=КаникулыРоялти),0,('03_Сеть'!AO35-AO33)*IF(РоялтиПоГруппам="Да",MeanMinAge13+AO10*SUMIF(ThresholdAge13,"&lt;"&amp;AO10,WeightedRevAge13)-SUMIF(ThresholdAge13,"&lt;"&amp;AO10,WeightedMinAge13),MAX(CapacityAge13*АбонементНовых*AO10,MeanMinAge13)))</f>
        <v/>
      </c>
      <c r="AP87" s="87">
        <f>IF(OR(('03_Сеть'!AP35-AP33)=0,13&lt;=КаникулыРоялти),0,('03_Сеть'!AP35-AP33)*IF(РоялтиПоГруппам="Да",MeanMinAge13+AP10*SUMIF(ThresholdAge13,"&lt;"&amp;AP10,WeightedRevAge13)-SUMIF(ThresholdAge13,"&lt;"&amp;AP10,WeightedMinAge13),MAX(CapacityAge13*АбонементНовых*AP10,MeanMinAge13)))</f>
        <v/>
      </c>
      <c r="AQ87" s="87">
        <f>IF(OR(('03_Сеть'!AQ35-AQ33)=0,13&lt;=КаникулыРоялти),0,('03_Сеть'!AQ35-AQ33)*IF(РоялтиПоГруппам="Да",MeanMinAge13+AQ10*SUMIF(ThresholdAge13,"&lt;"&amp;AQ10,WeightedRevAge13)-SUMIF(ThresholdAge13,"&lt;"&amp;AQ10,WeightedMinAge13),MAX(CapacityAge13*АбонементНовых*AQ10,MeanMinAge13)))</f>
        <v/>
      </c>
      <c r="AR87" s="87">
        <f>IF(OR(('03_Сеть'!AR35-AR33)=0,13&lt;=КаникулыРоялти),0,('03_Сеть'!AR35-AR33)*IF(РоялтиПоГруппам="Да",MeanMinAge13+AR10*SUMIF(ThresholdAge13,"&lt;"&amp;AR10,WeightedRevAge13)-SUMIF(ThresholdAge13,"&lt;"&amp;AR10,WeightedMinAge13),MAX(CapacityAge13*АбонементНовых*AR10,MeanMinAge13)))</f>
        <v/>
      </c>
      <c r="AS87" s="87">
        <f>IF(OR(('03_Сеть'!AS35-AS33)=0,13&lt;=КаникулыРоялти),0,('03_Сеть'!AS35-AS33)*IF(РоялтиПоГруппам="Да",MeanMinAge13+AS10*SUMIF(ThresholdAge13,"&lt;"&amp;AS10,WeightedRevAge13)-SUMIF(ThresholdAge13,"&lt;"&amp;AS10,WeightedMinAge13),MAX(CapacityAge13*АбонементНовых*AS10,MeanMinAge13)))</f>
        <v/>
      </c>
      <c r="AT87" s="87">
        <f>IF(OR(('03_Сеть'!AT35-AT33)=0,13&lt;=КаникулыРоялти),0,('03_Сеть'!AT35-AT33)*IF(РоялтиПоГруппам="Да",MeanMinAge13+AT10*SUMIF(ThresholdAge13,"&lt;"&amp;AT10,WeightedRevAge13)-SUMIF(ThresholdAge13,"&lt;"&amp;AT10,WeightedMinAge13),MAX(CapacityAge13*АбонементНовых*AT10,MeanMinAge13)))</f>
        <v/>
      </c>
      <c r="AU87" s="87">
        <f>IF(OR(('03_Сеть'!AU35-AU33)=0,13&lt;=КаникулыРоялти),0,('03_Сеть'!AU35-AU33)*IF(РоялтиПоГруппам="Да",MeanMinAge13+AU10*SUMIF(ThresholdAge13,"&lt;"&amp;AU10,WeightedRevAge13)-SUMIF(ThresholdAge13,"&lt;"&amp;AU10,WeightedMinAge13),MAX(CapacityAge13*АбонементНовых*AU10,MeanMinAge13)))</f>
        <v/>
      </c>
      <c r="AV87" s="87">
        <f>IF(OR(('03_Сеть'!AV35-AV33)=0,13&lt;=КаникулыРоялти),0,('03_Сеть'!AV35-AV33)*IF(РоялтиПоГруппам="Да",MeanMinAge13+AV10*SUMIF(ThresholdAge13,"&lt;"&amp;AV10,WeightedRevAge13)-SUMIF(ThresholdAge13,"&lt;"&amp;AV10,WeightedMinAge13),MAX(CapacityAge13*АбонементНовых*AV10,MeanMinAge13)))</f>
        <v/>
      </c>
      <c r="AW87" s="87">
        <f>IF(OR(('03_Сеть'!AW35-AW33)=0,13&lt;=КаникулыРоялти),0,('03_Сеть'!AW35-AW33)*IF(РоялтиПоГруппам="Да",MeanMinAge13+AW10*SUMIF(ThresholdAge13,"&lt;"&amp;AW10,WeightedRevAge13)-SUMIF(ThresholdAge13,"&lt;"&amp;AW10,WeightedMinAge13),MAX(CapacityAge13*АбонементНовых*AW10,MeanMinAge13)))</f>
        <v/>
      </c>
      <c r="AX87" s="87">
        <f>IF(OR(('03_Сеть'!AX35-AX33)=0,13&lt;=КаникулыРоялти),0,('03_Сеть'!AX35-AX33)*IF(РоялтиПоГруппам="Да",MeanMinAge13+AX10*SUMIF(ThresholdAge13,"&lt;"&amp;AX10,WeightedRevAge13)-SUMIF(ThresholdAge13,"&lt;"&amp;AX10,WeightedMinAge13),MAX(CapacityAge13*АбонементНовых*AX10,MeanMinAge13)))</f>
        <v/>
      </c>
      <c r="AY87" s="87">
        <f>IF(OR(('03_Сеть'!AY35-AY33)=0,13&lt;=КаникулыРоялти),0,('03_Сеть'!AY35-AY33)*IF(РоялтиПоГруппам="Да",MeanMinAge13+AY10*SUMIF(ThresholdAge13,"&lt;"&amp;AY10,WeightedRevAge13)-SUMIF(ThresholdAge13,"&lt;"&amp;AY10,WeightedMinAge13),MAX(CapacityAge13*АбонементНовых*AY10,MeanMinAge13)))</f>
        <v/>
      </c>
      <c r="AZ87" s="87">
        <f>IF(OR(('03_Сеть'!AZ35-AZ33)=0,13&lt;=КаникулыРоялти),0,('03_Сеть'!AZ35-AZ33)*IF(РоялтиПоГруппам="Да",MeanMinAge13+AZ10*SUMIF(ThresholdAge13,"&lt;"&amp;AZ10,WeightedRevAge13)-SUMIF(ThresholdAge13,"&lt;"&amp;AZ10,WeightedMinAge13),MAX(CapacityAge13*АбонементНовых*AZ10,MeanMinAge13)))</f>
        <v/>
      </c>
      <c r="BA87" s="87">
        <f>IF(OR(('03_Сеть'!BA35-BA33)=0,13&lt;=КаникулыРоялти),0,('03_Сеть'!BA35-BA33)*IF(РоялтиПоГруппам="Да",MeanMinAge13+BA10*SUMIF(ThresholdAge13,"&lt;"&amp;BA10,WeightedRevAge13)-SUMIF(ThresholdAge13,"&lt;"&amp;BA10,WeightedMinAge13),MAX(CapacityAge13*АбонементНовых*BA10,MeanMinAge13)))</f>
        <v/>
      </c>
      <c r="BB87" s="87">
        <f>IF(OR(('03_Сеть'!BB35-BB33)=0,13&lt;=КаникулыРоялти),0,('03_Сеть'!BB35-BB33)*IF(РоялтиПоГруппам="Да",MeanMinAge13+BB10*SUMIF(ThresholdAge13,"&lt;"&amp;BB10,WeightedRevAge13)-SUMIF(ThresholdAge13,"&lt;"&amp;BB10,WeightedMinAge13),MAX(CapacityAge13*АбонементНовых*BB10,MeanMinAge13)))</f>
        <v/>
      </c>
      <c r="BC87" s="87">
        <f>IF(OR(('03_Сеть'!BC35-BC33)=0,13&lt;=КаникулыРоялти),0,('03_Сеть'!BC35-BC33)*IF(РоялтиПоГруппам="Да",MeanMinAge13+BC10*SUMIF(ThresholdAge13,"&lt;"&amp;BC10,WeightedRevAge13)-SUMIF(ThresholdAge13,"&lt;"&amp;BC10,WeightedMinAge13),MAX(CapacityAge13*АбонементНовых*BC10,MeanMinAge13)))</f>
        <v/>
      </c>
      <c r="BD87" s="87">
        <f>IF(OR(('03_Сеть'!BD35-BD33)=0,13&lt;=КаникулыРоялти),0,('03_Сеть'!BD35-BD33)*IF(РоялтиПоГруппам="Да",MeanMinAge13+BD10*SUMIF(ThresholdAge13,"&lt;"&amp;BD10,WeightedRevAge13)-SUMIF(ThresholdAge13,"&lt;"&amp;BD10,WeightedMinAge13),MAX(CapacityAge13*АбонементНовых*BD10,MeanMinAge13)))</f>
        <v/>
      </c>
      <c r="BE87" s="87">
        <f>IF(OR(('03_Сеть'!BE35-BE33)=0,13&lt;=КаникулыРоялти),0,('03_Сеть'!BE35-BE33)*IF(РоялтиПоГруппам="Да",MeanMinAge13+BE10*SUMIF(ThresholdAge13,"&lt;"&amp;BE10,WeightedRevAge13)-SUMIF(ThresholdAge13,"&lt;"&amp;BE10,WeightedMinAge13),MAX(CapacityAge13*АбонементНовых*BE10,MeanMinAge13)))</f>
        <v/>
      </c>
      <c r="BF87" s="87">
        <f>IF(OR(('03_Сеть'!BF35-BF33)=0,13&lt;=КаникулыРоялти),0,('03_Сеть'!BF35-BF33)*IF(РоялтиПоГруппам="Да",MeanMinAge13+BF10*SUMIF(ThresholdAge13,"&lt;"&amp;BF10,WeightedRevAge13)-SUMIF(ThresholdAge13,"&lt;"&amp;BF10,WeightedMinAge13),MAX(CapacityAge13*АбонементНовых*BF10,MeanMinAge13)))</f>
        <v/>
      </c>
      <c r="BG87" s="87">
        <f>IF(OR(('03_Сеть'!BG35-BG33)=0,13&lt;=КаникулыРоялти),0,('03_Сеть'!BG35-BG33)*IF(РоялтиПоГруппам="Да",MeanMinAge13+BG10*SUMIF(ThresholdAge13,"&lt;"&amp;BG10,WeightedRevAge13)-SUMIF(ThresholdAge13,"&lt;"&amp;BG10,WeightedMinAge13),MAX(CapacityAge13*АбонементНовых*BG10,MeanMinAge13)))</f>
        <v/>
      </c>
      <c r="BH87" s="87">
        <f>IF(OR(('03_Сеть'!BH35-BH33)=0,13&lt;=КаникулыРоялти),0,('03_Сеть'!BH35-BH33)*IF(РоялтиПоГруппам="Да",MeanMinAge13+BH10*SUMIF(ThresholdAge13,"&lt;"&amp;BH10,WeightedRevAge13)-SUMIF(ThresholdAge13,"&lt;"&amp;BH10,WeightedMinAge13),MAX(CapacityAge13*АбонементНовых*BH10,MeanMinAge13)))</f>
        <v/>
      </c>
      <c r="BI87" s="87">
        <f>IF(OR(('03_Сеть'!BI35-BI33)=0,13&lt;=КаникулыРоялти),0,('03_Сеть'!BI35-BI33)*IF(РоялтиПоГруппам="Да",MeanMinAge13+BI10*SUMIF(ThresholdAge13,"&lt;"&amp;BI10,WeightedRevAge13)-SUMIF(ThresholdAge13,"&lt;"&amp;BI10,WeightedMinAge13),MAX(CapacityAge13*АбонементНовых*BI10,MeanMinAge13)))</f>
        <v/>
      </c>
      <c r="BJ87" s="87">
        <f>IF(OR(('03_Сеть'!BJ35-BJ33)=0,13&lt;=КаникулыРоялти),0,('03_Сеть'!BJ35-BJ33)*IF(РоялтиПоГруппам="Да",MeanMinAge13+BJ10*SUMIF(ThresholdAge13,"&lt;"&amp;BJ10,WeightedRevAge13)-SUMIF(ThresholdAge13,"&lt;"&amp;BJ10,WeightedMinAge13),MAX(CapacityAge13*АбонементНовых*BJ10,MeanMinAge13)))</f>
        <v/>
      </c>
      <c r="BK87" s="87">
        <f>IF(OR(('03_Сеть'!BK35-BK33)=0,13&lt;=КаникулыРоялти),0,('03_Сеть'!BK35-BK33)*IF(РоялтиПоГруппам="Да",MeanMinAge13+BK10*SUMIF(ThresholdAge13,"&lt;"&amp;BK10,WeightedRevAge13)-SUMIF(ThresholdAge13,"&lt;"&amp;BK10,WeightedMinAge13),MAX(CapacityAge13*АбонементНовых*BK10,MeanMinAge13)))</f>
        <v/>
      </c>
      <c r="BL87" s="87">
        <f>IF(OR(('03_Сеть'!BL35-BL33)=0,13&lt;=КаникулыРоялти),0,('03_Сеть'!BL35-BL33)*IF(РоялтиПоГруппам="Да",MeanMinAge13+BL10*SUMIF(ThresholdAge13,"&lt;"&amp;BL10,WeightedRevAge13)-SUMIF(ThresholdAge13,"&lt;"&amp;BL10,WeightedMinAge13),MAX(CapacityAge13*АбонементНовых*BL10,MeanMinAge13)))</f>
        <v/>
      </c>
      <c r="BM87" s="87">
        <f>IF(OR(('03_Сеть'!BM35-BM33)=0,13&lt;=КаникулыРоялти),0,('03_Сеть'!BM35-BM33)*IF(РоялтиПоГруппам="Да",MeanMinAge13+BM10*SUMIF(ThresholdAge13,"&lt;"&amp;BM10,WeightedRevAge13)-SUMIF(ThresholdAge13,"&lt;"&amp;BM10,WeightedMinAge13),MAX(CapacityAge13*АбонементНовых*BM10,MeanMinAge13)))</f>
        <v/>
      </c>
      <c r="BN87" s="87">
        <f>IF(OR(('03_Сеть'!BN35-BN33)=0,13&lt;=КаникулыРоялти),0,('03_Сеть'!BN35-BN33)*IF(РоялтиПоГруппам="Да",MeanMinAge13+BN10*SUMIF(ThresholdAge13,"&lt;"&amp;BN10,WeightedRevAge13)-SUMIF(ThresholdAge13,"&lt;"&amp;BN10,WeightedMinAge13),MAX(CapacityAge13*АбонементНовых*BN10,MeanMinAge13)))</f>
        <v/>
      </c>
      <c r="BO87" s="87">
        <f>IF(OR(('03_Сеть'!BO35-BO33)=0,13&lt;=КаникулыРоялти),0,('03_Сеть'!BO35-BO33)*IF(РоялтиПоГруппам="Да",MeanMinAge13+BO10*SUMIF(ThresholdAge13,"&lt;"&amp;BO10,WeightedRevAge13)-SUMIF(ThresholdAge13,"&lt;"&amp;BO10,WeightedMinAge13),MAX(CapacityAge13*АбонементНовых*BO10,MeanMinAge13)))</f>
        <v/>
      </c>
      <c r="BP87" s="87">
        <f>IF(OR(('03_Сеть'!BP35-BP33)=0,13&lt;=КаникулыРоялти),0,('03_Сеть'!BP35-BP33)*IF(РоялтиПоГруппам="Да",MeanMinAge13+BP10*SUMIF(ThresholdAge13,"&lt;"&amp;BP10,WeightedRevAge13)-SUMIF(ThresholdAge13,"&lt;"&amp;BP10,WeightedMinAge13),MAX(CapacityAge13*АбонементНовых*BP10,MeanMinAge13)))</f>
        <v/>
      </c>
      <c r="BQ87" s="87">
        <f>IF(OR(('03_Сеть'!BQ35-BQ33)=0,13&lt;=КаникулыРоялти),0,('03_Сеть'!BQ35-BQ33)*IF(РоялтиПоГруппам="Да",MeanMinAge13+BQ10*SUMIF(ThresholdAge13,"&lt;"&amp;BQ10,WeightedRevAge13)-SUMIF(ThresholdAge13,"&lt;"&amp;BQ10,WeightedMinAge13),MAX(CapacityAge13*АбонементНовых*BQ10,MeanMinAge13)))</f>
        <v/>
      </c>
      <c r="BR87" s="87">
        <f>IF(OR(('03_Сеть'!BR35-BR33)=0,13&lt;=КаникулыРоялти),0,('03_Сеть'!BR35-BR33)*IF(РоялтиПоГруппам="Да",MeanMinAge13+BR10*SUMIF(ThresholdAge13,"&lt;"&amp;BR10,WeightedRevAge13)-SUMIF(ThresholdAge13,"&lt;"&amp;BR10,WeightedMinAge13),MAX(CapacityAge13*АбонементНовых*BR10,MeanMinAge13)))</f>
        <v/>
      </c>
      <c r="BS87" s="87">
        <f>IF(OR(('03_Сеть'!BS35-BS33)=0,13&lt;=КаникулыРоялти),0,('03_Сеть'!BS35-BS33)*IF(РоялтиПоГруппам="Да",MeanMinAge13+BS10*SUMIF(ThresholdAge13,"&lt;"&amp;BS10,WeightedRevAge13)-SUMIF(ThresholdAge13,"&lt;"&amp;BS10,WeightedMinAge13),MAX(CapacityAge13*АбонементНовых*BS10,MeanMinAge13)))</f>
        <v/>
      </c>
      <c r="BT87" s="87">
        <f>IF(OR(('03_Сеть'!BT35-BT33)=0,13&lt;=КаникулыРоялти),0,('03_Сеть'!BT35-BT33)*IF(РоялтиПоГруппам="Да",MeanMinAge13+BT10*SUMIF(ThresholdAge13,"&lt;"&amp;BT10,WeightedRevAge13)-SUMIF(ThresholdAge13,"&lt;"&amp;BT10,WeightedMinAge13),MAX(CapacityAge13*АбонементНовых*BT10,MeanMinAge13)))</f>
        <v/>
      </c>
      <c r="BU87" s="87">
        <f>IF(OR(('03_Сеть'!BU35-BU33)=0,13&lt;=КаникулыРоялти),0,('03_Сеть'!BU35-BU33)*IF(РоялтиПоГруппам="Да",MeanMinAge13+BU10*SUMIF(ThresholdAge13,"&lt;"&amp;BU10,WeightedRevAge13)-SUMIF(ThresholdAge13,"&lt;"&amp;BU10,WeightedMinAge13),MAX(CapacityAge13*АбонементНовых*BU10,MeanMinAge13)))</f>
        <v/>
      </c>
      <c r="BV87" s="87">
        <f>IF(OR(('03_Сеть'!BV35-BV33)=0,13&lt;=КаникулыРоялти),0,('03_Сеть'!BV35-BV33)*IF(РоялтиПоГруппам="Да",MeanMinAge13+BV10*SUMIF(ThresholdAge13,"&lt;"&amp;BV10,WeightedRevAge13)-SUMIF(ThresholdAge13,"&lt;"&amp;BV10,WeightedMinAge13),MAX(CapacityAge13*АбонементНовых*BV10,MeanMinAge13)))</f>
        <v/>
      </c>
      <c r="BW87" s="87">
        <f>IF(OR(('03_Сеть'!BW35-BW33)=0,13&lt;=КаникулыРоялти),0,('03_Сеть'!BW35-BW33)*IF(РоялтиПоГруппам="Да",MeanMinAge13+BW10*SUMIF(ThresholdAge13,"&lt;"&amp;BW10,WeightedRevAge13)-SUMIF(ThresholdAge13,"&lt;"&amp;BW10,WeightedMinAge13),MAX(CapacityAge13*АбонементНовых*BW10,MeanMinAge13)))</f>
        <v/>
      </c>
      <c r="BX87" s="87">
        <f>IF(OR(('03_Сеть'!BX35-BX33)=0,13&lt;=КаникулыРоялти),0,('03_Сеть'!BX35-BX33)*IF(РоялтиПоГруппам="Да",MeanMinAge13+BX10*SUMIF(ThresholdAge13,"&lt;"&amp;BX10,WeightedRevAge13)-SUMIF(ThresholdAge13,"&lt;"&amp;BX10,WeightedMinAge13),MAX(CapacityAge13*АбонементНовых*BX10,MeanMinAge13)))</f>
        <v/>
      </c>
      <c r="BY87" s="87">
        <f>IF(OR(('03_Сеть'!BY35-BY33)=0,13&lt;=КаникулыРоялти),0,('03_Сеть'!BY35-BY33)*IF(РоялтиПоГруппам="Да",MeanMinAge13+BY10*SUMIF(ThresholdAge13,"&lt;"&amp;BY10,WeightedRevAge13)-SUMIF(ThresholdAge13,"&lt;"&amp;BY10,WeightedMinAge13),MAX(CapacityAge13*АбонементНовых*BY10,MeanMinAge13)))</f>
        <v/>
      </c>
    </row>
    <row r="88" ht="15.75" customHeight="1" s="194">
      <c r="B88" s="56" t="inlineStr">
        <is>
          <t>14 мес.</t>
        </is>
      </c>
      <c r="C88" s="56" t="inlineStr">
        <is>
          <t>₽</t>
        </is>
      </c>
      <c r="D88" s="57" t="n"/>
      <c r="E88" s="85">
        <f>SUM(L88:W88)</f>
        <v/>
      </c>
      <c r="F88" s="85">
        <f>SUM(X88:AI88)</f>
        <v/>
      </c>
      <c r="G88" s="85">
        <f>SUM(AJ88:AU88)</f>
        <v/>
      </c>
      <c r="H88" s="85">
        <f>SUM(AV88:BG88)</f>
        <v/>
      </c>
      <c r="I88" s="85">
        <f>SUM(BH88:BS88)</f>
        <v/>
      </c>
      <c r="J88" s="86">
        <f>SUM(L88:BS88)</f>
        <v/>
      </c>
      <c r="L88" s="87">
        <f>IF(OR(('03_Сеть'!L36-L34)=0,14&lt;=КаникулыРоялти),0,('03_Сеть'!L36-L34)*IF(РоялтиПоГруппам="Да",MeanMinAge14+L10*SUMIF(ThresholdAge14,"&lt;"&amp;L10,WeightedRevAge14)-SUMIF(ThresholdAge14,"&lt;"&amp;L10,WeightedMinAge14),MAX(CapacityAge14*АбонементНовых*L10,MeanMinAge14)))</f>
        <v/>
      </c>
      <c r="M88" s="87">
        <f>IF(OR(('03_Сеть'!M36-M34)=0,14&lt;=КаникулыРоялти),0,('03_Сеть'!M36-M34)*IF(РоялтиПоГруппам="Да",MeanMinAge14+M10*SUMIF(ThresholdAge14,"&lt;"&amp;M10,WeightedRevAge14)-SUMIF(ThresholdAge14,"&lt;"&amp;M10,WeightedMinAge14),MAX(CapacityAge14*АбонементНовых*M10,MeanMinAge14)))</f>
        <v/>
      </c>
      <c r="N88" s="87">
        <f>IF(OR(('03_Сеть'!N36-N34)=0,14&lt;=КаникулыРоялти),0,('03_Сеть'!N36-N34)*IF(РоялтиПоГруппам="Да",MeanMinAge14+N10*SUMIF(ThresholdAge14,"&lt;"&amp;N10,WeightedRevAge14)-SUMIF(ThresholdAge14,"&lt;"&amp;N10,WeightedMinAge14),MAX(CapacityAge14*АбонементНовых*N10,MeanMinAge14)))</f>
        <v/>
      </c>
      <c r="O88" s="87">
        <f>IF(OR(('03_Сеть'!O36-O34)=0,14&lt;=КаникулыРоялти),0,('03_Сеть'!O36-O34)*IF(РоялтиПоГруппам="Да",MeanMinAge14+O10*SUMIF(ThresholdAge14,"&lt;"&amp;O10,WeightedRevAge14)-SUMIF(ThresholdAge14,"&lt;"&amp;O10,WeightedMinAge14),MAX(CapacityAge14*АбонементНовых*O10,MeanMinAge14)))</f>
        <v/>
      </c>
      <c r="P88" s="87">
        <f>IF(OR(('03_Сеть'!P36-P34)=0,14&lt;=КаникулыРоялти),0,('03_Сеть'!P36-P34)*IF(РоялтиПоГруппам="Да",MeanMinAge14+P10*SUMIF(ThresholdAge14,"&lt;"&amp;P10,WeightedRevAge14)-SUMIF(ThresholdAge14,"&lt;"&amp;P10,WeightedMinAge14),MAX(CapacityAge14*АбонементНовых*P10,MeanMinAge14)))</f>
        <v/>
      </c>
      <c r="Q88" s="87">
        <f>IF(OR(('03_Сеть'!Q36-Q34)=0,14&lt;=КаникулыРоялти),0,('03_Сеть'!Q36-Q34)*IF(РоялтиПоГруппам="Да",MeanMinAge14+Q10*SUMIF(ThresholdAge14,"&lt;"&amp;Q10,WeightedRevAge14)-SUMIF(ThresholdAge14,"&lt;"&amp;Q10,WeightedMinAge14),MAX(CapacityAge14*АбонементНовых*Q10,MeanMinAge14)))</f>
        <v/>
      </c>
      <c r="R88" s="87">
        <f>IF(OR(('03_Сеть'!R36-R34)=0,14&lt;=КаникулыРоялти),0,('03_Сеть'!R36-R34)*IF(РоялтиПоГруппам="Да",MeanMinAge14+R10*SUMIF(ThresholdAge14,"&lt;"&amp;R10,WeightedRevAge14)-SUMIF(ThresholdAge14,"&lt;"&amp;R10,WeightedMinAge14),MAX(CapacityAge14*АбонементНовых*R10,MeanMinAge14)))</f>
        <v/>
      </c>
      <c r="S88" s="87">
        <f>IF(OR(('03_Сеть'!S36-S34)=0,14&lt;=КаникулыРоялти),0,('03_Сеть'!S36-S34)*IF(РоялтиПоГруппам="Да",MeanMinAge14+S10*SUMIF(ThresholdAge14,"&lt;"&amp;S10,WeightedRevAge14)-SUMIF(ThresholdAge14,"&lt;"&amp;S10,WeightedMinAge14),MAX(CapacityAge14*АбонементНовых*S10,MeanMinAge14)))</f>
        <v/>
      </c>
      <c r="T88" s="87">
        <f>IF(OR(('03_Сеть'!T36-T34)=0,14&lt;=КаникулыРоялти),0,('03_Сеть'!T36-T34)*IF(РоялтиПоГруппам="Да",MeanMinAge14+T10*SUMIF(ThresholdAge14,"&lt;"&amp;T10,WeightedRevAge14)-SUMIF(ThresholdAge14,"&lt;"&amp;T10,WeightedMinAge14),MAX(CapacityAge14*АбонементНовых*T10,MeanMinAge14)))</f>
        <v/>
      </c>
      <c r="U88" s="87">
        <f>IF(OR(('03_Сеть'!U36-U34)=0,14&lt;=КаникулыРоялти),0,('03_Сеть'!U36-U34)*IF(РоялтиПоГруппам="Да",MeanMinAge14+U10*SUMIF(ThresholdAge14,"&lt;"&amp;U10,WeightedRevAge14)-SUMIF(ThresholdAge14,"&lt;"&amp;U10,WeightedMinAge14),MAX(CapacityAge14*АбонементНовых*U10,MeanMinAge14)))</f>
        <v/>
      </c>
      <c r="V88" s="87">
        <f>IF(OR(('03_Сеть'!V36-V34)=0,14&lt;=КаникулыРоялти),0,('03_Сеть'!V36-V34)*IF(РоялтиПоГруппам="Да",MeanMinAge14+V10*SUMIF(ThresholdAge14,"&lt;"&amp;V10,WeightedRevAge14)-SUMIF(ThresholdAge14,"&lt;"&amp;V10,WeightedMinAge14),MAX(CapacityAge14*АбонементНовых*V10,MeanMinAge14)))</f>
        <v/>
      </c>
      <c r="W88" s="87">
        <f>IF(OR(('03_Сеть'!W36-W34)=0,14&lt;=КаникулыРоялти),0,('03_Сеть'!W36-W34)*IF(РоялтиПоГруппам="Да",MeanMinAge14+W10*SUMIF(ThresholdAge14,"&lt;"&amp;W10,WeightedRevAge14)-SUMIF(ThresholdAge14,"&lt;"&amp;W10,WeightedMinAge14),MAX(CapacityAge14*АбонементНовых*W10,MeanMinAge14)))</f>
        <v/>
      </c>
      <c r="X88" s="87">
        <f>IF(OR(('03_Сеть'!X36-X34)=0,14&lt;=КаникулыРоялти),0,('03_Сеть'!X36-X34)*IF(РоялтиПоГруппам="Да",MeanMinAge14+X10*SUMIF(ThresholdAge14,"&lt;"&amp;X10,WeightedRevAge14)-SUMIF(ThresholdAge14,"&lt;"&amp;X10,WeightedMinAge14),MAX(CapacityAge14*АбонементНовых*X10,MeanMinAge14)))</f>
        <v/>
      </c>
      <c r="Y88" s="87">
        <f>IF(OR(('03_Сеть'!Y36-Y34)=0,14&lt;=КаникулыРоялти),0,('03_Сеть'!Y36-Y34)*IF(РоялтиПоГруппам="Да",MeanMinAge14+Y10*SUMIF(ThresholdAge14,"&lt;"&amp;Y10,WeightedRevAge14)-SUMIF(ThresholdAge14,"&lt;"&amp;Y10,WeightedMinAge14),MAX(CapacityAge14*АбонементНовых*Y10,MeanMinAge14)))</f>
        <v/>
      </c>
      <c r="Z88" s="87">
        <f>IF(OR(('03_Сеть'!Z36-Z34)=0,14&lt;=КаникулыРоялти),0,('03_Сеть'!Z36-Z34)*IF(РоялтиПоГруппам="Да",MeanMinAge14+Z10*SUMIF(ThresholdAge14,"&lt;"&amp;Z10,WeightedRevAge14)-SUMIF(ThresholdAge14,"&lt;"&amp;Z10,WeightedMinAge14),MAX(CapacityAge14*АбонементНовых*Z10,MeanMinAge14)))</f>
        <v/>
      </c>
      <c r="AA88" s="87">
        <f>IF(OR(('03_Сеть'!AA36-AA34)=0,14&lt;=КаникулыРоялти),0,('03_Сеть'!AA36-AA34)*IF(РоялтиПоГруппам="Да",MeanMinAge14+AA10*SUMIF(ThresholdAge14,"&lt;"&amp;AA10,WeightedRevAge14)-SUMIF(ThresholdAge14,"&lt;"&amp;AA10,WeightedMinAge14),MAX(CapacityAge14*АбонементНовых*AA10,MeanMinAge14)))</f>
        <v/>
      </c>
      <c r="AB88" s="87">
        <f>IF(OR(('03_Сеть'!AB36-AB34)=0,14&lt;=КаникулыРоялти),0,('03_Сеть'!AB36-AB34)*IF(РоялтиПоГруппам="Да",MeanMinAge14+AB10*SUMIF(ThresholdAge14,"&lt;"&amp;AB10,WeightedRevAge14)-SUMIF(ThresholdAge14,"&lt;"&amp;AB10,WeightedMinAge14),MAX(CapacityAge14*АбонементНовых*AB10,MeanMinAge14)))</f>
        <v/>
      </c>
      <c r="AC88" s="87">
        <f>IF(OR(('03_Сеть'!AC36-AC34)=0,14&lt;=КаникулыРоялти),0,('03_Сеть'!AC36-AC34)*IF(РоялтиПоГруппам="Да",MeanMinAge14+AC10*SUMIF(ThresholdAge14,"&lt;"&amp;AC10,WeightedRevAge14)-SUMIF(ThresholdAge14,"&lt;"&amp;AC10,WeightedMinAge14),MAX(CapacityAge14*АбонементНовых*AC10,MeanMinAge14)))</f>
        <v/>
      </c>
      <c r="AD88" s="87">
        <f>IF(OR(('03_Сеть'!AD36-AD34)=0,14&lt;=КаникулыРоялти),0,('03_Сеть'!AD36-AD34)*IF(РоялтиПоГруппам="Да",MeanMinAge14+AD10*SUMIF(ThresholdAge14,"&lt;"&amp;AD10,WeightedRevAge14)-SUMIF(ThresholdAge14,"&lt;"&amp;AD10,WeightedMinAge14),MAX(CapacityAge14*АбонементНовых*AD10,MeanMinAge14)))</f>
        <v/>
      </c>
      <c r="AE88" s="87">
        <f>IF(OR(('03_Сеть'!AE36-AE34)=0,14&lt;=КаникулыРоялти),0,('03_Сеть'!AE36-AE34)*IF(РоялтиПоГруппам="Да",MeanMinAge14+AE10*SUMIF(ThresholdAge14,"&lt;"&amp;AE10,WeightedRevAge14)-SUMIF(ThresholdAge14,"&lt;"&amp;AE10,WeightedMinAge14),MAX(CapacityAge14*АбонементНовых*AE10,MeanMinAge14)))</f>
        <v/>
      </c>
      <c r="AF88" s="87">
        <f>IF(OR(('03_Сеть'!AF36-AF34)=0,14&lt;=КаникулыРоялти),0,('03_Сеть'!AF36-AF34)*IF(РоялтиПоГруппам="Да",MeanMinAge14+AF10*SUMIF(ThresholdAge14,"&lt;"&amp;AF10,WeightedRevAge14)-SUMIF(ThresholdAge14,"&lt;"&amp;AF10,WeightedMinAge14),MAX(CapacityAge14*АбонементНовых*AF10,MeanMinAge14)))</f>
        <v/>
      </c>
      <c r="AG88" s="87">
        <f>IF(OR(('03_Сеть'!AG36-AG34)=0,14&lt;=КаникулыРоялти),0,('03_Сеть'!AG36-AG34)*IF(РоялтиПоГруппам="Да",MeanMinAge14+AG10*SUMIF(ThresholdAge14,"&lt;"&amp;AG10,WeightedRevAge14)-SUMIF(ThresholdAge14,"&lt;"&amp;AG10,WeightedMinAge14),MAX(CapacityAge14*АбонементНовых*AG10,MeanMinAge14)))</f>
        <v/>
      </c>
      <c r="AH88" s="87">
        <f>IF(OR(('03_Сеть'!AH36-AH34)=0,14&lt;=КаникулыРоялти),0,('03_Сеть'!AH36-AH34)*IF(РоялтиПоГруппам="Да",MeanMinAge14+AH10*SUMIF(ThresholdAge14,"&lt;"&amp;AH10,WeightedRevAge14)-SUMIF(ThresholdAge14,"&lt;"&amp;AH10,WeightedMinAge14),MAX(CapacityAge14*АбонементНовых*AH10,MeanMinAge14)))</f>
        <v/>
      </c>
      <c r="AI88" s="87">
        <f>IF(OR(('03_Сеть'!AI36-AI34)=0,14&lt;=КаникулыРоялти),0,('03_Сеть'!AI36-AI34)*IF(РоялтиПоГруппам="Да",MeanMinAge14+AI10*SUMIF(ThresholdAge14,"&lt;"&amp;AI10,WeightedRevAge14)-SUMIF(ThresholdAge14,"&lt;"&amp;AI10,WeightedMinAge14),MAX(CapacityAge14*АбонементНовых*AI10,MeanMinAge14)))</f>
        <v/>
      </c>
      <c r="AJ88" s="87">
        <f>IF(OR(('03_Сеть'!AJ36-AJ34)=0,14&lt;=КаникулыРоялти),0,('03_Сеть'!AJ36-AJ34)*IF(РоялтиПоГруппам="Да",MeanMinAge14+AJ10*SUMIF(ThresholdAge14,"&lt;"&amp;AJ10,WeightedRevAge14)-SUMIF(ThresholdAge14,"&lt;"&amp;AJ10,WeightedMinAge14),MAX(CapacityAge14*АбонементНовых*AJ10,MeanMinAge14)))</f>
        <v/>
      </c>
      <c r="AK88" s="87">
        <f>IF(OR(('03_Сеть'!AK36-AK34)=0,14&lt;=КаникулыРоялти),0,('03_Сеть'!AK36-AK34)*IF(РоялтиПоГруппам="Да",MeanMinAge14+AK10*SUMIF(ThresholdAge14,"&lt;"&amp;AK10,WeightedRevAge14)-SUMIF(ThresholdAge14,"&lt;"&amp;AK10,WeightedMinAge14),MAX(CapacityAge14*АбонементНовых*AK10,MeanMinAge14)))</f>
        <v/>
      </c>
      <c r="AL88" s="87">
        <f>IF(OR(('03_Сеть'!AL36-AL34)=0,14&lt;=КаникулыРоялти),0,('03_Сеть'!AL36-AL34)*IF(РоялтиПоГруппам="Да",MeanMinAge14+AL10*SUMIF(ThresholdAge14,"&lt;"&amp;AL10,WeightedRevAge14)-SUMIF(ThresholdAge14,"&lt;"&amp;AL10,WeightedMinAge14),MAX(CapacityAge14*АбонементНовых*AL10,MeanMinAge14)))</f>
        <v/>
      </c>
      <c r="AM88" s="87">
        <f>IF(OR(('03_Сеть'!AM36-AM34)=0,14&lt;=КаникулыРоялти),0,('03_Сеть'!AM36-AM34)*IF(РоялтиПоГруппам="Да",MeanMinAge14+AM10*SUMIF(ThresholdAge14,"&lt;"&amp;AM10,WeightedRevAge14)-SUMIF(ThresholdAge14,"&lt;"&amp;AM10,WeightedMinAge14),MAX(CapacityAge14*АбонементНовых*AM10,MeanMinAge14)))</f>
        <v/>
      </c>
      <c r="AN88" s="87">
        <f>IF(OR(('03_Сеть'!AN36-AN34)=0,14&lt;=КаникулыРоялти),0,('03_Сеть'!AN36-AN34)*IF(РоялтиПоГруппам="Да",MeanMinAge14+AN10*SUMIF(ThresholdAge14,"&lt;"&amp;AN10,WeightedRevAge14)-SUMIF(ThresholdAge14,"&lt;"&amp;AN10,WeightedMinAge14),MAX(CapacityAge14*АбонементНовых*AN10,MeanMinAge14)))</f>
        <v/>
      </c>
      <c r="AO88" s="87">
        <f>IF(OR(('03_Сеть'!AO36-AO34)=0,14&lt;=КаникулыРоялти),0,('03_Сеть'!AO36-AO34)*IF(РоялтиПоГруппам="Да",MeanMinAge14+AO10*SUMIF(ThresholdAge14,"&lt;"&amp;AO10,WeightedRevAge14)-SUMIF(ThresholdAge14,"&lt;"&amp;AO10,WeightedMinAge14),MAX(CapacityAge14*АбонементНовых*AO10,MeanMinAge14)))</f>
        <v/>
      </c>
      <c r="AP88" s="87">
        <f>IF(OR(('03_Сеть'!AP36-AP34)=0,14&lt;=КаникулыРоялти),0,('03_Сеть'!AP36-AP34)*IF(РоялтиПоГруппам="Да",MeanMinAge14+AP10*SUMIF(ThresholdAge14,"&lt;"&amp;AP10,WeightedRevAge14)-SUMIF(ThresholdAge14,"&lt;"&amp;AP10,WeightedMinAge14),MAX(CapacityAge14*АбонементНовых*AP10,MeanMinAge14)))</f>
        <v/>
      </c>
      <c r="AQ88" s="87">
        <f>IF(OR(('03_Сеть'!AQ36-AQ34)=0,14&lt;=КаникулыРоялти),0,('03_Сеть'!AQ36-AQ34)*IF(РоялтиПоГруппам="Да",MeanMinAge14+AQ10*SUMIF(ThresholdAge14,"&lt;"&amp;AQ10,WeightedRevAge14)-SUMIF(ThresholdAge14,"&lt;"&amp;AQ10,WeightedMinAge14),MAX(CapacityAge14*АбонементНовых*AQ10,MeanMinAge14)))</f>
        <v/>
      </c>
      <c r="AR88" s="87">
        <f>IF(OR(('03_Сеть'!AR36-AR34)=0,14&lt;=КаникулыРоялти),0,('03_Сеть'!AR36-AR34)*IF(РоялтиПоГруппам="Да",MeanMinAge14+AR10*SUMIF(ThresholdAge14,"&lt;"&amp;AR10,WeightedRevAge14)-SUMIF(ThresholdAge14,"&lt;"&amp;AR10,WeightedMinAge14),MAX(CapacityAge14*АбонементНовых*AR10,MeanMinAge14)))</f>
        <v/>
      </c>
      <c r="AS88" s="87">
        <f>IF(OR(('03_Сеть'!AS36-AS34)=0,14&lt;=КаникулыРоялти),0,('03_Сеть'!AS36-AS34)*IF(РоялтиПоГруппам="Да",MeanMinAge14+AS10*SUMIF(ThresholdAge14,"&lt;"&amp;AS10,WeightedRevAge14)-SUMIF(ThresholdAge14,"&lt;"&amp;AS10,WeightedMinAge14),MAX(CapacityAge14*АбонементНовых*AS10,MeanMinAge14)))</f>
        <v/>
      </c>
      <c r="AT88" s="87">
        <f>IF(OR(('03_Сеть'!AT36-AT34)=0,14&lt;=КаникулыРоялти),0,('03_Сеть'!AT36-AT34)*IF(РоялтиПоГруппам="Да",MeanMinAge14+AT10*SUMIF(ThresholdAge14,"&lt;"&amp;AT10,WeightedRevAge14)-SUMIF(ThresholdAge14,"&lt;"&amp;AT10,WeightedMinAge14),MAX(CapacityAge14*АбонементНовых*AT10,MeanMinAge14)))</f>
        <v/>
      </c>
      <c r="AU88" s="87">
        <f>IF(OR(('03_Сеть'!AU36-AU34)=0,14&lt;=КаникулыРоялти),0,('03_Сеть'!AU36-AU34)*IF(РоялтиПоГруппам="Да",MeanMinAge14+AU10*SUMIF(ThresholdAge14,"&lt;"&amp;AU10,WeightedRevAge14)-SUMIF(ThresholdAge14,"&lt;"&amp;AU10,WeightedMinAge14),MAX(CapacityAge14*АбонементНовых*AU10,MeanMinAge14)))</f>
        <v/>
      </c>
      <c r="AV88" s="87">
        <f>IF(OR(('03_Сеть'!AV36-AV34)=0,14&lt;=КаникулыРоялти),0,('03_Сеть'!AV36-AV34)*IF(РоялтиПоГруппам="Да",MeanMinAge14+AV10*SUMIF(ThresholdAge14,"&lt;"&amp;AV10,WeightedRevAge14)-SUMIF(ThresholdAge14,"&lt;"&amp;AV10,WeightedMinAge14),MAX(CapacityAge14*АбонементНовых*AV10,MeanMinAge14)))</f>
        <v/>
      </c>
      <c r="AW88" s="87">
        <f>IF(OR(('03_Сеть'!AW36-AW34)=0,14&lt;=КаникулыРоялти),0,('03_Сеть'!AW36-AW34)*IF(РоялтиПоГруппам="Да",MeanMinAge14+AW10*SUMIF(ThresholdAge14,"&lt;"&amp;AW10,WeightedRevAge14)-SUMIF(ThresholdAge14,"&lt;"&amp;AW10,WeightedMinAge14),MAX(CapacityAge14*АбонементНовых*AW10,MeanMinAge14)))</f>
        <v/>
      </c>
      <c r="AX88" s="87">
        <f>IF(OR(('03_Сеть'!AX36-AX34)=0,14&lt;=КаникулыРоялти),0,('03_Сеть'!AX36-AX34)*IF(РоялтиПоГруппам="Да",MeanMinAge14+AX10*SUMIF(ThresholdAge14,"&lt;"&amp;AX10,WeightedRevAge14)-SUMIF(ThresholdAge14,"&lt;"&amp;AX10,WeightedMinAge14),MAX(CapacityAge14*АбонементНовых*AX10,MeanMinAge14)))</f>
        <v/>
      </c>
      <c r="AY88" s="87">
        <f>IF(OR(('03_Сеть'!AY36-AY34)=0,14&lt;=КаникулыРоялти),0,('03_Сеть'!AY36-AY34)*IF(РоялтиПоГруппам="Да",MeanMinAge14+AY10*SUMIF(ThresholdAge14,"&lt;"&amp;AY10,WeightedRevAge14)-SUMIF(ThresholdAge14,"&lt;"&amp;AY10,WeightedMinAge14),MAX(CapacityAge14*АбонементНовых*AY10,MeanMinAge14)))</f>
        <v/>
      </c>
      <c r="AZ88" s="87">
        <f>IF(OR(('03_Сеть'!AZ36-AZ34)=0,14&lt;=КаникулыРоялти),0,('03_Сеть'!AZ36-AZ34)*IF(РоялтиПоГруппам="Да",MeanMinAge14+AZ10*SUMIF(ThresholdAge14,"&lt;"&amp;AZ10,WeightedRevAge14)-SUMIF(ThresholdAge14,"&lt;"&amp;AZ10,WeightedMinAge14),MAX(CapacityAge14*АбонементНовых*AZ10,MeanMinAge14)))</f>
        <v/>
      </c>
      <c r="BA88" s="87">
        <f>IF(OR(('03_Сеть'!BA36-BA34)=0,14&lt;=КаникулыРоялти),0,('03_Сеть'!BA36-BA34)*IF(РоялтиПоГруппам="Да",MeanMinAge14+BA10*SUMIF(ThresholdAge14,"&lt;"&amp;BA10,WeightedRevAge14)-SUMIF(ThresholdAge14,"&lt;"&amp;BA10,WeightedMinAge14),MAX(CapacityAge14*АбонементНовых*BA10,MeanMinAge14)))</f>
        <v/>
      </c>
      <c r="BB88" s="87">
        <f>IF(OR(('03_Сеть'!BB36-BB34)=0,14&lt;=КаникулыРоялти),0,('03_Сеть'!BB36-BB34)*IF(РоялтиПоГруппам="Да",MeanMinAge14+BB10*SUMIF(ThresholdAge14,"&lt;"&amp;BB10,WeightedRevAge14)-SUMIF(ThresholdAge14,"&lt;"&amp;BB10,WeightedMinAge14),MAX(CapacityAge14*АбонементНовых*BB10,MeanMinAge14)))</f>
        <v/>
      </c>
      <c r="BC88" s="87">
        <f>IF(OR(('03_Сеть'!BC36-BC34)=0,14&lt;=КаникулыРоялти),0,('03_Сеть'!BC36-BC34)*IF(РоялтиПоГруппам="Да",MeanMinAge14+BC10*SUMIF(ThresholdAge14,"&lt;"&amp;BC10,WeightedRevAge14)-SUMIF(ThresholdAge14,"&lt;"&amp;BC10,WeightedMinAge14),MAX(CapacityAge14*АбонементНовых*BC10,MeanMinAge14)))</f>
        <v/>
      </c>
      <c r="BD88" s="87">
        <f>IF(OR(('03_Сеть'!BD36-BD34)=0,14&lt;=КаникулыРоялти),0,('03_Сеть'!BD36-BD34)*IF(РоялтиПоГруппам="Да",MeanMinAge14+BD10*SUMIF(ThresholdAge14,"&lt;"&amp;BD10,WeightedRevAge14)-SUMIF(ThresholdAge14,"&lt;"&amp;BD10,WeightedMinAge14),MAX(CapacityAge14*АбонементНовых*BD10,MeanMinAge14)))</f>
        <v/>
      </c>
      <c r="BE88" s="87">
        <f>IF(OR(('03_Сеть'!BE36-BE34)=0,14&lt;=КаникулыРоялти),0,('03_Сеть'!BE36-BE34)*IF(РоялтиПоГруппам="Да",MeanMinAge14+BE10*SUMIF(ThresholdAge14,"&lt;"&amp;BE10,WeightedRevAge14)-SUMIF(ThresholdAge14,"&lt;"&amp;BE10,WeightedMinAge14),MAX(CapacityAge14*АбонементНовых*BE10,MeanMinAge14)))</f>
        <v/>
      </c>
      <c r="BF88" s="87">
        <f>IF(OR(('03_Сеть'!BF36-BF34)=0,14&lt;=КаникулыРоялти),0,('03_Сеть'!BF36-BF34)*IF(РоялтиПоГруппам="Да",MeanMinAge14+BF10*SUMIF(ThresholdAge14,"&lt;"&amp;BF10,WeightedRevAge14)-SUMIF(ThresholdAge14,"&lt;"&amp;BF10,WeightedMinAge14),MAX(CapacityAge14*АбонементНовых*BF10,MeanMinAge14)))</f>
        <v/>
      </c>
      <c r="BG88" s="87">
        <f>IF(OR(('03_Сеть'!BG36-BG34)=0,14&lt;=КаникулыРоялти),0,('03_Сеть'!BG36-BG34)*IF(РоялтиПоГруппам="Да",MeanMinAge14+BG10*SUMIF(ThresholdAge14,"&lt;"&amp;BG10,WeightedRevAge14)-SUMIF(ThresholdAge14,"&lt;"&amp;BG10,WeightedMinAge14),MAX(CapacityAge14*АбонементНовых*BG10,MeanMinAge14)))</f>
        <v/>
      </c>
      <c r="BH88" s="87">
        <f>IF(OR(('03_Сеть'!BH36-BH34)=0,14&lt;=КаникулыРоялти),0,('03_Сеть'!BH36-BH34)*IF(РоялтиПоГруппам="Да",MeanMinAge14+BH10*SUMIF(ThresholdAge14,"&lt;"&amp;BH10,WeightedRevAge14)-SUMIF(ThresholdAge14,"&lt;"&amp;BH10,WeightedMinAge14),MAX(CapacityAge14*АбонементНовых*BH10,MeanMinAge14)))</f>
        <v/>
      </c>
      <c r="BI88" s="87">
        <f>IF(OR(('03_Сеть'!BI36-BI34)=0,14&lt;=КаникулыРоялти),0,('03_Сеть'!BI36-BI34)*IF(РоялтиПоГруппам="Да",MeanMinAge14+BI10*SUMIF(ThresholdAge14,"&lt;"&amp;BI10,WeightedRevAge14)-SUMIF(ThresholdAge14,"&lt;"&amp;BI10,WeightedMinAge14),MAX(CapacityAge14*АбонементНовых*BI10,MeanMinAge14)))</f>
        <v/>
      </c>
      <c r="BJ88" s="87">
        <f>IF(OR(('03_Сеть'!BJ36-BJ34)=0,14&lt;=КаникулыРоялти),0,('03_Сеть'!BJ36-BJ34)*IF(РоялтиПоГруппам="Да",MeanMinAge14+BJ10*SUMIF(ThresholdAge14,"&lt;"&amp;BJ10,WeightedRevAge14)-SUMIF(ThresholdAge14,"&lt;"&amp;BJ10,WeightedMinAge14),MAX(CapacityAge14*АбонементНовых*BJ10,MeanMinAge14)))</f>
        <v/>
      </c>
      <c r="BK88" s="87">
        <f>IF(OR(('03_Сеть'!BK36-BK34)=0,14&lt;=КаникулыРоялти),0,('03_Сеть'!BK36-BK34)*IF(РоялтиПоГруппам="Да",MeanMinAge14+BK10*SUMIF(ThresholdAge14,"&lt;"&amp;BK10,WeightedRevAge14)-SUMIF(ThresholdAge14,"&lt;"&amp;BK10,WeightedMinAge14),MAX(CapacityAge14*АбонементНовых*BK10,MeanMinAge14)))</f>
        <v/>
      </c>
      <c r="BL88" s="87">
        <f>IF(OR(('03_Сеть'!BL36-BL34)=0,14&lt;=КаникулыРоялти),0,('03_Сеть'!BL36-BL34)*IF(РоялтиПоГруппам="Да",MeanMinAge14+BL10*SUMIF(ThresholdAge14,"&lt;"&amp;BL10,WeightedRevAge14)-SUMIF(ThresholdAge14,"&lt;"&amp;BL10,WeightedMinAge14),MAX(CapacityAge14*АбонементНовых*BL10,MeanMinAge14)))</f>
        <v/>
      </c>
      <c r="BM88" s="87">
        <f>IF(OR(('03_Сеть'!BM36-BM34)=0,14&lt;=КаникулыРоялти),0,('03_Сеть'!BM36-BM34)*IF(РоялтиПоГруппам="Да",MeanMinAge14+BM10*SUMIF(ThresholdAge14,"&lt;"&amp;BM10,WeightedRevAge14)-SUMIF(ThresholdAge14,"&lt;"&amp;BM10,WeightedMinAge14),MAX(CapacityAge14*АбонементНовых*BM10,MeanMinAge14)))</f>
        <v/>
      </c>
      <c r="BN88" s="87">
        <f>IF(OR(('03_Сеть'!BN36-BN34)=0,14&lt;=КаникулыРоялти),0,('03_Сеть'!BN36-BN34)*IF(РоялтиПоГруппам="Да",MeanMinAge14+BN10*SUMIF(ThresholdAge14,"&lt;"&amp;BN10,WeightedRevAge14)-SUMIF(ThresholdAge14,"&lt;"&amp;BN10,WeightedMinAge14),MAX(CapacityAge14*АбонементНовых*BN10,MeanMinAge14)))</f>
        <v/>
      </c>
      <c r="BO88" s="87">
        <f>IF(OR(('03_Сеть'!BO36-BO34)=0,14&lt;=КаникулыРоялти),0,('03_Сеть'!BO36-BO34)*IF(РоялтиПоГруппам="Да",MeanMinAge14+BO10*SUMIF(ThresholdAge14,"&lt;"&amp;BO10,WeightedRevAge14)-SUMIF(ThresholdAge14,"&lt;"&amp;BO10,WeightedMinAge14),MAX(CapacityAge14*АбонементНовых*BO10,MeanMinAge14)))</f>
        <v/>
      </c>
      <c r="BP88" s="87">
        <f>IF(OR(('03_Сеть'!BP36-BP34)=0,14&lt;=КаникулыРоялти),0,('03_Сеть'!BP36-BP34)*IF(РоялтиПоГруппам="Да",MeanMinAge14+BP10*SUMIF(ThresholdAge14,"&lt;"&amp;BP10,WeightedRevAge14)-SUMIF(ThresholdAge14,"&lt;"&amp;BP10,WeightedMinAge14),MAX(CapacityAge14*АбонементНовых*BP10,MeanMinAge14)))</f>
        <v/>
      </c>
      <c r="BQ88" s="87">
        <f>IF(OR(('03_Сеть'!BQ36-BQ34)=0,14&lt;=КаникулыРоялти),0,('03_Сеть'!BQ36-BQ34)*IF(РоялтиПоГруппам="Да",MeanMinAge14+BQ10*SUMIF(ThresholdAge14,"&lt;"&amp;BQ10,WeightedRevAge14)-SUMIF(ThresholdAge14,"&lt;"&amp;BQ10,WeightedMinAge14),MAX(CapacityAge14*АбонементНовых*BQ10,MeanMinAge14)))</f>
        <v/>
      </c>
      <c r="BR88" s="87">
        <f>IF(OR(('03_Сеть'!BR36-BR34)=0,14&lt;=КаникулыРоялти),0,('03_Сеть'!BR36-BR34)*IF(РоялтиПоГруппам="Да",MeanMinAge14+BR10*SUMIF(ThresholdAge14,"&lt;"&amp;BR10,WeightedRevAge14)-SUMIF(ThresholdAge14,"&lt;"&amp;BR10,WeightedMinAge14),MAX(CapacityAge14*АбонементНовых*BR10,MeanMinAge14)))</f>
        <v/>
      </c>
      <c r="BS88" s="87">
        <f>IF(OR(('03_Сеть'!BS36-BS34)=0,14&lt;=КаникулыРоялти),0,('03_Сеть'!BS36-BS34)*IF(РоялтиПоГруппам="Да",MeanMinAge14+BS10*SUMIF(ThresholdAge14,"&lt;"&amp;BS10,WeightedRevAge14)-SUMIF(ThresholdAge14,"&lt;"&amp;BS10,WeightedMinAge14),MAX(CapacityAge14*АбонементНовых*BS10,MeanMinAge14)))</f>
        <v/>
      </c>
      <c r="BT88" s="87">
        <f>IF(OR(('03_Сеть'!BT36-BT34)=0,14&lt;=КаникулыРоялти),0,('03_Сеть'!BT36-BT34)*IF(РоялтиПоГруппам="Да",MeanMinAge14+BT10*SUMIF(ThresholdAge14,"&lt;"&amp;BT10,WeightedRevAge14)-SUMIF(ThresholdAge14,"&lt;"&amp;BT10,WeightedMinAge14),MAX(CapacityAge14*АбонементНовых*BT10,MeanMinAge14)))</f>
        <v/>
      </c>
      <c r="BU88" s="87">
        <f>IF(OR(('03_Сеть'!BU36-BU34)=0,14&lt;=КаникулыРоялти),0,('03_Сеть'!BU36-BU34)*IF(РоялтиПоГруппам="Да",MeanMinAge14+BU10*SUMIF(ThresholdAge14,"&lt;"&amp;BU10,WeightedRevAge14)-SUMIF(ThresholdAge14,"&lt;"&amp;BU10,WeightedMinAge14),MAX(CapacityAge14*АбонементНовых*BU10,MeanMinAge14)))</f>
        <v/>
      </c>
      <c r="BV88" s="87">
        <f>IF(OR(('03_Сеть'!BV36-BV34)=0,14&lt;=КаникулыРоялти),0,('03_Сеть'!BV36-BV34)*IF(РоялтиПоГруппам="Да",MeanMinAge14+BV10*SUMIF(ThresholdAge14,"&lt;"&amp;BV10,WeightedRevAge14)-SUMIF(ThresholdAge14,"&lt;"&amp;BV10,WeightedMinAge14),MAX(CapacityAge14*АбонементНовых*BV10,MeanMinAge14)))</f>
        <v/>
      </c>
      <c r="BW88" s="87">
        <f>IF(OR(('03_Сеть'!BW36-BW34)=0,14&lt;=КаникулыРоялти),0,('03_Сеть'!BW36-BW34)*IF(РоялтиПоГруппам="Да",MeanMinAge14+BW10*SUMIF(ThresholdAge14,"&lt;"&amp;BW10,WeightedRevAge14)-SUMIF(ThresholdAge14,"&lt;"&amp;BW10,WeightedMinAge14),MAX(CapacityAge14*АбонементНовых*BW10,MeanMinAge14)))</f>
        <v/>
      </c>
      <c r="BX88" s="87">
        <f>IF(OR(('03_Сеть'!BX36-BX34)=0,14&lt;=КаникулыРоялти),0,('03_Сеть'!BX36-BX34)*IF(РоялтиПоГруппам="Да",MeanMinAge14+BX10*SUMIF(ThresholdAge14,"&lt;"&amp;BX10,WeightedRevAge14)-SUMIF(ThresholdAge14,"&lt;"&amp;BX10,WeightedMinAge14),MAX(CapacityAge14*АбонементНовых*BX10,MeanMinAge14)))</f>
        <v/>
      </c>
      <c r="BY88" s="87">
        <f>IF(OR(('03_Сеть'!BY36-BY34)=0,14&lt;=КаникулыРоялти),0,('03_Сеть'!BY36-BY34)*IF(РоялтиПоГруппам="Да",MeanMinAge14+BY10*SUMIF(ThresholdAge14,"&lt;"&amp;BY10,WeightedRevAge14)-SUMIF(ThresholdAge14,"&lt;"&amp;BY10,WeightedMinAge14),MAX(CapacityAge14*АбонементНовых*BY10,MeanMinAge14)))</f>
        <v/>
      </c>
    </row>
    <row r="89" ht="15.75" customHeight="1" s="194">
      <c r="B89" s="56" t="inlineStr">
        <is>
          <t>15 мес.</t>
        </is>
      </c>
      <c r="C89" s="56" t="inlineStr">
        <is>
          <t>₽</t>
        </is>
      </c>
      <c r="D89" s="57" t="n"/>
      <c r="E89" s="85">
        <f>SUM(L89:W89)</f>
        <v/>
      </c>
      <c r="F89" s="85">
        <f>SUM(X89:AI89)</f>
        <v/>
      </c>
      <c r="G89" s="85">
        <f>SUM(AJ89:AU89)</f>
        <v/>
      </c>
      <c r="H89" s="85">
        <f>SUM(AV89:BG89)</f>
        <v/>
      </c>
      <c r="I89" s="85">
        <f>SUM(BH89:BS89)</f>
        <v/>
      </c>
      <c r="J89" s="86">
        <f>SUM(L89:BS89)</f>
        <v/>
      </c>
      <c r="L89" s="87">
        <f>IF(OR(('03_Сеть'!L37-L35)=0,15&lt;=КаникулыРоялти),0,('03_Сеть'!L37-L35)*IF(РоялтиПоГруппам="Да",MeanMinAge15+L10*SUMIF(ThresholdAge15,"&lt;"&amp;L10,WeightedRevAge15)-SUMIF(ThresholdAge15,"&lt;"&amp;L10,WeightedMinAge15),MAX(CapacityAge15*АбонементНовых*L10,MeanMinAge15)))</f>
        <v/>
      </c>
      <c r="M89" s="87">
        <f>IF(OR(('03_Сеть'!M37-M35)=0,15&lt;=КаникулыРоялти),0,('03_Сеть'!M37-M35)*IF(РоялтиПоГруппам="Да",MeanMinAge15+M10*SUMIF(ThresholdAge15,"&lt;"&amp;M10,WeightedRevAge15)-SUMIF(ThresholdAge15,"&lt;"&amp;M10,WeightedMinAge15),MAX(CapacityAge15*АбонементНовых*M10,MeanMinAge15)))</f>
        <v/>
      </c>
      <c r="N89" s="87">
        <f>IF(OR(('03_Сеть'!N37-N35)=0,15&lt;=КаникулыРоялти),0,('03_Сеть'!N37-N35)*IF(РоялтиПоГруппам="Да",MeanMinAge15+N10*SUMIF(ThresholdAge15,"&lt;"&amp;N10,WeightedRevAge15)-SUMIF(ThresholdAge15,"&lt;"&amp;N10,WeightedMinAge15),MAX(CapacityAge15*АбонементНовых*N10,MeanMinAge15)))</f>
        <v/>
      </c>
      <c r="O89" s="87">
        <f>IF(OR(('03_Сеть'!O37-O35)=0,15&lt;=КаникулыРоялти),0,('03_Сеть'!O37-O35)*IF(РоялтиПоГруппам="Да",MeanMinAge15+O10*SUMIF(ThresholdAge15,"&lt;"&amp;O10,WeightedRevAge15)-SUMIF(ThresholdAge15,"&lt;"&amp;O10,WeightedMinAge15),MAX(CapacityAge15*АбонементНовых*O10,MeanMinAge15)))</f>
        <v/>
      </c>
      <c r="P89" s="87">
        <f>IF(OR(('03_Сеть'!P37-P35)=0,15&lt;=КаникулыРоялти),0,('03_Сеть'!P37-P35)*IF(РоялтиПоГруппам="Да",MeanMinAge15+P10*SUMIF(ThresholdAge15,"&lt;"&amp;P10,WeightedRevAge15)-SUMIF(ThresholdAge15,"&lt;"&amp;P10,WeightedMinAge15),MAX(CapacityAge15*АбонементНовых*P10,MeanMinAge15)))</f>
        <v/>
      </c>
      <c r="Q89" s="87">
        <f>IF(OR(('03_Сеть'!Q37-Q35)=0,15&lt;=КаникулыРоялти),0,('03_Сеть'!Q37-Q35)*IF(РоялтиПоГруппам="Да",MeanMinAge15+Q10*SUMIF(ThresholdAge15,"&lt;"&amp;Q10,WeightedRevAge15)-SUMIF(ThresholdAge15,"&lt;"&amp;Q10,WeightedMinAge15),MAX(CapacityAge15*АбонементНовых*Q10,MeanMinAge15)))</f>
        <v/>
      </c>
      <c r="R89" s="87">
        <f>IF(OR(('03_Сеть'!R37-R35)=0,15&lt;=КаникулыРоялти),0,('03_Сеть'!R37-R35)*IF(РоялтиПоГруппам="Да",MeanMinAge15+R10*SUMIF(ThresholdAge15,"&lt;"&amp;R10,WeightedRevAge15)-SUMIF(ThresholdAge15,"&lt;"&amp;R10,WeightedMinAge15),MAX(CapacityAge15*АбонементНовых*R10,MeanMinAge15)))</f>
        <v/>
      </c>
      <c r="S89" s="87">
        <f>IF(OR(('03_Сеть'!S37-S35)=0,15&lt;=КаникулыРоялти),0,('03_Сеть'!S37-S35)*IF(РоялтиПоГруппам="Да",MeanMinAge15+S10*SUMIF(ThresholdAge15,"&lt;"&amp;S10,WeightedRevAge15)-SUMIF(ThresholdAge15,"&lt;"&amp;S10,WeightedMinAge15),MAX(CapacityAge15*АбонементНовых*S10,MeanMinAge15)))</f>
        <v/>
      </c>
      <c r="T89" s="87">
        <f>IF(OR(('03_Сеть'!T37-T35)=0,15&lt;=КаникулыРоялти),0,('03_Сеть'!T37-T35)*IF(РоялтиПоГруппам="Да",MeanMinAge15+T10*SUMIF(ThresholdAge15,"&lt;"&amp;T10,WeightedRevAge15)-SUMIF(ThresholdAge15,"&lt;"&amp;T10,WeightedMinAge15),MAX(CapacityAge15*АбонементНовых*T10,MeanMinAge15)))</f>
        <v/>
      </c>
      <c r="U89" s="87">
        <f>IF(OR(('03_Сеть'!U37-U35)=0,15&lt;=КаникулыРоялти),0,('03_Сеть'!U37-U35)*IF(РоялтиПоГруппам="Да",MeanMinAge15+U10*SUMIF(ThresholdAge15,"&lt;"&amp;U10,WeightedRevAge15)-SUMIF(ThresholdAge15,"&lt;"&amp;U10,WeightedMinAge15),MAX(CapacityAge15*АбонементНовых*U10,MeanMinAge15)))</f>
        <v/>
      </c>
      <c r="V89" s="87">
        <f>IF(OR(('03_Сеть'!V37-V35)=0,15&lt;=КаникулыРоялти),0,('03_Сеть'!V37-V35)*IF(РоялтиПоГруппам="Да",MeanMinAge15+V10*SUMIF(ThresholdAge15,"&lt;"&amp;V10,WeightedRevAge15)-SUMIF(ThresholdAge15,"&lt;"&amp;V10,WeightedMinAge15),MAX(CapacityAge15*АбонементНовых*V10,MeanMinAge15)))</f>
        <v/>
      </c>
      <c r="W89" s="87">
        <f>IF(OR(('03_Сеть'!W37-W35)=0,15&lt;=КаникулыРоялти),0,('03_Сеть'!W37-W35)*IF(РоялтиПоГруппам="Да",MeanMinAge15+W10*SUMIF(ThresholdAge15,"&lt;"&amp;W10,WeightedRevAge15)-SUMIF(ThresholdAge15,"&lt;"&amp;W10,WeightedMinAge15),MAX(CapacityAge15*АбонементНовых*W10,MeanMinAge15)))</f>
        <v/>
      </c>
      <c r="X89" s="87">
        <f>IF(OR(('03_Сеть'!X37-X35)=0,15&lt;=КаникулыРоялти),0,('03_Сеть'!X37-X35)*IF(РоялтиПоГруппам="Да",MeanMinAge15+X10*SUMIF(ThresholdAge15,"&lt;"&amp;X10,WeightedRevAge15)-SUMIF(ThresholdAge15,"&lt;"&amp;X10,WeightedMinAge15),MAX(CapacityAge15*АбонементНовых*X10,MeanMinAge15)))</f>
        <v/>
      </c>
      <c r="Y89" s="87">
        <f>IF(OR(('03_Сеть'!Y37-Y35)=0,15&lt;=КаникулыРоялти),0,('03_Сеть'!Y37-Y35)*IF(РоялтиПоГруппам="Да",MeanMinAge15+Y10*SUMIF(ThresholdAge15,"&lt;"&amp;Y10,WeightedRevAge15)-SUMIF(ThresholdAge15,"&lt;"&amp;Y10,WeightedMinAge15),MAX(CapacityAge15*АбонементНовых*Y10,MeanMinAge15)))</f>
        <v/>
      </c>
      <c r="Z89" s="87">
        <f>IF(OR(('03_Сеть'!Z37-Z35)=0,15&lt;=КаникулыРоялти),0,('03_Сеть'!Z37-Z35)*IF(РоялтиПоГруппам="Да",MeanMinAge15+Z10*SUMIF(ThresholdAge15,"&lt;"&amp;Z10,WeightedRevAge15)-SUMIF(ThresholdAge15,"&lt;"&amp;Z10,WeightedMinAge15),MAX(CapacityAge15*АбонементНовых*Z10,MeanMinAge15)))</f>
        <v/>
      </c>
      <c r="AA89" s="87">
        <f>IF(OR(('03_Сеть'!AA37-AA35)=0,15&lt;=КаникулыРоялти),0,('03_Сеть'!AA37-AA35)*IF(РоялтиПоГруппам="Да",MeanMinAge15+AA10*SUMIF(ThresholdAge15,"&lt;"&amp;AA10,WeightedRevAge15)-SUMIF(ThresholdAge15,"&lt;"&amp;AA10,WeightedMinAge15),MAX(CapacityAge15*АбонементНовых*AA10,MeanMinAge15)))</f>
        <v/>
      </c>
      <c r="AB89" s="87">
        <f>IF(OR(('03_Сеть'!AB37-AB35)=0,15&lt;=КаникулыРоялти),0,('03_Сеть'!AB37-AB35)*IF(РоялтиПоГруппам="Да",MeanMinAge15+AB10*SUMIF(ThresholdAge15,"&lt;"&amp;AB10,WeightedRevAge15)-SUMIF(ThresholdAge15,"&lt;"&amp;AB10,WeightedMinAge15),MAX(CapacityAge15*АбонементНовых*AB10,MeanMinAge15)))</f>
        <v/>
      </c>
      <c r="AC89" s="87">
        <f>IF(OR(('03_Сеть'!AC37-AC35)=0,15&lt;=КаникулыРоялти),0,('03_Сеть'!AC37-AC35)*IF(РоялтиПоГруппам="Да",MeanMinAge15+AC10*SUMIF(ThresholdAge15,"&lt;"&amp;AC10,WeightedRevAge15)-SUMIF(ThresholdAge15,"&lt;"&amp;AC10,WeightedMinAge15),MAX(CapacityAge15*АбонементНовых*AC10,MeanMinAge15)))</f>
        <v/>
      </c>
      <c r="AD89" s="87">
        <f>IF(OR(('03_Сеть'!AD37-AD35)=0,15&lt;=КаникулыРоялти),0,('03_Сеть'!AD37-AD35)*IF(РоялтиПоГруппам="Да",MeanMinAge15+AD10*SUMIF(ThresholdAge15,"&lt;"&amp;AD10,WeightedRevAge15)-SUMIF(ThresholdAge15,"&lt;"&amp;AD10,WeightedMinAge15),MAX(CapacityAge15*АбонементНовых*AD10,MeanMinAge15)))</f>
        <v/>
      </c>
      <c r="AE89" s="87">
        <f>IF(OR(('03_Сеть'!AE37-AE35)=0,15&lt;=КаникулыРоялти),0,('03_Сеть'!AE37-AE35)*IF(РоялтиПоГруппам="Да",MeanMinAge15+AE10*SUMIF(ThresholdAge15,"&lt;"&amp;AE10,WeightedRevAge15)-SUMIF(ThresholdAge15,"&lt;"&amp;AE10,WeightedMinAge15),MAX(CapacityAge15*АбонементНовых*AE10,MeanMinAge15)))</f>
        <v/>
      </c>
      <c r="AF89" s="87">
        <f>IF(OR(('03_Сеть'!AF37-AF35)=0,15&lt;=КаникулыРоялти),0,('03_Сеть'!AF37-AF35)*IF(РоялтиПоГруппам="Да",MeanMinAge15+AF10*SUMIF(ThresholdAge15,"&lt;"&amp;AF10,WeightedRevAge15)-SUMIF(ThresholdAge15,"&lt;"&amp;AF10,WeightedMinAge15),MAX(CapacityAge15*АбонементНовых*AF10,MeanMinAge15)))</f>
        <v/>
      </c>
      <c r="AG89" s="87">
        <f>IF(OR(('03_Сеть'!AG37-AG35)=0,15&lt;=КаникулыРоялти),0,('03_Сеть'!AG37-AG35)*IF(РоялтиПоГруппам="Да",MeanMinAge15+AG10*SUMIF(ThresholdAge15,"&lt;"&amp;AG10,WeightedRevAge15)-SUMIF(ThresholdAge15,"&lt;"&amp;AG10,WeightedMinAge15),MAX(CapacityAge15*АбонементНовых*AG10,MeanMinAge15)))</f>
        <v/>
      </c>
      <c r="AH89" s="87">
        <f>IF(OR(('03_Сеть'!AH37-AH35)=0,15&lt;=КаникулыРоялти),0,('03_Сеть'!AH37-AH35)*IF(РоялтиПоГруппам="Да",MeanMinAge15+AH10*SUMIF(ThresholdAge15,"&lt;"&amp;AH10,WeightedRevAge15)-SUMIF(ThresholdAge15,"&lt;"&amp;AH10,WeightedMinAge15),MAX(CapacityAge15*АбонементНовых*AH10,MeanMinAge15)))</f>
        <v/>
      </c>
      <c r="AI89" s="87">
        <f>IF(OR(('03_Сеть'!AI37-AI35)=0,15&lt;=КаникулыРоялти),0,('03_Сеть'!AI37-AI35)*IF(РоялтиПоГруппам="Да",MeanMinAge15+AI10*SUMIF(ThresholdAge15,"&lt;"&amp;AI10,WeightedRevAge15)-SUMIF(ThresholdAge15,"&lt;"&amp;AI10,WeightedMinAge15),MAX(CapacityAge15*АбонементНовых*AI10,MeanMinAge15)))</f>
        <v/>
      </c>
      <c r="AJ89" s="87">
        <f>IF(OR(('03_Сеть'!AJ37-AJ35)=0,15&lt;=КаникулыРоялти),0,('03_Сеть'!AJ37-AJ35)*IF(РоялтиПоГруппам="Да",MeanMinAge15+AJ10*SUMIF(ThresholdAge15,"&lt;"&amp;AJ10,WeightedRevAge15)-SUMIF(ThresholdAge15,"&lt;"&amp;AJ10,WeightedMinAge15),MAX(CapacityAge15*АбонементНовых*AJ10,MeanMinAge15)))</f>
        <v/>
      </c>
      <c r="AK89" s="87">
        <f>IF(OR(('03_Сеть'!AK37-AK35)=0,15&lt;=КаникулыРоялти),0,('03_Сеть'!AK37-AK35)*IF(РоялтиПоГруппам="Да",MeanMinAge15+AK10*SUMIF(ThresholdAge15,"&lt;"&amp;AK10,WeightedRevAge15)-SUMIF(ThresholdAge15,"&lt;"&amp;AK10,WeightedMinAge15),MAX(CapacityAge15*АбонементНовых*AK10,MeanMinAge15)))</f>
        <v/>
      </c>
      <c r="AL89" s="87">
        <f>IF(OR(('03_Сеть'!AL37-AL35)=0,15&lt;=КаникулыРоялти),0,('03_Сеть'!AL37-AL35)*IF(РоялтиПоГруппам="Да",MeanMinAge15+AL10*SUMIF(ThresholdAge15,"&lt;"&amp;AL10,WeightedRevAge15)-SUMIF(ThresholdAge15,"&lt;"&amp;AL10,WeightedMinAge15),MAX(CapacityAge15*АбонементНовых*AL10,MeanMinAge15)))</f>
        <v/>
      </c>
      <c r="AM89" s="87">
        <f>IF(OR(('03_Сеть'!AM37-AM35)=0,15&lt;=КаникулыРоялти),0,('03_Сеть'!AM37-AM35)*IF(РоялтиПоГруппам="Да",MeanMinAge15+AM10*SUMIF(ThresholdAge15,"&lt;"&amp;AM10,WeightedRevAge15)-SUMIF(ThresholdAge15,"&lt;"&amp;AM10,WeightedMinAge15),MAX(CapacityAge15*АбонементНовых*AM10,MeanMinAge15)))</f>
        <v/>
      </c>
      <c r="AN89" s="87">
        <f>IF(OR(('03_Сеть'!AN37-AN35)=0,15&lt;=КаникулыРоялти),0,('03_Сеть'!AN37-AN35)*IF(РоялтиПоГруппам="Да",MeanMinAge15+AN10*SUMIF(ThresholdAge15,"&lt;"&amp;AN10,WeightedRevAge15)-SUMIF(ThresholdAge15,"&lt;"&amp;AN10,WeightedMinAge15),MAX(CapacityAge15*АбонементНовых*AN10,MeanMinAge15)))</f>
        <v/>
      </c>
      <c r="AO89" s="87">
        <f>IF(OR(('03_Сеть'!AO37-AO35)=0,15&lt;=КаникулыРоялти),0,('03_Сеть'!AO37-AO35)*IF(РоялтиПоГруппам="Да",MeanMinAge15+AO10*SUMIF(ThresholdAge15,"&lt;"&amp;AO10,WeightedRevAge15)-SUMIF(ThresholdAge15,"&lt;"&amp;AO10,WeightedMinAge15),MAX(CapacityAge15*АбонементНовых*AO10,MeanMinAge15)))</f>
        <v/>
      </c>
      <c r="AP89" s="87">
        <f>IF(OR(('03_Сеть'!AP37-AP35)=0,15&lt;=КаникулыРоялти),0,('03_Сеть'!AP37-AP35)*IF(РоялтиПоГруппам="Да",MeanMinAge15+AP10*SUMIF(ThresholdAge15,"&lt;"&amp;AP10,WeightedRevAge15)-SUMIF(ThresholdAge15,"&lt;"&amp;AP10,WeightedMinAge15),MAX(CapacityAge15*АбонементНовых*AP10,MeanMinAge15)))</f>
        <v/>
      </c>
      <c r="AQ89" s="87">
        <f>IF(OR(('03_Сеть'!AQ37-AQ35)=0,15&lt;=КаникулыРоялти),0,('03_Сеть'!AQ37-AQ35)*IF(РоялтиПоГруппам="Да",MeanMinAge15+AQ10*SUMIF(ThresholdAge15,"&lt;"&amp;AQ10,WeightedRevAge15)-SUMIF(ThresholdAge15,"&lt;"&amp;AQ10,WeightedMinAge15),MAX(CapacityAge15*АбонементНовых*AQ10,MeanMinAge15)))</f>
        <v/>
      </c>
      <c r="AR89" s="87">
        <f>IF(OR(('03_Сеть'!AR37-AR35)=0,15&lt;=КаникулыРоялти),0,('03_Сеть'!AR37-AR35)*IF(РоялтиПоГруппам="Да",MeanMinAge15+AR10*SUMIF(ThresholdAge15,"&lt;"&amp;AR10,WeightedRevAge15)-SUMIF(ThresholdAge15,"&lt;"&amp;AR10,WeightedMinAge15),MAX(CapacityAge15*АбонементНовых*AR10,MeanMinAge15)))</f>
        <v/>
      </c>
      <c r="AS89" s="87">
        <f>IF(OR(('03_Сеть'!AS37-AS35)=0,15&lt;=КаникулыРоялти),0,('03_Сеть'!AS37-AS35)*IF(РоялтиПоГруппам="Да",MeanMinAge15+AS10*SUMIF(ThresholdAge15,"&lt;"&amp;AS10,WeightedRevAge15)-SUMIF(ThresholdAge15,"&lt;"&amp;AS10,WeightedMinAge15),MAX(CapacityAge15*АбонементНовых*AS10,MeanMinAge15)))</f>
        <v/>
      </c>
      <c r="AT89" s="87">
        <f>IF(OR(('03_Сеть'!AT37-AT35)=0,15&lt;=КаникулыРоялти),0,('03_Сеть'!AT37-AT35)*IF(РоялтиПоГруппам="Да",MeanMinAge15+AT10*SUMIF(ThresholdAge15,"&lt;"&amp;AT10,WeightedRevAge15)-SUMIF(ThresholdAge15,"&lt;"&amp;AT10,WeightedMinAge15),MAX(CapacityAge15*АбонементНовых*AT10,MeanMinAge15)))</f>
        <v/>
      </c>
      <c r="AU89" s="87">
        <f>IF(OR(('03_Сеть'!AU37-AU35)=0,15&lt;=КаникулыРоялти),0,('03_Сеть'!AU37-AU35)*IF(РоялтиПоГруппам="Да",MeanMinAge15+AU10*SUMIF(ThresholdAge15,"&lt;"&amp;AU10,WeightedRevAge15)-SUMIF(ThresholdAge15,"&lt;"&amp;AU10,WeightedMinAge15),MAX(CapacityAge15*АбонементНовых*AU10,MeanMinAge15)))</f>
        <v/>
      </c>
      <c r="AV89" s="87">
        <f>IF(OR(('03_Сеть'!AV37-AV35)=0,15&lt;=КаникулыРоялти),0,('03_Сеть'!AV37-AV35)*IF(РоялтиПоГруппам="Да",MeanMinAge15+AV10*SUMIF(ThresholdAge15,"&lt;"&amp;AV10,WeightedRevAge15)-SUMIF(ThresholdAge15,"&lt;"&amp;AV10,WeightedMinAge15),MAX(CapacityAge15*АбонементНовых*AV10,MeanMinAge15)))</f>
        <v/>
      </c>
      <c r="AW89" s="87">
        <f>IF(OR(('03_Сеть'!AW37-AW35)=0,15&lt;=КаникулыРоялти),0,('03_Сеть'!AW37-AW35)*IF(РоялтиПоГруппам="Да",MeanMinAge15+AW10*SUMIF(ThresholdAge15,"&lt;"&amp;AW10,WeightedRevAge15)-SUMIF(ThresholdAge15,"&lt;"&amp;AW10,WeightedMinAge15),MAX(CapacityAge15*АбонементНовых*AW10,MeanMinAge15)))</f>
        <v/>
      </c>
      <c r="AX89" s="87">
        <f>IF(OR(('03_Сеть'!AX37-AX35)=0,15&lt;=КаникулыРоялти),0,('03_Сеть'!AX37-AX35)*IF(РоялтиПоГруппам="Да",MeanMinAge15+AX10*SUMIF(ThresholdAge15,"&lt;"&amp;AX10,WeightedRevAge15)-SUMIF(ThresholdAge15,"&lt;"&amp;AX10,WeightedMinAge15),MAX(CapacityAge15*АбонементНовых*AX10,MeanMinAge15)))</f>
        <v/>
      </c>
      <c r="AY89" s="87">
        <f>IF(OR(('03_Сеть'!AY37-AY35)=0,15&lt;=КаникулыРоялти),0,('03_Сеть'!AY37-AY35)*IF(РоялтиПоГруппам="Да",MeanMinAge15+AY10*SUMIF(ThresholdAge15,"&lt;"&amp;AY10,WeightedRevAge15)-SUMIF(ThresholdAge15,"&lt;"&amp;AY10,WeightedMinAge15),MAX(CapacityAge15*АбонементНовых*AY10,MeanMinAge15)))</f>
        <v/>
      </c>
      <c r="AZ89" s="87">
        <f>IF(OR(('03_Сеть'!AZ37-AZ35)=0,15&lt;=КаникулыРоялти),0,('03_Сеть'!AZ37-AZ35)*IF(РоялтиПоГруппам="Да",MeanMinAge15+AZ10*SUMIF(ThresholdAge15,"&lt;"&amp;AZ10,WeightedRevAge15)-SUMIF(ThresholdAge15,"&lt;"&amp;AZ10,WeightedMinAge15),MAX(CapacityAge15*АбонементНовых*AZ10,MeanMinAge15)))</f>
        <v/>
      </c>
      <c r="BA89" s="87">
        <f>IF(OR(('03_Сеть'!BA37-BA35)=0,15&lt;=КаникулыРоялти),0,('03_Сеть'!BA37-BA35)*IF(РоялтиПоГруппам="Да",MeanMinAge15+BA10*SUMIF(ThresholdAge15,"&lt;"&amp;BA10,WeightedRevAge15)-SUMIF(ThresholdAge15,"&lt;"&amp;BA10,WeightedMinAge15),MAX(CapacityAge15*АбонементНовых*BA10,MeanMinAge15)))</f>
        <v/>
      </c>
      <c r="BB89" s="87">
        <f>IF(OR(('03_Сеть'!BB37-BB35)=0,15&lt;=КаникулыРоялти),0,('03_Сеть'!BB37-BB35)*IF(РоялтиПоГруппам="Да",MeanMinAge15+BB10*SUMIF(ThresholdAge15,"&lt;"&amp;BB10,WeightedRevAge15)-SUMIF(ThresholdAge15,"&lt;"&amp;BB10,WeightedMinAge15),MAX(CapacityAge15*АбонементНовых*BB10,MeanMinAge15)))</f>
        <v/>
      </c>
      <c r="BC89" s="87">
        <f>IF(OR(('03_Сеть'!BC37-BC35)=0,15&lt;=КаникулыРоялти),0,('03_Сеть'!BC37-BC35)*IF(РоялтиПоГруппам="Да",MeanMinAge15+BC10*SUMIF(ThresholdAge15,"&lt;"&amp;BC10,WeightedRevAge15)-SUMIF(ThresholdAge15,"&lt;"&amp;BC10,WeightedMinAge15),MAX(CapacityAge15*АбонементНовых*BC10,MeanMinAge15)))</f>
        <v/>
      </c>
      <c r="BD89" s="87">
        <f>IF(OR(('03_Сеть'!BD37-BD35)=0,15&lt;=КаникулыРоялти),0,('03_Сеть'!BD37-BD35)*IF(РоялтиПоГруппам="Да",MeanMinAge15+BD10*SUMIF(ThresholdAge15,"&lt;"&amp;BD10,WeightedRevAge15)-SUMIF(ThresholdAge15,"&lt;"&amp;BD10,WeightedMinAge15),MAX(CapacityAge15*АбонементНовых*BD10,MeanMinAge15)))</f>
        <v/>
      </c>
      <c r="BE89" s="87">
        <f>IF(OR(('03_Сеть'!BE37-BE35)=0,15&lt;=КаникулыРоялти),0,('03_Сеть'!BE37-BE35)*IF(РоялтиПоГруппам="Да",MeanMinAge15+BE10*SUMIF(ThresholdAge15,"&lt;"&amp;BE10,WeightedRevAge15)-SUMIF(ThresholdAge15,"&lt;"&amp;BE10,WeightedMinAge15),MAX(CapacityAge15*АбонементНовых*BE10,MeanMinAge15)))</f>
        <v/>
      </c>
      <c r="BF89" s="87">
        <f>IF(OR(('03_Сеть'!BF37-BF35)=0,15&lt;=КаникулыРоялти),0,('03_Сеть'!BF37-BF35)*IF(РоялтиПоГруппам="Да",MeanMinAge15+BF10*SUMIF(ThresholdAge15,"&lt;"&amp;BF10,WeightedRevAge15)-SUMIF(ThresholdAge15,"&lt;"&amp;BF10,WeightedMinAge15),MAX(CapacityAge15*АбонементНовых*BF10,MeanMinAge15)))</f>
        <v/>
      </c>
      <c r="BG89" s="87">
        <f>IF(OR(('03_Сеть'!BG37-BG35)=0,15&lt;=КаникулыРоялти),0,('03_Сеть'!BG37-BG35)*IF(РоялтиПоГруппам="Да",MeanMinAge15+BG10*SUMIF(ThresholdAge15,"&lt;"&amp;BG10,WeightedRevAge15)-SUMIF(ThresholdAge15,"&lt;"&amp;BG10,WeightedMinAge15),MAX(CapacityAge15*АбонементНовых*BG10,MeanMinAge15)))</f>
        <v/>
      </c>
      <c r="BH89" s="87">
        <f>IF(OR(('03_Сеть'!BH37-BH35)=0,15&lt;=КаникулыРоялти),0,('03_Сеть'!BH37-BH35)*IF(РоялтиПоГруппам="Да",MeanMinAge15+BH10*SUMIF(ThresholdAge15,"&lt;"&amp;BH10,WeightedRevAge15)-SUMIF(ThresholdAge15,"&lt;"&amp;BH10,WeightedMinAge15),MAX(CapacityAge15*АбонементНовых*BH10,MeanMinAge15)))</f>
        <v/>
      </c>
      <c r="BI89" s="87">
        <f>IF(OR(('03_Сеть'!BI37-BI35)=0,15&lt;=КаникулыРоялти),0,('03_Сеть'!BI37-BI35)*IF(РоялтиПоГруппам="Да",MeanMinAge15+BI10*SUMIF(ThresholdAge15,"&lt;"&amp;BI10,WeightedRevAge15)-SUMIF(ThresholdAge15,"&lt;"&amp;BI10,WeightedMinAge15),MAX(CapacityAge15*АбонементНовых*BI10,MeanMinAge15)))</f>
        <v/>
      </c>
      <c r="BJ89" s="87">
        <f>IF(OR(('03_Сеть'!BJ37-BJ35)=0,15&lt;=КаникулыРоялти),0,('03_Сеть'!BJ37-BJ35)*IF(РоялтиПоГруппам="Да",MeanMinAge15+BJ10*SUMIF(ThresholdAge15,"&lt;"&amp;BJ10,WeightedRevAge15)-SUMIF(ThresholdAge15,"&lt;"&amp;BJ10,WeightedMinAge15),MAX(CapacityAge15*АбонементНовых*BJ10,MeanMinAge15)))</f>
        <v/>
      </c>
      <c r="BK89" s="87">
        <f>IF(OR(('03_Сеть'!BK37-BK35)=0,15&lt;=КаникулыРоялти),0,('03_Сеть'!BK37-BK35)*IF(РоялтиПоГруппам="Да",MeanMinAge15+BK10*SUMIF(ThresholdAge15,"&lt;"&amp;BK10,WeightedRevAge15)-SUMIF(ThresholdAge15,"&lt;"&amp;BK10,WeightedMinAge15),MAX(CapacityAge15*АбонементНовых*BK10,MeanMinAge15)))</f>
        <v/>
      </c>
      <c r="BL89" s="87">
        <f>IF(OR(('03_Сеть'!BL37-BL35)=0,15&lt;=КаникулыРоялти),0,('03_Сеть'!BL37-BL35)*IF(РоялтиПоГруппам="Да",MeanMinAge15+BL10*SUMIF(ThresholdAge15,"&lt;"&amp;BL10,WeightedRevAge15)-SUMIF(ThresholdAge15,"&lt;"&amp;BL10,WeightedMinAge15),MAX(CapacityAge15*АбонементНовых*BL10,MeanMinAge15)))</f>
        <v/>
      </c>
      <c r="BM89" s="87">
        <f>IF(OR(('03_Сеть'!BM37-BM35)=0,15&lt;=КаникулыРоялти),0,('03_Сеть'!BM37-BM35)*IF(РоялтиПоГруппам="Да",MeanMinAge15+BM10*SUMIF(ThresholdAge15,"&lt;"&amp;BM10,WeightedRevAge15)-SUMIF(ThresholdAge15,"&lt;"&amp;BM10,WeightedMinAge15),MAX(CapacityAge15*АбонементНовых*BM10,MeanMinAge15)))</f>
        <v/>
      </c>
      <c r="BN89" s="87">
        <f>IF(OR(('03_Сеть'!BN37-BN35)=0,15&lt;=КаникулыРоялти),0,('03_Сеть'!BN37-BN35)*IF(РоялтиПоГруппам="Да",MeanMinAge15+BN10*SUMIF(ThresholdAge15,"&lt;"&amp;BN10,WeightedRevAge15)-SUMIF(ThresholdAge15,"&lt;"&amp;BN10,WeightedMinAge15),MAX(CapacityAge15*АбонементНовых*BN10,MeanMinAge15)))</f>
        <v/>
      </c>
      <c r="BO89" s="87">
        <f>IF(OR(('03_Сеть'!BO37-BO35)=0,15&lt;=КаникулыРоялти),0,('03_Сеть'!BO37-BO35)*IF(РоялтиПоГруппам="Да",MeanMinAge15+BO10*SUMIF(ThresholdAge15,"&lt;"&amp;BO10,WeightedRevAge15)-SUMIF(ThresholdAge15,"&lt;"&amp;BO10,WeightedMinAge15),MAX(CapacityAge15*АбонементНовых*BO10,MeanMinAge15)))</f>
        <v/>
      </c>
      <c r="BP89" s="87">
        <f>IF(OR(('03_Сеть'!BP37-BP35)=0,15&lt;=КаникулыРоялти),0,('03_Сеть'!BP37-BP35)*IF(РоялтиПоГруппам="Да",MeanMinAge15+BP10*SUMIF(ThresholdAge15,"&lt;"&amp;BP10,WeightedRevAge15)-SUMIF(ThresholdAge15,"&lt;"&amp;BP10,WeightedMinAge15),MAX(CapacityAge15*АбонементНовых*BP10,MeanMinAge15)))</f>
        <v/>
      </c>
      <c r="BQ89" s="87">
        <f>IF(OR(('03_Сеть'!BQ37-BQ35)=0,15&lt;=КаникулыРоялти),0,('03_Сеть'!BQ37-BQ35)*IF(РоялтиПоГруппам="Да",MeanMinAge15+BQ10*SUMIF(ThresholdAge15,"&lt;"&amp;BQ10,WeightedRevAge15)-SUMIF(ThresholdAge15,"&lt;"&amp;BQ10,WeightedMinAge15),MAX(CapacityAge15*АбонементНовых*BQ10,MeanMinAge15)))</f>
        <v/>
      </c>
      <c r="BR89" s="87">
        <f>IF(OR(('03_Сеть'!BR37-BR35)=0,15&lt;=КаникулыРоялти),0,('03_Сеть'!BR37-BR35)*IF(РоялтиПоГруппам="Да",MeanMinAge15+BR10*SUMIF(ThresholdAge15,"&lt;"&amp;BR10,WeightedRevAge15)-SUMIF(ThresholdAge15,"&lt;"&amp;BR10,WeightedMinAge15),MAX(CapacityAge15*АбонементНовых*BR10,MeanMinAge15)))</f>
        <v/>
      </c>
      <c r="BS89" s="87">
        <f>IF(OR(('03_Сеть'!BS37-BS35)=0,15&lt;=КаникулыРоялти),0,('03_Сеть'!BS37-BS35)*IF(РоялтиПоГруппам="Да",MeanMinAge15+BS10*SUMIF(ThresholdAge15,"&lt;"&amp;BS10,WeightedRevAge15)-SUMIF(ThresholdAge15,"&lt;"&amp;BS10,WeightedMinAge15),MAX(CapacityAge15*АбонементНовых*BS10,MeanMinAge15)))</f>
        <v/>
      </c>
      <c r="BT89" s="87">
        <f>IF(OR(('03_Сеть'!BT37-BT35)=0,15&lt;=КаникулыРоялти),0,('03_Сеть'!BT37-BT35)*IF(РоялтиПоГруппам="Да",MeanMinAge15+BT10*SUMIF(ThresholdAge15,"&lt;"&amp;BT10,WeightedRevAge15)-SUMIF(ThresholdAge15,"&lt;"&amp;BT10,WeightedMinAge15),MAX(CapacityAge15*АбонементНовых*BT10,MeanMinAge15)))</f>
        <v/>
      </c>
      <c r="BU89" s="87">
        <f>IF(OR(('03_Сеть'!BU37-BU35)=0,15&lt;=КаникулыРоялти),0,('03_Сеть'!BU37-BU35)*IF(РоялтиПоГруппам="Да",MeanMinAge15+BU10*SUMIF(ThresholdAge15,"&lt;"&amp;BU10,WeightedRevAge15)-SUMIF(ThresholdAge15,"&lt;"&amp;BU10,WeightedMinAge15),MAX(CapacityAge15*АбонементНовых*BU10,MeanMinAge15)))</f>
        <v/>
      </c>
      <c r="BV89" s="87">
        <f>IF(OR(('03_Сеть'!BV37-BV35)=0,15&lt;=КаникулыРоялти),0,('03_Сеть'!BV37-BV35)*IF(РоялтиПоГруппам="Да",MeanMinAge15+BV10*SUMIF(ThresholdAge15,"&lt;"&amp;BV10,WeightedRevAge15)-SUMIF(ThresholdAge15,"&lt;"&amp;BV10,WeightedMinAge15),MAX(CapacityAge15*АбонементНовых*BV10,MeanMinAge15)))</f>
        <v/>
      </c>
      <c r="BW89" s="87">
        <f>IF(OR(('03_Сеть'!BW37-BW35)=0,15&lt;=КаникулыРоялти),0,('03_Сеть'!BW37-BW35)*IF(РоялтиПоГруппам="Да",MeanMinAge15+BW10*SUMIF(ThresholdAge15,"&lt;"&amp;BW10,WeightedRevAge15)-SUMIF(ThresholdAge15,"&lt;"&amp;BW10,WeightedMinAge15),MAX(CapacityAge15*АбонементНовых*BW10,MeanMinAge15)))</f>
        <v/>
      </c>
      <c r="BX89" s="87">
        <f>IF(OR(('03_Сеть'!BX37-BX35)=0,15&lt;=КаникулыРоялти),0,('03_Сеть'!BX37-BX35)*IF(РоялтиПоГруппам="Да",MeanMinAge15+BX10*SUMIF(ThresholdAge15,"&lt;"&amp;BX10,WeightedRevAge15)-SUMIF(ThresholdAge15,"&lt;"&amp;BX10,WeightedMinAge15),MAX(CapacityAge15*АбонементНовых*BX10,MeanMinAge15)))</f>
        <v/>
      </c>
      <c r="BY89" s="87">
        <f>IF(OR(('03_Сеть'!BY37-BY35)=0,15&lt;=КаникулыРоялти),0,('03_Сеть'!BY37-BY35)*IF(РоялтиПоГруппам="Да",MeanMinAge15+BY10*SUMIF(ThresholdAge15,"&lt;"&amp;BY10,WeightedRevAge15)-SUMIF(ThresholdAge15,"&lt;"&amp;BY10,WeightedMinAge15),MAX(CapacityAge15*АбонементНовых*BY10,MeanMinAge15)))</f>
        <v/>
      </c>
    </row>
    <row r="90" ht="15.75" customHeight="1" s="194">
      <c r="B90" s="56" t="inlineStr">
        <is>
          <t>16 мес.</t>
        </is>
      </c>
      <c r="C90" s="56" t="inlineStr">
        <is>
          <t>₽</t>
        </is>
      </c>
      <c r="D90" s="57" t="n"/>
      <c r="E90" s="85">
        <f>SUM(L90:W90)</f>
        <v/>
      </c>
      <c r="F90" s="85">
        <f>SUM(X90:AI90)</f>
        <v/>
      </c>
      <c r="G90" s="85">
        <f>SUM(AJ90:AU90)</f>
        <v/>
      </c>
      <c r="H90" s="85">
        <f>SUM(AV90:BG90)</f>
        <v/>
      </c>
      <c r="I90" s="85">
        <f>SUM(BH90:BS90)</f>
        <v/>
      </c>
      <c r="J90" s="86">
        <f>SUM(L90:BS90)</f>
        <v/>
      </c>
      <c r="L90" s="87">
        <f>IF(OR(('03_Сеть'!L38-L36)=0,16&lt;=КаникулыРоялти),0,('03_Сеть'!L38-L36)*IF(РоялтиПоГруппам="Да",MeanMinAge16+L10*SUMIF(ThresholdAge16,"&lt;"&amp;L10,WeightedRevAge16)-SUMIF(ThresholdAge16,"&lt;"&amp;L10,WeightedMinAge16),MAX(CapacityAge16*АбонементНовых*L10,MeanMinAge16)))</f>
        <v/>
      </c>
      <c r="M90" s="87">
        <f>IF(OR(('03_Сеть'!M38-M36)=0,16&lt;=КаникулыРоялти),0,('03_Сеть'!M38-M36)*IF(РоялтиПоГруппам="Да",MeanMinAge16+M10*SUMIF(ThresholdAge16,"&lt;"&amp;M10,WeightedRevAge16)-SUMIF(ThresholdAge16,"&lt;"&amp;M10,WeightedMinAge16),MAX(CapacityAge16*АбонементНовых*M10,MeanMinAge16)))</f>
        <v/>
      </c>
      <c r="N90" s="87">
        <f>IF(OR(('03_Сеть'!N38-N36)=0,16&lt;=КаникулыРоялти),0,('03_Сеть'!N38-N36)*IF(РоялтиПоГруппам="Да",MeanMinAge16+N10*SUMIF(ThresholdAge16,"&lt;"&amp;N10,WeightedRevAge16)-SUMIF(ThresholdAge16,"&lt;"&amp;N10,WeightedMinAge16),MAX(CapacityAge16*АбонементНовых*N10,MeanMinAge16)))</f>
        <v/>
      </c>
      <c r="O90" s="87">
        <f>IF(OR(('03_Сеть'!O38-O36)=0,16&lt;=КаникулыРоялти),0,('03_Сеть'!O38-O36)*IF(РоялтиПоГруппам="Да",MeanMinAge16+O10*SUMIF(ThresholdAge16,"&lt;"&amp;O10,WeightedRevAge16)-SUMIF(ThresholdAge16,"&lt;"&amp;O10,WeightedMinAge16),MAX(CapacityAge16*АбонементНовых*O10,MeanMinAge16)))</f>
        <v/>
      </c>
      <c r="P90" s="87">
        <f>IF(OR(('03_Сеть'!P38-P36)=0,16&lt;=КаникулыРоялти),0,('03_Сеть'!P38-P36)*IF(РоялтиПоГруппам="Да",MeanMinAge16+P10*SUMIF(ThresholdAge16,"&lt;"&amp;P10,WeightedRevAge16)-SUMIF(ThresholdAge16,"&lt;"&amp;P10,WeightedMinAge16),MAX(CapacityAge16*АбонементНовых*P10,MeanMinAge16)))</f>
        <v/>
      </c>
      <c r="Q90" s="87">
        <f>IF(OR(('03_Сеть'!Q38-Q36)=0,16&lt;=КаникулыРоялти),0,('03_Сеть'!Q38-Q36)*IF(РоялтиПоГруппам="Да",MeanMinAge16+Q10*SUMIF(ThresholdAge16,"&lt;"&amp;Q10,WeightedRevAge16)-SUMIF(ThresholdAge16,"&lt;"&amp;Q10,WeightedMinAge16),MAX(CapacityAge16*АбонементНовых*Q10,MeanMinAge16)))</f>
        <v/>
      </c>
      <c r="R90" s="87">
        <f>IF(OR(('03_Сеть'!R38-R36)=0,16&lt;=КаникулыРоялти),0,('03_Сеть'!R38-R36)*IF(РоялтиПоГруппам="Да",MeanMinAge16+R10*SUMIF(ThresholdAge16,"&lt;"&amp;R10,WeightedRevAge16)-SUMIF(ThresholdAge16,"&lt;"&amp;R10,WeightedMinAge16),MAX(CapacityAge16*АбонементНовых*R10,MeanMinAge16)))</f>
        <v/>
      </c>
      <c r="S90" s="87">
        <f>IF(OR(('03_Сеть'!S38-S36)=0,16&lt;=КаникулыРоялти),0,('03_Сеть'!S38-S36)*IF(РоялтиПоГруппам="Да",MeanMinAge16+S10*SUMIF(ThresholdAge16,"&lt;"&amp;S10,WeightedRevAge16)-SUMIF(ThresholdAge16,"&lt;"&amp;S10,WeightedMinAge16),MAX(CapacityAge16*АбонементНовых*S10,MeanMinAge16)))</f>
        <v/>
      </c>
      <c r="T90" s="87">
        <f>IF(OR(('03_Сеть'!T38-T36)=0,16&lt;=КаникулыРоялти),0,('03_Сеть'!T38-T36)*IF(РоялтиПоГруппам="Да",MeanMinAge16+T10*SUMIF(ThresholdAge16,"&lt;"&amp;T10,WeightedRevAge16)-SUMIF(ThresholdAge16,"&lt;"&amp;T10,WeightedMinAge16),MAX(CapacityAge16*АбонементНовых*T10,MeanMinAge16)))</f>
        <v/>
      </c>
      <c r="U90" s="87">
        <f>IF(OR(('03_Сеть'!U38-U36)=0,16&lt;=КаникулыРоялти),0,('03_Сеть'!U38-U36)*IF(РоялтиПоГруппам="Да",MeanMinAge16+U10*SUMIF(ThresholdAge16,"&lt;"&amp;U10,WeightedRevAge16)-SUMIF(ThresholdAge16,"&lt;"&amp;U10,WeightedMinAge16),MAX(CapacityAge16*АбонементНовых*U10,MeanMinAge16)))</f>
        <v/>
      </c>
      <c r="V90" s="87">
        <f>IF(OR(('03_Сеть'!V38-V36)=0,16&lt;=КаникулыРоялти),0,('03_Сеть'!V38-V36)*IF(РоялтиПоГруппам="Да",MeanMinAge16+V10*SUMIF(ThresholdAge16,"&lt;"&amp;V10,WeightedRevAge16)-SUMIF(ThresholdAge16,"&lt;"&amp;V10,WeightedMinAge16),MAX(CapacityAge16*АбонементНовых*V10,MeanMinAge16)))</f>
        <v/>
      </c>
      <c r="W90" s="87">
        <f>IF(OR(('03_Сеть'!W38-W36)=0,16&lt;=КаникулыРоялти),0,('03_Сеть'!W38-W36)*IF(РоялтиПоГруппам="Да",MeanMinAge16+W10*SUMIF(ThresholdAge16,"&lt;"&amp;W10,WeightedRevAge16)-SUMIF(ThresholdAge16,"&lt;"&amp;W10,WeightedMinAge16),MAX(CapacityAge16*АбонементНовых*W10,MeanMinAge16)))</f>
        <v/>
      </c>
      <c r="X90" s="87">
        <f>IF(OR(('03_Сеть'!X38-X36)=0,16&lt;=КаникулыРоялти),0,('03_Сеть'!X38-X36)*IF(РоялтиПоГруппам="Да",MeanMinAge16+X10*SUMIF(ThresholdAge16,"&lt;"&amp;X10,WeightedRevAge16)-SUMIF(ThresholdAge16,"&lt;"&amp;X10,WeightedMinAge16),MAX(CapacityAge16*АбонементНовых*X10,MeanMinAge16)))</f>
        <v/>
      </c>
      <c r="Y90" s="87">
        <f>IF(OR(('03_Сеть'!Y38-Y36)=0,16&lt;=КаникулыРоялти),0,('03_Сеть'!Y38-Y36)*IF(РоялтиПоГруппам="Да",MeanMinAge16+Y10*SUMIF(ThresholdAge16,"&lt;"&amp;Y10,WeightedRevAge16)-SUMIF(ThresholdAge16,"&lt;"&amp;Y10,WeightedMinAge16),MAX(CapacityAge16*АбонементНовых*Y10,MeanMinAge16)))</f>
        <v/>
      </c>
      <c r="Z90" s="87">
        <f>IF(OR(('03_Сеть'!Z38-Z36)=0,16&lt;=КаникулыРоялти),0,('03_Сеть'!Z38-Z36)*IF(РоялтиПоГруппам="Да",MeanMinAge16+Z10*SUMIF(ThresholdAge16,"&lt;"&amp;Z10,WeightedRevAge16)-SUMIF(ThresholdAge16,"&lt;"&amp;Z10,WeightedMinAge16),MAX(CapacityAge16*АбонементНовых*Z10,MeanMinAge16)))</f>
        <v/>
      </c>
      <c r="AA90" s="87">
        <f>IF(OR(('03_Сеть'!AA38-AA36)=0,16&lt;=КаникулыРоялти),0,('03_Сеть'!AA38-AA36)*IF(РоялтиПоГруппам="Да",MeanMinAge16+AA10*SUMIF(ThresholdAge16,"&lt;"&amp;AA10,WeightedRevAge16)-SUMIF(ThresholdAge16,"&lt;"&amp;AA10,WeightedMinAge16),MAX(CapacityAge16*АбонементНовых*AA10,MeanMinAge16)))</f>
        <v/>
      </c>
      <c r="AB90" s="87">
        <f>IF(OR(('03_Сеть'!AB38-AB36)=0,16&lt;=КаникулыРоялти),0,('03_Сеть'!AB38-AB36)*IF(РоялтиПоГруппам="Да",MeanMinAge16+AB10*SUMIF(ThresholdAge16,"&lt;"&amp;AB10,WeightedRevAge16)-SUMIF(ThresholdAge16,"&lt;"&amp;AB10,WeightedMinAge16),MAX(CapacityAge16*АбонементНовых*AB10,MeanMinAge16)))</f>
        <v/>
      </c>
      <c r="AC90" s="87">
        <f>IF(OR(('03_Сеть'!AC38-AC36)=0,16&lt;=КаникулыРоялти),0,('03_Сеть'!AC38-AC36)*IF(РоялтиПоГруппам="Да",MeanMinAge16+AC10*SUMIF(ThresholdAge16,"&lt;"&amp;AC10,WeightedRevAge16)-SUMIF(ThresholdAge16,"&lt;"&amp;AC10,WeightedMinAge16),MAX(CapacityAge16*АбонементНовых*AC10,MeanMinAge16)))</f>
        <v/>
      </c>
      <c r="AD90" s="87">
        <f>IF(OR(('03_Сеть'!AD38-AD36)=0,16&lt;=КаникулыРоялти),0,('03_Сеть'!AD38-AD36)*IF(РоялтиПоГруппам="Да",MeanMinAge16+AD10*SUMIF(ThresholdAge16,"&lt;"&amp;AD10,WeightedRevAge16)-SUMIF(ThresholdAge16,"&lt;"&amp;AD10,WeightedMinAge16),MAX(CapacityAge16*АбонементНовых*AD10,MeanMinAge16)))</f>
        <v/>
      </c>
      <c r="AE90" s="87">
        <f>IF(OR(('03_Сеть'!AE38-AE36)=0,16&lt;=КаникулыРоялти),0,('03_Сеть'!AE38-AE36)*IF(РоялтиПоГруппам="Да",MeanMinAge16+AE10*SUMIF(ThresholdAge16,"&lt;"&amp;AE10,WeightedRevAge16)-SUMIF(ThresholdAge16,"&lt;"&amp;AE10,WeightedMinAge16),MAX(CapacityAge16*АбонементНовых*AE10,MeanMinAge16)))</f>
        <v/>
      </c>
      <c r="AF90" s="87">
        <f>IF(OR(('03_Сеть'!AF38-AF36)=0,16&lt;=КаникулыРоялти),0,('03_Сеть'!AF38-AF36)*IF(РоялтиПоГруппам="Да",MeanMinAge16+AF10*SUMIF(ThresholdAge16,"&lt;"&amp;AF10,WeightedRevAge16)-SUMIF(ThresholdAge16,"&lt;"&amp;AF10,WeightedMinAge16),MAX(CapacityAge16*АбонементНовых*AF10,MeanMinAge16)))</f>
        <v/>
      </c>
      <c r="AG90" s="87">
        <f>IF(OR(('03_Сеть'!AG38-AG36)=0,16&lt;=КаникулыРоялти),0,('03_Сеть'!AG38-AG36)*IF(РоялтиПоГруппам="Да",MeanMinAge16+AG10*SUMIF(ThresholdAge16,"&lt;"&amp;AG10,WeightedRevAge16)-SUMIF(ThresholdAge16,"&lt;"&amp;AG10,WeightedMinAge16),MAX(CapacityAge16*АбонементНовых*AG10,MeanMinAge16)))</f>
        <v/>
      </c>
      <c r="AH90" s="87">
        <f>IF(OR(('03_Сеть'!AH38-AH36)=0,16&lt;=КаникулыРоялти),0,('03_Сеть'!AH38-AH36)*IF(РоялтиПоГруппам="Да",MeanMinAge16+AH10*SUMIF(ThresholdAge16,"&lt;"&amp;AH10,WeightedRevAge16)-SUMIF(ThresholdAge16,"&lt;"&amp;AH10,WeightedMinAge16),MAX(CapacityAge16*АбонементНовых*AH10,MeanMinAge16)))</f>
        <v/>
      </c>
      <c r="AI90" s="87">
        <f>IF(OR(('03_Сеть'!AI38-AI36)=0,16&lt;=КаникулыРоялти),0,('03_Сеть'!AI38-AI36)*IF(РоялтиПоГруппам="Да",MeanMinAge16+AI10*SUMIF(ThresholdAge16,"&lt;"&amp;AI10,WeightedRevAge16)-SUMIF(ThresholdAge16,"&lt;"&amp;AI10,WeightedMinAge16),MAX(CapacityAge16*АбонементНовых*AI10,MeanMinAge16)))</f>
        <v/>
      </c>
      <c r="AJ90" s="87">
        <f>IF(OR(('03_Сеть'!AJ38-AJ36)=0,16&lt;=КаникулыРоялти),0,('03_Сеть'!AJ38-AJ36)*IF(РоялтиПоГруппам="Да",MeanMinAge16+AJ10*SUMIF(ThresholdAge16,"&lt;"&amp;AJ10,WeightedRevAge16)-SUMIF(ThresholdAge16,"&lt;"&amp;AJ10,WeightedMinAge16),MAX(CapacityAge16*АбонементНовых*AJ10,MeanMinAge16)))</f>
        <v/>
      </c>
      <c r="AK90" s="87">
        <f>IF(OR(('03_Сеть'!AK38-AK36)=0,16&lt;=КаникулыРоялти),0,('03_Сеть'!AK38-AK36)*IF(РоялтиПоГруппам="Да",MeanMinAge16+AK10*SUMIF(ThresholdAge16,"&lt;"&amp;AK10,WeightedRevAge16)-SUMIF(ThresholdAge16,"&lt;"&amp;AK10,WeightedMinAge16),MAX(CapacityAge16*АбонементНовых*AK10,MeanMinAge16)))</f>
        <v/>
      </c>
      <c r="AL90" s="87">
        <f>IF(OR(('03_Сеть'!AL38-AL36)=0,16&lt;=КаникулыРоялти),0,('03_Сеть'!AL38-AL36)*IF(РоялтиПоГруппам="Да",MeanMinAge16+AL10*SUMIF(ThresholdAge16,"&lt;"&amp;AL10,WeightedRevAge16)-SUMIF(ThresholdAge16,"&lt;"&amp;AL10,WeightedMinAge16),MAX(CapacityAge16*АбонементНовых*AL10,MeanMinAge16)))</f>
        <v/>
      </c>
      <c r="AM90" s="87">
        <f>IF(OR(('03_Сеть'!AM38-AM36)=0,16&lt;=КаникулыРоялти),0,('03_Сеть'!AM38-AM36)*IF(РоялтиПоГруппам="Да",MeanMinAge16+AM10*SUMIF(ThresholdAge16,"&lt;"&amp;AM10,WeightedRevAge16)-SUMIF(ThresholdAge16,"&lt;"&amp;AM10,WeightedMinAge16),MAX(CapacityAge16*АбонементНовых*AM10,MeanMinAge16)))</f>
        <v/>
      </c>
      <c r="AN90" s="87">
        <f>IF(OR(('03_Сеть'!AN38-AN36)=0,16&lt;=КаникулыРоялти),0,('03_Сеть'!AN38-AN36)*IF(РоялтиПоГруппам="Да",MeanMinAge16+AN10*SUMIF(ThresholdAge16,"&lt;"&amp;AN10,WeightedRevAge16)-SUMIF(ThresholdAge16,"&lt;"&amp;AN10,WeightedMinAge16),MAX(CapacityAge16*АбонементНовых*AN10,MeanMinAge16)))</f>
        <v/>
      </c>
      <c r="AO90" s="87">
        <f>IF(OR(('03_Сеть'!AO38-AO36)=0,16&lt;=КаникулыРоялти),0,('03_Сеть'!AO38-AO36)*IF(РоялтиПоГруппам="Да",MeanMinAge16+AO10*SUMIF(ThresholdAge16,"&lt;"&amp;AO10,WeightedRevAge16)-SUMIF(ThresholdAge16,"&lt;"&amp;AO10,WeightedMinAge16),MAX(CapacityAge16*АбонементНовых*AO10,MeanMinAge16)))</f>
        <v/>
      </c>
      <c r="AP90" s="87">
        <f>IF(OR(('03_Сеть'!AP38-AP36)=0,16&lt;=КаникулыРоялти),0,('03_Сеть'!AP38-AP36)*IF(РоялтиПоГруппам="Да",MeanMinAge16+AP10*SUMIF(ThresholdAge16,"&lt;"&amp;AP10,WeightedRevAge16)-SUMIF(ThresholdAge16,"&lt;"&amp;AP10,WeightedMinAge16),MAX(CapacityAge16*АбонементНовых*AP10,MeanMinAge16)))</f>
        <v/>
      </c>
      <c r="AQ90" s="87">
        <f>IF(OR(('03_Сеть'!AQ38-AQ36)=0,16&lt;=КаникулыРоялти),0,('03_Сеть'!AQ38-AQ36)*IF(РоялтиПоГруппам="Да",MeanMinAge16+AQ10*SUMIF(ThresholdAge16,"&lt;"&amp;AQ10,WeightedRevAge16)-SUMIF(ThresholdAge16,"&lt;"&amp;AQ10,WeightedMinAge16),MAX(CapacityAge16*АбонементНовых*AQ10,MeanMinAge16)))</f>
        <v/>
      </c>
      <c r="AR90" s="87">
        <f>IF(OR(('03_Сеть'!AR38-AR36)=0,16&lt;=КаникулыРоялти),0,('03_Сеть'!AR38-AR36)*IF(РоялтиПоГруппам="Да",MeanMinAge16+AR10*SUMIF(ThresholdAge16,"&lt;"&amp;AR10,WeightedRevAge16)-SUMIF(ThresholdAge16,"&lt;"&amp;AR10,WeightedMinAge16),MAX(CapacityAge16*АбонементНовых*AR10,MeanMinAge16)))</f>
        <v/>
      </c>
      <c r="AS90" s="87">
        <f>IF(OR(('03_Сеть'!AS38-AS36)=0,16&lt;=КаникулыРоялти),0,('03_Сеть'!AS38-AS36)*IF(РоялтиПоГруппам="Да",MeanMinAge16+AS10*SUMIF(ThresholdAge16,"&lt;"&amp;AS10,WeightedRevAge16)-SUMIF(ThresholdAge16,"&lt;"&amp;AS10,WeightedMinAge16),MAX(CapacityAge16*АбонементНовых*AS10,MeanMinAge16)))</f>
        <v/>
      </c>
      <c r="AT90" s="87">
        <f>IF(OR(('03_Сеть'!AT38-AT36)=0,16&lt;=КаникулыРоялти),0,('03_Сеть'!AT38-AT36)*IF(РоялтиПоГруппам="Да",MeanMinAge16+AT10*SUMIF(ThresholdAge16,"&lt;"&amp;AT10,WeightedRevAge16)-SUMIF(ThresholdAge16,"&lt;"&amp;AT10,WeightedMinAge16),MAX(CapacityAge16*АбонементНовых*AT10,MeanMinAge16)))</f>
        <v/>
      </c>
      <c r="AU90" s="87">
        <f>IF(OR(('03_Сеть'!AU38-AU36)=0,16&lt;=КаникулыРоялти),0,('03_Сеть'!AU38-AU36)*IF(РоялтиПоГруппам="Да",MeanMinAge16+AU10*SUMIF(ThresholdAge16,"&lt;"&amp;AU10,WeightedRevAge16)-SUMIF(ThresholdAge16,"&lt;"&amp;AU10,WeightedMinAge16),MAX(CapacityAge16*АбонементНовых*AU10,MeanMinAge16)))</f>
        <v/>
      </c>
      <c r="AV90" s="87">
        <f>IF(OR(('03_Сеть'!AV38-AV36)=0,16&lt;=КаникулыРоялти),0,('03_Сеть'!AV38-AV36)*IF(РоялтиПоГруппам="Да",MeanMinAge16+AV10*SUMIF(ThresholdAge16,"&lt;"&amp;AV10,WeightedRevAge16)-SUMIF(ThresholdAge16,"&lt;"&amp;AV10,WeightedMinAge16),MAX(CapacityAge16*АбонементНовых*AV10,MeanMinAge16)))</f>
        <v/>
      </c>
      <c r="AW90" s="87">
        <f>IF(OR(('03_Сеть'!AW38-AW36)=0,16&lt;=КаникулыРоялти),0,('03_Сеть'!AW38-AW36)*IF(РоялтиПоГруппам="Да",MeanMinAge16+AW10*SUMIF(ThresholdAge16,"&lt;"&amp;AW10,WeightedRevAge16)-SUMIF(ThresholdAge16,"&lt;"&amp;AW10,WeightedMinAge16),MAX(CapacityAge16*АбонементНовых*AW10,MeanMinAge16)))</f>
        <v/>
      </c>
      <c r="AX90" s="87">
        <f>IF(OR(('03_Сеть'!AX38-AX36)=0,16&lt;=КаникулыРоялти),0,('03_Сеть'!AX38-AX36)*IF(РоялтиПоГруппам="Да",MeanMinAge16+AX10*SUMIF(ThresholdAge16,"&lt;"&amp;AX10,WeightedRevAge16)-SUMIF(ThresholdAge16,"&lt;"&amp;AX10,WeightedMinAge16),MAX(CapacityAge16*АбонементНовых*AX10,MeanMinAge16)))</f>
        <v/>
      </c>
      <c r="AY90" s="87">
        <f>IF(OR(('03_Сеть'!AY38-AY36)=0,16&lt;=КаникулыРоялти),0,('03_Сеть'!AY38-AY36)*IF(РоялтиПоГруппам="Да",MeanMinAge16+AY10*SUMIF(ThresholdAge16,"&lt;"&amp;AY10,WeightedRevAge16)-SUMIF(ThresholdAge16,"&lt;"&amp;AY10,WeightedMinAge16),MAX(CapacityAge16*АбонементНовых*AY10,MeanMinAge16)))</f>
        <v/>
      </c>
      <c r="AZ90" s="87">
        <f>IF(OR(('03_Сеть'!AZ38-AZ36)=0,16&lt;=КаникулыРоялти),0,('03_Сеть'!AZ38-AZ36)*IF(РоялтиПоГруппам="Да",MeanMinAge16+AZ10*SUMIF(ThresholdAge16,"&lt;"&amp;AZ10,WeightedRevAge16)-SUMIF(ThresholdAge16,"&lt;"&amp;AZ10,WeightedMinAge16),MAX(CapacityAge16*АбонементНовых*AZ10,MeanMinAge16)))</f>
        <v/>
      </c>
      <c r="BA90" s="87">
        <f>IF(OR(('03_Сеть'!BA38-BA36)=0,16&lt;=КаникулыРоялти),0,('03_Сеть'!BA38-BA36)*IF(РоялтиПоГруппам="Да",MeanMinAge16+BA10*SUMIF(ThresholdAge16,"&lt;"&amp;BA10,WeightedRevAge16)-SUMIF(ThresholdAge16,"&lt;"&amp;BA10,WeightedMinAge16),MAX(CapacityAge16*АбонементНовых*BA10,MeanMinAge16)))</f>
        <v/>
      </c>
      <c r="BB90" s="87">
        <f>IF(OR(('03_Сеть'!BB38-BB36)=0,16&lt;=КаникулыРоялти),0,('03_Сеть'!BB38-BB36)*IF(РоялтиПоГруппам="Да",MeanMinAge16+BB10*SUMIF(ThresholdAge16,"&lt;"&amp;BB10,WeightedRevAge16)-SUMIF(ThresholdAge16,"&lt;"&amp;BB10,WeightedMinAge16),MAX(CapacityAge16*АбонементНовых*BB10,MeanMinAge16)))</f>
        <v/>
      </c>
      <c r="BC90" s="87">
        <f>IF(OR(('03_Сеть'!BC38-BC36)=0,16&lt;=КаникулыРоялти),0,('03_Сеть'!BC38-BC36)*IF(РоялтиПоГруппам="Да",MeanMinAge16+BC10*SUMIF(ThresholdAge16,"&lt;"&amp;BC10,WeightedRevAge16)-SUMIF(ThresholdAge16,"&lt;"&amp;BC10,WeightedMinAge16),MAX(CapacityAge16*АбонементНовых*BC10,MeanMinAge16)))</f>
        <v/>
      </c>
      <c r="BD90" s="87">
        <f>IF(OR(('03_Сеть'!BD38-BD36)=0,16&lt;=КаникулыРоялти),0,('03_Сеть'!BD38-BD36)*IF(РоялтиПоГруппам="Да",MeanMinAge16+BD10*SUMIF(ThresholdAge16,"&lt;"&amp;BD10,WeightedRevAge16)-SUMIF(ThresholdAge16,"&lt;"&amp;BD10,WeightedMinAge16),MAX(CapacityAge16*АбонементНовых*BD10,MeanMinAge16)))</f>
        <v/>
      </c>
      <c r="BE90" s="87">
        <f>IF(OR(('03_Сеть'!BE38-BE36)=0,16&lt;=КаникулыРоялти),0,('03_Сеть'!BE38-BE36)*IF(РоялтиПоГруппам="Да",MeanMinAge16+BE10*SUMIF(ThresholdAge16,"&lt;"&amp;BE10,WeightedRevAge16)-SUMIF(ThresholdAge16,"&lt;"&amp;BE10,WeightedMinAge16),MAX(CapacityAge16*АбонементНовых*BE10,MeanMinAge16)))</f>
        <v/>
      </c>
      <c r="BF90" s="87">
        <f>IF(OR(('03_Сеть'!BF38-BF36)=0,16&lt;=КаникулыРоялти),0,('03_Сеть'!BF38-BF36)*IF(РоялтиПоГруппам="Да",MeanMinAge16+BF10*SUMIF(ThresholdAge16,"&lt;"&amp;BF10,WeightedRevAge16)-SUMIF(ThresholdAge16,"&lt;"&amp;BF10,WeightedMinAge16),MAX(CapacityAge16*АбонементНовых*BF10,MeanMinAge16)))</f>
        <v/>
      </c>
      <c r="BG90" s="87">
        <f>IF(OR(('03_Сеть'!BG38-BG36)=0,16&lt;=КаникулыРоялти),0,('03_Сеть'!BG38-BG36)*IF(РоялтиПоГруппам="Да",MeanMinAge16+BG10*SUMIF(ThresholdAge16,"&lt;"&amp;BG10,WeightedRevAge16)-SUMIF(ThresholdAge16,"&lt;"&amp;BG10,WeightedMinAge16),MAX(CapacityAge16*АбонементНовых*BG10,MeanMinAge16)))</f>
        <v/>
      </c>
      <c r="BH90" s="87">
        <f>IF(OR(('03_Сеть'!BH38-BH36)=0,16&lt;=КаникулыРоялти),0,('03_Сеть'!BH38-BH36)*IF(РоялтиПоГруппам="Да",MeanMinAge16+BH10*SUMIF(ThresholdAge16,"&lt;"&amp;BH10,WeightedRevAge16)-SUMIF(ThresholdAge16,"&lt;"&amp;BH10,WeightedMinAge16),MAX(CapacityAge16*АбонементНовых*BH10,MeanMinAge16)))</f>
        <v/>
      </c>
      <c r="BI90" s="87">
        <f>IF(OR(('03_Сеть'!BI38-BI36)=0,16&lt;=КаникулыРоялти),0,('03_Сеть'!BI38-BI36)*IF(РоялтиПоГруппам="Да",MeanMinAge16+BI10*SUMIF(ThresholdAge16,"&lt;"&amp;BI10,WeightedRevAge16)-SUMIF(ThresholdAge16,"&lt;"&amp;BI10,WeightedMinAge16),MAX(CapacityAge16*АбонементНовых*BI10,MeanMinAge16)))</f>
        <v/>
      </c>
      <c r="BJ90" s="87">
        <f>IF(OR(('03_Сеть'!BJ38-BJ36)=0,16&lt;=КаникулыРоялти),0,('03_Сеть'!BJ38-BJ36)*IF(РоялтиПоГруппам="Да",MeanMinAge16+BJ10*SUMIF(ThresholdAge16,"&lt;"&amp;BJ10,WeightedRevAge16)-SUMIF(ThresholdAge16,"&lt;"&amp;BJ10,WeightedMinAge16),MAX(CapacityAge16*АбонементНовых*BJ10,MeanMinAge16)))</f>
        <v/>
      </c>
      <c r="BK90" s="87">
        <f>IF(OR(('03_Сеть'!BK38-BK36)=0,16&lt;=КаникулыРоялти),0,('03_Сеть'!BK38-BK36)*IF(РоялтиПоГруппам="Да",MeanMinAge16+BK10*SUMIF(ThresholdAge16,"&lt;"&amp;BK10,WeightedRevAge16)-SUMIF(ThresholdAge16,"&lt;"&amp;BK10,WeightedMinAge16),MAX(CapacityAge16*АбонементНовых*BK10,MeanMinAge16)))</f>
        <v/>
      </c>
      <c r="BL90" s="87">
        <f>IF(OR(('03_Сеть'!BL38-BL36)=0,16&lt;=КаникулыРоялти),0,('03_Сеть'!BL38-BL36)*IF(РоялтиПоГруппам="Да",MeanMinAge16+BL10*SUMIF(ThresholdAge16,"&lt;"&amp;BL10,WeightedRevAge16)-SUMIF(ThresholdAge16,"&lt;"&amp;BL10,WeightedMinAge16),MAX(CapacityAge16*АбонементНовых*BL10,MeanMinAge16)))</f>
        <v/>
      </c>
      <c r="BM90" s="87">
        <f>IF(OR(('03_Сеть'!BM38-BM36)=0,16&lt;=КаникулыРоялти),0,('03_Сеть'!BM38-BM36)*IF(РоялтиПоГруппам="Да",MeanMinAge16+BM10*SUMIF(ThresholdAge16,"&lt;"&amp;BM10,WeightedRevAge16)-SUMIF(ThresholdAge16,"&lt;"&amp;BM10,WeightedMinAge16),MAX(CapacityAge16*АбонементНовых*BM10,MeanMinAge16)))</f>
        <v/>
      </c>
      <c r="BN90" s="87">
        <f>IF(OR(('03_Сеть'!BN38-BN36)=0,16&lt;=КаникулыРоялти),0,('03_Сеть'!BN38-BN36)*IF(РоялтиПоГруппам="Да",MeanMinAge16+BN10*SUMIF(ThresholdAge16,"&lt;"&amp;BN10,WeightedRevAge16)-SUMIF(ThresholdAge16,"&lt;"&amp;BN10,WeightedMinAge16),MAX(CapacityAge16*АбонементНовых*BN10,MeanMinAge16)))</f>
        <v/>
      </c>
      <c r="BO90" s="87">
        <f>IF(OR(('03_Сеть'!BO38-BO36)=0,16&lt;=КаникулыРоялти),0,('03_Сеть'!BO38-BO36)*IF(РоялтиПоГруппам="Да",MeanMinAge16+BO10*SUMIF(ThresholdAge16,"&lt;"&amp;BO10,WeightedRevAge16)-SUMIF(ThresholdAge16,"&lt;"&amp;BO10,WeightedMinAge16),MAX(CapacityAge16*АбонементНовых*BO10,MeanMinAge16)))</f>
        <v/>
      </c>
      <c r="BP90" s="87">
        <f>IF(OR(('03_Сеть'!BP38-BP36)=0,16&lt;=КаникулыРоялти),0,('03_Сеть'!BP38-BP36)*IF(РоялтиПоГруппам="Да",MeanMinAge16+BP10*SUMIF(ThresholdAge16,"&lt;"&amp;BP10,WeightedRevAge16)-SUMIF(ThresholdAge16,"&lt;"&amp;BP10,WeightedMinAge16),MAX(CapacityAge16*АбонементНовых*BP10,MeanMinAge16)))</f>
        <v/>
      </c>
      <c r="BQ90" s="87">
        <f>IF(OR(('03_Сеть'!BQ38-BQ36)=0,16&lt;=КаникулыРоялти),0,('03_Сеть'!BQ38-BQ36)*IF(РоялтиПоГруппам="Да",MeanMinAge16+BQ10*SUMIF(ThresholdAge16,"&lt;"&amp;BQ10,WeightedRevAge16)-SUMIF(ThresholdAge16,"&lt;"&amp;BQ10,WeightedMinAge16),MAX(CapacityAge16*АбонементНовых*BQ10,MeanMinAge16)))</f>
        <v/>
      </c>
      <c r="BR90" s="87">
        <f>IF(OR(('03_Сеть'!BR38-BR36)=0,16&lt;=КаникулыРоялти),0,('03_Сеть'!BR38-BR36)*IF(РоялтиПоГруппам="Да",MeanMinAge16+BR10*SUMIF(ThresholdAge16,"&lt;"&amp;BR10,WeightedRevAge16)-SUMIF(ThresholdAge16,"&lt;"&amp;BR10,WeightedMinAge16),MAX(CapacityAge16*АбонементНовых*BR10,MeanMinAge16)))</f>
        <v/>
      </c>
      <c r="BS90" s="87">
        <f>IF(OR(('03_Сеть'!BS38-BS36)=0,16&lt;=КаникулыРоялти),0,('03_Сеть'!BS38-BS36)*IF(РоялтиПоГруппам="Да",MeanMinAge16+BS10*SUMIF(ThresholdAge16,"&lt;"&amp;BS10,WeightedRevAge16)-SUMIF(ThresholdAge16,"&lt;"&amp;BS10,WeightedMinAge16),MAX(CapacityAge16*АбонементНовых*BS10,MeanMinAge16)))</f>
        <v/>
      </c>
      <c r="BT90" s="87">
        <f>IF(OR(('03_Сеть'!BT38-BT36)=0,16&lt;=КаникулыРоялти),0,('03_Сеть'!BT38-BT36)*IF(РоялтиПоГруппам="Да",MeanMinAge16+BT10*SUMIF(ThresholdAge16,"&lt;"&amp;BT10,WeightedRevAge16)-SUMIF(ThresholdAge16,"&lt;"&amp;BT10,WeightedMinAge16),MAX(CapacityAge16*АбонементНовых*BT10,MeanMinAge16)))</f>
        <v/>
      </c>
      <c r="BU90" s="87">
        <f>IF(OR(('03_Сеть'!BU38-BU36)=0,16&lt;=КаникулыРоялти),0,('03_Сеть'!BU38-BU36)*IF(РоялтиПоГруппам="Да",MeanMinAge16+BU10*SUMIF(ThresholdAge16,"&lt;"&amp;BU10,WeightedRevAge16)-SUMIF(ThresholdAge16,"&lt;"&amp;BU10,WeightedMinAge16),MAX(CapacityAge16*АбонементНовых*BU10,MeanMinAge16)))</f>
        <v/>
      </c>
      <c r="BV90" s="87">
        <f>IF(OR(('03_Сеть'!BV38-BV36)=0,16&lt;=КаникулыРоялти),0,('03_Сеть'!BV38-BV36)*IF(РоялтиПоГруппам="Да",MeanMinAge16+BV10*SUMIF(ThresholdAge16,"&lt;"&amp;BV10,WeightedRevAge16)-SUMIF(ThresholdAge16,"&lt;"&amp;BV10,WeightedMinAge16),MAX(CapacityAge16*АбонементНовых*BV10,MeanMinAge16)))</f>
        <v/>
      </c>
      <c r="BW90" s="87">
        <f>IF(OR(('03_Сеть'!BW38-BW36)=0,16&lt;=КаникулыРоялти),0,('03_Сеть'!BW38-BW36)*IF(РоялтиПоГруппам="Да",MeanMinAge16+BW10*SUMIF(ThresholdAge16,"&lt;"&amp;BW10,WeightedRevAge16)-SUMIF(ThresholdAge16,"&lt;"&amp;BW10,WeightedMinAge16),MAX(CapacityAge16*АбонементНовых*BW10,MeanMinAge16)))</f>
        <v/>
      </c>
      <c r="BX90" s="87">
        <f>IF(OR(('03_Сеть'!BX38-BX36)=0,16&lt;=КаникулыРоялти),0,('03_Сеть'!BX38-BX36)*IF(РоялтиПоГруппам="Да",MeanMinAge16+BX10*SUMIF(ThresholdAge16,"&lt;"&amp;BX10,WeightedRevAge16)-SUMIF(ThresholdAge16,"&lt;"&amp;BX10,WeightedMinAge16),MAX(CapacityAge16*АбонементНовых*BX10,MeanMinAge16)))</f>
        <v/>
      </c>
      <c r="BY90" s="87">
        <f>IF(OR(('03_Сеть'!BY38-BY36)=0,16&lt;=КаникулыРоялти),0,('03_Сеть'!BY38-BY36)*IF(РоялтиПоГруппам="Да",MeanMinAge16+BY10*SUMIF(ThresholdAge16,"&lt;"&amp;BY10,WeightedRevAge16)-SUMIF(ThresholdAge16,"&lt;"&amp;BY10,WeightedMinAge16),MAX(CapacityAge16*АбонементНовых*BY10,MeanMinAge16)))</f>
        <v/>
      </c>
    </row>
    <row r="91" ht="15.75" customHeight="1" s="194">
      <c r="B91" s="56" t="inlineStr">
        <is>
          <t>17 мес.</t>
        </is>
      </c>
      <c r="C91" s="56" t="inlineStr">
        <is>
          <t>₽</t>
        </is>
      </c>
      <c r="D91" s="57" t="n"/>
      <c r="E91" s="85">
        <f>SUM(L91:W91)</f>
        <v/>
      </c>
      <c r="F91" s="85">
        <f>SUM(X91:AI91)</f>
        <v/>
      </c>
      <c r="G91" s="85">
        <f>SUM(AJ91:AU91)</f>
        <v/>
      </c>
      <c r="H91" s="85">
        <f>SUM(AV91:BG91)</f>
        <v/>
      </c>
      <c r="I91" s="85">
        <f>SUM(BH91:BS91)</f>
        <v/>
      </c>
      <c r="J91" s="86">
        <f>SUM(L91:BS91)</f>
        <v/>
      </c>
      <c r="L91" s="87">
        <f>IF(OR(('03_Сеть'!L39-L37)=0,17&lt;=КаникулыРоялти),0,('03_Сеть'!L39-L37)*IF(РоялтиПоГруппам="Да",MeanMinAge17+L10*SUMIF(ThresholdAge17,"&lt;"&amp;L10,WeightedRevAge17)-SUMIF(ThresholdAge17,"&lt;"&amp;L10,WeightedMinAge17),MAX(CapacityAge17*АбонементНовых*L10,MeanMinAge17)))</f>
        <v/>
      </c>
      <c r="M91" s="87">
        <f>IF(OR(('03_Сеть'!M39-M37)=0,17&lt;=КаникулыРоялти),0,('03_Сеть'!M39-M37)*IF(РоялтиПоГруппам="Да",MeanMinAge17+M10*SUMIF(ThresholdAge17,"&lt;"&amp;M10,WeightedRevAge17)-SUMIF(ThresholdAge17,"&lt;"&amp;M10,WeightedMinAge17),MAX(CapacityAge17*АбонементНовых*M10,MeanMinAge17)))</f>
        <v/>
      </c>
      <c r="N91" s="87">
        <f>IF(OR(('03_Сеть'!N39-N37)=0,17&lt;=КаникулыРоялти),0,('03_Сеть'!N39-N37)*IF(РоялтиПоГруппам="Да",MeanMinAge17+N10*SUMIF(ThresholdAge17,"&lt;"&amp;N10,WeightedRevAge17)-SUMIF(ThresholdAge17,"&lt;"&amp;N10,WeightedMinAge17),MAX(CapacityAge17*АбонементНовых*N10,MeanMinAge17)))</f>
        <v/>
      </c>
      <c r="O91" s="87">
        <f>IF(OR(('03_Сеть'!O39-O37)=0,17&lt;=КаникулыРоялти),0,('03_Сеть'!O39-O37)*IF(РоялтиПоГруппам="Да",MeanMinAge17+O10*SUMIF(ThresholdAge17,"&lt;"&amp;O10,WeightedRevAge17)-SUMIF(ThresholdAge17,"&lt;"&amp;O10,WeightedMinAge17),MAX(CapacityAge17*АбонементНовых*O10,MeanMinAge17)))</f>
        <v/>
      </c>
      <c r="P91" s="87">
        <f>IF(OR(('03_Сеть'!P39-P37)=0,17&lt;=КаникулыРоялти),0,('03_Сеть'!P39-P37)*IF(РоялтиПоГруппам="Да",MeanMinAge17+P10*SUMIF(ThresholdAge17,"&lt;"&amp;P10,WeightedRevAge17)-SUMIF(ThresholdAge17,"&lt;"&amp;P10,WeightedMinAge17),MAX(CapacityAge17*АбонементНовых*P10,MeanMinAge17)))</f>
        <v/>
      </c>
      <c r="Q91" s="87">
        <f>IF(OR(('03_Сеть'!Q39-Q37)=0,17&lt;=КаникулыРоялти),0,('03_Сеть'!Q39-Q37)*IF(РоялтиПоГруппам="Да",MeanMinAge17+Q10*SUMIF(ThresholdAge17,"&lt;"&amp;Q10,WeightedRevAge17)-SUMIF(ThresholdAge17,"&lt;"&amp;Q10,WeightedMinAge17),MAX(CapacityAge17*АбонементНовых*Q10,MeanMinAge17)))</f>
        <v/>
      </c>
      <c r="R91" s="87">
        <f>IF(OR(('03_Сеть'!R39-R37)=0,17&lt;=КаникулыРоялти),0,('03_Сеть'!R39-R37)*IF(РоялтиПоГруппам="Да",MeanMinAge17+R10*SUMIF(ThresholdAge17,"&lt;"&amp;R10,WeightedRevAge17)-SUMIF(ThresholdAge17,"&lt;"&amp;R10,WeightedMinAge17),MAX(CapacityAge17*АбонементНовых*R10,MeanMinAge17)))</f>
        <v/>
      </c>
      <c r="S91" s="87">
        <f>IF(OR(('03_Сеть'!S39-S37)=0,17&lt;=КаникулыРоялти),0,('03_Сеть'!S39-S37)*IF(РоялтиПоГруппам="Да",MeanMinAge17+S10*SUMIF(ThresholdAge17,"&lt;"&amp;S10,WeightedRevAge17)-SUMIF(ThresholdAge17,"&lt;"&amp;S10,WeightedMinAge17),MAX(CapacityAge17*АбонементНовых*S10,MeanMinAge17)))</f>
        <v/>
      </c>
      <c r="T91" s="87">
        <f>IF(OR(('03_Сеть'!T39-T37)=0,17&lt;=КаникулыРоялти),0,('03_Сеть'!T39-T37)*IF(РоялтиПоГруппам="Да",MeanMinAge17+T10*SUMIF(ThresholdAge17,"&lt;"&amp;T10,WeightedRevAge17)-SUMIF(ThresholdAge17,"&lt;"&amp;T10,WeightedMinAge17),MAX(CapacityAge17*АбонементНовых*T10,MeanMinAge17)))</f>
        <v/>
      </c>
      <c r="U91" s="87">
        <f>IF(OR(('03_Сеть'!U39-U37)=0,17&lt;=КаникулыРоялти),0,('03_Сеть'!U39-U37)*IF(РоялтиПоГруппам="Да",MeanMinAge17+U10*SUMIF(ThresholdAge17,"&lt;"&amp;U10,WeightedRevAge17)-SUMIF(ThresholdAge17,"&lt;"&amp;U10,WeightedMinAge17),MAX(CapacityAge17*АбонементНовых*U10,MeanMinAge17)))</f>
        <v/>
      </c>
      <c r="V91" s="87">
        <f>IF(OR(('03_Сеть'!V39-V37)=0,17&lt;=КаникулыРоялти),0,('03_Сеть'!V39-V37)*IF(РоялтиПоГруппам="Да",MeanMinAge17+V10*SUMIF(ThresholdAge17,"&lt;"&amp;V10,WeightedRevAge17)-SUMIF(ThresholdAge17,"&lt;"&amp;V10,WeightedMinAge17),MAX(CapacityAge17*АбонементНовых*V10,MeanMinAge17)))</f>
        <v/>
      </c>
      <c r="W91" s="87">
        <f>IF(OR(('03_Сеть'!W39-W37)=0,17&lt;=КаникулыРоялти),0,('03_Сеть'!W39-W37)*IF(РоялтиПоГруппам="Да",MeanMinAge17+W10*SUMIF(ThresholdAge17,"&lt;"&amp;W10,WeightedRevAge17)-SUMIF(ThresholdAge17,"&lt;"&amp;W10,WeightedMinAge17),MAX(CapacityAge17*АбонементНовых*W10,MeanMinAge17)))</f>
        <v/>
      </c>
      <c r="X91" s="87">
        <f>IF(OR(('03_Сеть'!X39-X37)=0,17&lt;=КаникулыРоялти),0,('03_Сеть'!X39-X37)*IF(РоялтиПоГруппам="Да",MeanMinAge17+X10*SUMIF(ThresholdAge17,"&lt;"&amp;X10,WeightedRevAge17)-SUMIF(ThresholdAge17,"&lt;"&amp;X10,WeightedMinAge17),MAX(CapacityAge17*АбонементНовых*X10,MeanMinAge17)))</f>
        <v/>
      </c>
      <c r="Y91" s="87">
        <f>IF(OR(('03_Сеть'!Y39-Y37)=0,17&lt;=КаникулыРоялти),0,('03_Сеть'!Y39-Y37)*IF(РоялтиПоГруппам="Да",MeanMinAge17+Y10*SUMIF(ThresholdAge17,"&lt;"&amp;Y10,WeightedRevAge17)-SUMIF(ThresholdAge17,"&lt;"&amp;Y10,WeightedMinAge17),MAX(CapacityAge17*АбонементНовых*Y10,MeanMinAge17)))</f>
        <v/>
      </c>
      <c r="Z91" s="87">
        <f>IF(OR(('03_Сеть'!Z39-Z37)=0,17&lt;=КаникулыРоялти),0,('03_Сеть'!Z39-Z37)*IF(РоялтиПоГруппам="Да",MeanMinAge17+Z10*SUMIF(ThresholdAge17,"&lt;"&amp;Z10,WeightedRevAge17)-SUMIF(ThresholdAge17,"&lt;"&amp;Z10,WeightedMinAge17),MAX(CapacityAge17*АбонементНовых*Z10,MeanMinAge17)))</f>
        <v/>
      </c>
      <c r="AA91" s="87">
        <f>IF(OR(('03_Сеть'!AA39-AA37)=0,17&lt;=КаникулыРоялти),0,('03_Сеть'!AA39-AA37)*IF(РоялтиПоГруппам="Да",MeanMinAge17+AA10*SUMIF(ThresholdAge17,"&lt;"&amp;AA10,WeightedRevAge17)-SUMIF(ThresholdAge17,"&lt;"&amp;AA10,WeightedMinAge17),MAX(CapacityAge17*АбонементНовых*AA10,MeanMinAge17)))</f>
        <v/>
      </c>
      <c r="AB91" s="87">
        <f>IF(OR(('03_Сеть'!AB39-AB37)=0,17&lt;=КаникулыРоялти),0,('03_Сеть'!AB39-AB37)*IF(РоялтиПоГруппам="Да",MeanMinAge17+AB10*SUMIF(ThresholdAge17,"&lt;"&amp;AB10,WeightedRevAge17)-SUMIF(ThresholdAge17,"&lt;"&amp;AB10,WeightedMinAge17),MAX(CapacityAge17*АбонементНовых*AB10,MeanMinAge17)))</f>
        <v/>
      </c>
      <c r="AC91" s="87">
        <f>IF(OR(('03_Сеть'!AC39-AC37)=0,17&lt;=КаникулыРоялти),0,('03_Сеть'!AC39-AC37)*IF(РоялтиПоГруппам="Да",MeanMinAge17+AC10*SUMIF(ThresholdAge17,"&lt;"&amp;AC10,WeightedRevAge17)-SUMIF(ThresholdAge17,"&lt;"&amp;AC10,WeightedMinAge17),MAX(CapacityAge17*АбонементНовых*AC10,MeanMinAge17)))</f>
        <v/>
      </c>
      <c r="AD91" s="87">
        <f>IF(OR(('03_Сеть'!AD39-AD37)=0,17&lt;=КаникулыРоялти),0,('03_Сеть'!AD39-AD37)*IF(РоялтиПоГруппам="Да",MeanMinAge17+AD10*SUMIF(ThresholdAge17,"&lt;"&amp;AD10,WeightedRevAge17)-SUMIF(ThresholdAge17,"&lt;"&amp;AD10,WeightedMinAge17),MAX(CapacityAge17*АбонементНовых*AD10,MeanMinAge17)))</f>
        <v/>
      </c>
      <c r="AE91" s="87">
        <f>IF(OR(('03_Сеть'!AE39-AE37)=0,17&lt;=КаникулыРоялти),0,('03_Сеть'!AE39-AE37)*IF(РоялтиПоГруппам="Да",MeanMinAge17+AE10*SUMIF(ThresholdAge17,"&lt;"&amp;AE10,WeightedRevAge17)-SUMIF(ThresholdAge17,"&lt;"&amp;AE10,WeightedMinAge17),MAX(CapacityAge17*АбонементНовых*AE10,MeanMinAge17)))</f>
        <v/>
      </c>
      <c r="AF91" s="87">
        <f>IF(OR(('03_Сеть'!AF39-AF37)=0,17&lt;=КаникулыРоялти),0,('03_Сеть'!AF39-AF37)*IF(РоялтиПоГруппам="Да",MeanMinAge17+AF10*SUMIF(ThresholdAge17,"&lt;"&amp;AF10,WeightedRevAge17)-SUMIF(ThresholdAge17,"&lt;"&amp;AF10,WeightedMinAge17),MAX(CapacityAge17*АбонементНовых*AF10,MeanMinAge17)))</f>
        <v/>
      </c>
      <c r="AG91" s="87">
        <f>IF(OR(('03_Сеть'!AG39-AG37)=0,17&lt;=КаникулыРоялти),0,('03_Сеть'!AG39-AG37)*IF(РоялтиПоГруппам="Да",MeanMinAge17+AG10*SUMIF(ThresholdAge17,"&lt;"&amp;AG10,WeightedRevAge17)-SUMIF(ThresholdAge17,"&lt;"&amp;AG10,WeightedMinAge17),MAX(CapacityAge17*АбонементНовых*AG10,MeanMinAge17)))</f>
        <v/>
      </c>
      <c r="AH91" s="87">
        <f>IF(OR(('03_Сеть'!AH39-AH37)=0,17&lt;=КаникулыРоялти),0,('03_Сеть'!AH39-AH37)*IF(РоялтиПоГруппам="Да",MeanMinAge17+AH10*SUMIF(ThresholdAge17,"&lt;"&amp;AH10,WeightedRevAge17)-SUMIF(ThresholdAge17,"&lt;"&amp;AH10,WeightedMinAge17),MAX(CapacityAge17*АбонементНовых*AH10,MeanMinAge17)))</f>
        <v/>
      </c>
      <c r="AI91" s="87">
        <f>IF(OR(('03_Сеть'!AI39-AI37)=0,17&lt;=КаникулыРоялти),0,('03_Сеть'!AI39-AI37)*IF(РоялтиПоГруппам="Да",MeanMinAge17+AI10*SUMIF(ThresholdAge17,"&lt;"&amp;AI10,WeightedRevAge17)-SUMIF(ThresholdAge17,"&lt;"&amp;AI10,WeightedMinAge17),MAX(CapacityAge17*АбонементНовых*AI10,MeanMinAge17)))</f>
        <v/>
      </c>
      <c r="AJ91" s="87">
        <f>IF(OR(('03_Сеть'!AJ39-AJ37)=0,17&lt;=КаникулыРоялти),0,('03_Сеть'!AJ39-AJ37)*IF(РоялтиПоГруппам="Да",MeanMinAge17+AJ10*SUMIF(ThresholdAge17,"&lt;"&amp;AJ10,WeightedRevAge17)-SUMIF(ThresholdAge17,"&lt;"&amp;AJ10,WeightedMinAge17),MAX(CapacityAge17*АбонементНовых*AJ10,MeanMinAge17)))</f>
        <v/>
      </c>
      <c r="AK91" s="87">
        <f>IF(OR(('03_Сеть'!AK39-AK37)=0,17&lt;=КаникулыРоялти),0,('03_Сеть'!AK39-AK37)*IF(РоялтиПоГруппам="Да",MeanMinAge17+AK10*SUMIF(ThresholdAge17,"&lt;"&amp;AK10,WeightedRevAge17)-SUMIF(ThresholdAge17,"&lt;"&amp;AK10,WeightedMinAge17),MAX(CapacityAge17*АбонементНовых*AK10,MeanMinAge17)))</f>
        <v/>
      </c>
      <c r="AL91" s="87">
        <f>IF(OR(('03_Сеть'!AL39-AL37)=0,17&lt;=КаникулыРоялти),0,('03_Сеть'!AL39-AL37)*IF(РоялтиПоГруппам="Да",MeanMinAge17+AL10*SUMIF(ThresholdAge17,"&lt;"&amp;AL10,WeightedRevAge17)-SUMIF(ThresholdAge17,"&lt;"&amp;AL10,WeightedMinAge17),MAX(CapacityAge17*АбонементНовых*AL10,MeanMinAge17)))</f>
        <v/>
      </c>
      <c r="AM91" s="87">
        <f>IF(OR(('03_Сеть'!AM39-AM37)=0,17&lt;=КаникулыРоялти),0,('03_Сеть'!AM39-AM37)*IF(РоялтиПоГруппам="Да",MeanMinAge17+AM10*SUMIF(ThresholdAge17,"&lt;"&amp;AM10,WeightedRevAge17)-SUMIF(ThresholdAge17,"&lt;"&amp;AM10,WeightedMinAge17),MAX(CapacityAge17*АбонементНовых*AM10,MeanMinAge17)))</f>
        <v/>
      </c>
      <c r="AN91" s="87">
        <f>IF(OR(('03_Сеть'!AN39-AN37)=0,17&lt;=КаникулыРоялти),0,('03_Сеть'!AN39-AN37)*IF(РоялтиПоГруппам="Да",MeanMinAge17+AN10*SUMIF(ThresholdAge17,"&lt;"&amp;AN10,WeightedRevAge17)-SUMIF(ThresholdAge17,"&lt;"&amp;AN10,WeightedMinAge17),MAX(CapacityAge17*АбонементНовых*AN10,MeanMinAge17)))</f>
        <v/>
      </c>
      <c r="AO91" s="87">
        <f>IF(OR(('03_Сеть'!AO39-AO37)=0,17&lt;=КаникулыРоялти),0,('03_Сеть'!AO39-AO37)*IF(РоялтиПоГруппам="Да",MeanMinAge17+AO10*SUMIF(ThresholdAge17,"&lt;"&amp;AO10,WeightedRevAge17)-SUMIF(ThresholdAge17,"&lt;"&amp;AO10,WeightedMinAge17),MAX(CapacityAge17*АбонементНовых*AO10,MeanMinAge17)))</f>
        <v/>
      </c>
      <c r="AP91" s="87">
        <f>IF(OR(('03_Сеть'!AP39-AP37)=0,17&lt;=КаникулыРоялти),0,('03_Сеть'!AP39-AP37)*IF(РоялтиПоГруппам="Да",MeanMinAge17+AP10*SUMIF(ThresholdAge17,"&lt;"&amp;AP10,WeightedRevAge17)-SUMIF(ThresholdAge17,"&lt;"&amp;AP10,WeightedMinAge17),MAX(CapacityAge17*АбонементНовых*AP10,MeanMinAge17)))</f>
        <v/>
      </c>
      <c r="AQ91" s="87">
        <f>IF(OR(('03_Сеть'!AQ39-AQ37)=0,17&lt;=КаникулыРоялти),0,('03_Сеть'!AQ39-AQ37)*IF(РоялтиПоГруппам="Да",MeanMinAge17+AQ10*SUMIF(ThresholdAge17,"&lt;"&amp;AQ10,WeightedRevAge17)-SUMIF(ThresholdAge17,"&lt;"&amp;AQ10,WeightedMinAge17),MAX(CapacityAge17*АбонементНовых*AQ10,MeanMinAge17)))</f>
        <v/>
      </c>
      <c r="AR91" s="87">
        <f>IF(OR(('03_Сеть'!AR39-AR37)=0,17&lt;=КаникулыРоялти),0,('03_Сеть'!AR39-AR37)*IF(РоялтиПоГруппам="Да",MeanMinAge17+AR10*SUMIF(ThresholdAge17,"&lt;"&amp;AR10,WeightedRevAge17)-SUMIF(ThresholdAge17,"&lt;"&amp;AR10,WeightedMinAge17),MAX(CapacityAge17*АбонементНовых*AR10,MeanMinAge17)))</f>
        <v/>
      </c>
      <c r="AS91" s="87">
        <f>IF(OR(('03_Сеть'!AS39-AS37)=0,17&lt;=КаникулыРоялти),0,('03_Сеть'!AS39-AS37)*IF(РоялтиПоГруппам="Да",MeanMinAge17+AS10*SUMIF(ThresholdAge17,"&lt;"&amp;AS10,WeightedRevAge17)-SUMIF(ThresholdAge17,"&lt;"&amp;AS10,WeightedMinAge17),MAX(CapacityAge17*АбонементНовых*AS10,MeanMinAge17)))</f>
        <v/>
      </c>
      <c r="AT91" s="87">
        <f>IF(OR(('03_Сеть'!AT39-AT37)=0,17&lt;=КаникулыРоялти),0,('03_Сеть'!AT39-AT37)*IF(РоялтиПоГруппам="Да",MeanMinAge17+AT10*SUMIF(ThresholdAge17,"&lt;"&amp;AT10,WeightedRevAge17)-SUMIF(ThresholdAge17,"&lt;"&amp;AT10,WeightedMinAge17),MAX(CapacityAge17*АбонементНовых*AT10,MeanMinAge17)))</f>
        <v/>
      </c>
      <c r="AU91" s="87">
        <f>IF(OR(('03_Сеть'!AU39-AU37)=0,17&lt;=КаникулыРоялти),0,('03_Сеть'!AU39-AU37)*IF(РоялтиПоГруппам="Да",MeanMinAge17+AU10*SUMIF(ThresholdAge17,"&lt;"&amp;AU10,WeightedRevAge17)-SUMIF(ThresholdAge17,"&lt;"&amp;AU10,WeightedMinAge17),MAX(CapacityAge17*АбонементНовых*AU10,MeanMinAge17)))</f>
        <v/>
      </c>
      <c r="AV91" s="87">
        <f>IF(OR(('03_Сеть'!AV39-AV37)=0,17&lt;=КаникулыРоялти),0,('03_Сеть'!AV39-AV37)*IF(РоялтиПоГруппам="Да",MeanMinAge17+AV10*SUMIF(ThresholdAge17,"&lt;"&amp;AV10,WeightedRevAge17)-SUMIF(ThresholdAge17,"&lt;"&amp;AV10,WeightedMinAge17),MAX(CapacityAge17*АбонементНовых*AV10,MeanMinAge17)))</f>
        <v/>
      </c>
      <c r="AW91" s="87">
        <f>IF(OR(('03_Сеть'!AW39-AW37)=0,17&lt;=КаникулыРоялти),0,('03_Сеть'!AW39-AW37)*IF(РоялтиПоГруппам="Да",MeanMinAge17+AW10*SUMIF(ThresholdAge17,"&lt;"&amp;AW10,WeightedRevAge17)-SUMIF(ThresholdAge17,"&lt;"&amp;AW10,WeightedMinAge17),MAX(CapacityAge17*АбонементНовых*AW10,MeanMinAge17)))</f>
        <v/>
      </c>
      <c r="AX91" s="87">
        <f>IF(OR(('03_Сеть'!AX39-AX37)=0,17&lt;=КаникулыРоялти),0,('03_Сеть'!AX39-AX37)*IF(РоялтиПоГруппам="Да",MeanMinAge17+AX10*SUMIF(ThresholdAge17,"&lt;"&amp;AX10,WeightedRevAge17)-SUMIF(ThresholdAge17,"&lt;"&amp;AX10,WeightedMinAge17),MAX(CapacityAge17*АбонементНовых*AX10,MeanMinAge17)))</f>
        <v/>
      </c>
      <c r="AY91" s="87">
        <f>IF(OR(('03_Сеть'!AY39-AY37)=0,17&lt;=КаникулыРоялти),0,('03_Сеть'!AY39-AY37)*IF(РоялтиПоГруппам="Да",MeanMinAge17+AY10*SUMIF(ThresholdAge17,"&lt;"&amp;AY10,WeightedRevAge17)-SUMIF(ThresholdAge17,"&lt;"&amp;AY10,WeightedMinAge17),MAX(CapacityAge17*АбонементНовых*AY10,MeanMinAge17)))</f>
        <v/>
      </c>
      <c r="AZ91" s="87">
        <f>IF(OR(('03_Сеть'!AZ39-AZ37)=0,17&lt;=КаникулыРоялти),0,('03_Сеть'!AZ39-AZ37)*IF(РоялтиПоГруппам="Да",MeanMinAge17+AZ10*SUMIF(ThresholdAge17,"&lt;"&amp;AZ10,WeightedRevAge17)-SUMIF(ThresholdAge17,"&lt;"&amp;AZ10,WeightedMinAge17),MAX(CapacityAge17*АбонементНовых*AZ10,MeanMinAge17)))</f>
        <v/>
      </c>
      <c r="BA91" s="87">
        <f>IF(OR(('03_Сеть'!BA39-BA37)=0,17&lt;=КаникулыРоялти),0,('03_Сеть'!BA39-BA37)*IF(РоялтиПоГруппам="Да",MeanMinAge17+BA10*SUMIF(ThresholdAge17,"&lt;"&amp;BA10,WeightedRevAge17)-SUMIF(ThresholdAge17,"&lt;"&amp;BA10,WeightedMinAge17),MAX(CapacityAge17*АбонементНовых*BA10,MeanMinAge17)))</f>
        <v/>
      </c>
      <c r="BB91" s="87">
        <f>IF(OR(('03_Сеть'!BB39-BB37)=0,17&lt;=КаникулыРоялти),0,('03_Сеть'!BB39-BB37)*IF(РоялтиПоГруппам="Да",MeanMinAge17+BB10*SUMIF(ThresholdAge17,"&lt;"&amp;BB10,WeightedRevAge17)-SUMIF(ThresholdAge17,"&lt;"&amp;BB10,WeightedMinAge17),MAX(CapacityAge17*АбонементНовых*BB10,MeanMinAge17)))</f>
        <v/>
      </c>
      <c r="BC91" s="87">
        <f>IF(OR(('03_Сеть'!BC39-BC37)=0,17&lt;=КаникулыРоялти),0,('03_Сеть'!BC39-BC37)*IF(РоялтиПоГруппам="Да",MeanMinAge17+BC10*SUMIF(ThresholdAge17,"&lt;"&amp;BC10,WeightedRevAge17)-SUMIF(ThresholdAge17,"&lt;"&amp;BC10,WeightedMinAge17),MAX(CapacityAge17*АбонементНовых*BC10,MeanMinAge17)))</f>
        <v/>
      </c>
      <c r="BD91" s="87">
        <f>IF(OR(('03_Сеть'!BD39-BD37)=0,17&lt;=КаникулыРоялти),0,('03_Сеть'!BD39-BD37)*IF(РоялтиПоГруппам="Да",MeanMinAge17+BD10*SUMIF(ThresholdAge17,"&lt;"&amp;BD10,WeightedRevAge17)-SUMIF(ThresholdAge17,"&lt;"&amp;BD10,WeightedMinAge17),MAX(CapacityAge17*АбонементНовых*BD10,MeanMinAge17)))</f>
        <v/>
      </c>
      <c r="BE91" s="87">
        <f>IF(OR(('03_Сеть'!BE39-BE37)=0,17&lt;=КаникулыРоялти),0,('03_Сеть'!BE39-BE37)*IF(РоялтиПоГруппам="Да",MeanMinAge17+BE10*SUMIF(ThresholdAge17,"&lt;"&amp;BE10,WeightedRevAge17)-SUMIF(ThresholdAge17,"&lt;"&amp;BE10,WeightedMinAge17),MAX(CapacityAge17*АбонементНовых*BE10,MeanMinAge17)))</f>
        <v/>
      </c>
      <c r="BF91" s="87">
        <f>IF(OR(('03_Сеть'!BF39-BF37)=0,17&lt;=КаникулыРоялти),0,('03_Сеть'!BF39-BF37)*IF(РоялтиПоГруппам="Да",MeanMinAge17+BF10*SUMIF(ThresholdAge17,"&lt;"&amp;BF10,WeightedRevAge17)-SUMIF(ThresholdAge17,"&lt;"&amp;BF10,WeightedMinAge17),MAX(CapacityAge17*АбонементНовых*BF10,MeanMinAge17)))</f>
        <v/>
      </c>
      <c r="BG91" s="87">
        <f>IF(OR(('03_Сеть'!BG39-BG37)=0,17&lt;=КаникулыРоялти),0,('03_Сеть'!BG39-BG37)*IF(РоялтиПоГруппам="Да",MeanMinAge17+BG10*SUMIF(ThresholdAge17,"&lt;"&amp;BG10,WeightedRevAge17)-SUMIF(ThresholdAge17,"&lt;"&amp;BG10,WeightedMinAge17),MAX(CapacityAge17*АбонементНовых*BG10,MeanMinAge17)))</f>
        <v/>
      </c>
      <c r="BH91" s="87">
        <f>IF(OR(('03_Сеть'!BH39-BH37)=0,17&lt;=КаникулыРоялти),0,('03_Сеть'!BH39-BH37)*IF(РоялтиПоГруппам="Да",MeanMinAge17+BH10*SUMIF(ThresholdAge17,"&lt;"&amp;BH10,WeightedRevAge17)-SUMIF(ThresholdAge17,"&lt;"&amp;BH10,WeightedMinAge17),MAX(CapacityAge17*АбонементНовых*BH10,MeanMinAge17)))</f>
        <v/>
      </c>
      <c r="BI91" s="87">
        <f>IF(OR(('03_Сеть'!BI39-BI37)=0,17&lt;=КаникулыРоялти),0,('03_Сеть'!BI39-BI37)*IF(РоялтиПоГруппам="Да",MeanMinAge17+BI10*SUMIF(ThresholdAge17,"&lt;"&amp;BI10,WeightedRevAge17)-SUMIF(ThresholdAge17,"&lt;"&amp;BI10,WeightedMinAge17),MAX(CapacityAge17*АбонементНовых*BI10,MeanMinAge17)))</f>
        <v/>
      </c>
      <c r="BJ91" s="87">
        <f>IF(OR(('03_Сеть'!BJ39-BJ37)=0,17&lt;=КаникулыРоялти),0,('03_Сеть'!BJ39-BJ37)*IF(РоялтиПоГруппам="Да",MeanMinAge17+BJ10*SUMIF(ThresholdAge17,"&lt;"&amp;BJ10,WeightedRevAge17)-SUMIF(ThresholdAge17,"&lt;"&amp;BJ10,WeightedMinAge17),MAX(CapacityAge17*АбонементНовых*BJ10,MeanMinAge17)))</f>
        <v/>
      </c>
      <c r="BK91" s="87">
        <f>IF(OR(('03_Сеть'!BK39-BK37)=0,17&lt;=КаникулыРоялти),0,('03_Сеть'!BK39-BK37)*IF(РоялтиПоГруппам="Да",MeanMinAge17+BK10*SUMIF(ThresholdAge17,"&lt;"&amp;BK10,WeightedRevAge17)-SUMIF(ThresholdAge17,"&lt;"&amp;BK10,WeightedMinAge17),MAX(CapacityAge17*АбонементНовых*BK10,MeanMinAge17)))</f>
        <v/>
      </c>
      <c r="BL91" s="87">
        <f>IF(OR(('03_Сеть'!BL39-BL37)=0,17&lt;=КаникулыРоялти),0,('03_Сеть'!BL39-BL37)*IF(РоялтиПоГруппам="Да",MeanMinAge17+BL10*SUMIF(ThresholdAge17,"&lt;"&amp;BL10,WeightedRevAge17)-SUMIF(ThresholdAge17,"&lt;"&amp;BL10,WeightedMinAge17),MAX(CapacityAge17*АбонементНовых*BL10,MeanMinAge17)))</f>
        <v/>
      </c>
      <c r="BM91" s="87">
        <f>IF(OR(('03_Сеть'!BM39-BM37)=0,17&lt;=КаникулыРоялти),0,('03_Сеть'!BM39-BM37)*IF(РоялтиПоГруппам="Да",MeanMinAge17+BM10*SUMIF(ThresholdAge17,"&lt;"&amp;BM10,WeightedRevAge17)-SUMIF(ThresholdAge17,"&lt;"&amp;BM10,WeightedMinAge17),MAX(CapacityAge17*АбонементНовых*BM10,MeanMinAge17)))</f>
        <v/>
      </c>
      <c r="BN91" s="87">
        <f>IF(OR(('03_Сеть'!BN39-BN37)=0,17&lt;=КаникулыРоялти),0,('03_Сеть'!BN39-BN37)*IF(РоялтиПоГруппам="Да",MeanMinAge17+BN10*SUMIF(ThresholdAge17,"&lt;"&amp;BN10,WeightedRevAge17)-SUMIF(ThresholdAge17,"&lt;"&amp;BN10,WeightedMinAge17),MAX(CapacityAge17*АбонементНовых*BN10,MeanMinAge17)))</f>
        <v/>
      </c>
      <c r="BO91" s="87">
        <f>IF(OR(('03_Сеть'!BO39-BO37)=0,17&lt;=КаникулыРоялти),0,('03_Сеть'!BO39-BO37)*IF(РоялтиПоГруппам="Да",MeanMinAge17+BO10*SUMIF(ThresholdAge17,"&lt;"&amp;BO10,WeightedRevAge17)-SUMIF(ThresholdAge17,"&lt;"&amp;BO10,WeightedMinAge17),MAX(CapacityAge17*АбонементНовых*BO10,MeanMinAge17)))</f>
        <v/>
      </c>
      <c r="BP91" s="87">
        <f>IF(OR(('03_Сеть'!BP39-BP37)=0,17&lt;=КаникулыРоялти),0,('03_Сеть'!BP39-BP37)*IF(РоялтиПоГруппам="Да",MeanMinAge17+BP10*SUMIF(ThresholdAge17,"&lt;"&amp;BP10,WeightedRevAge17)-SUMIF(ThresholdAge17,"&lt;"&amp;BP10,WeightedMinAge17),MAX(CapacityAge17*АбонементНовых*BP10,MeanMinAge17)))</f>
        <v/>
      </c>
      <c r="BQ91" s="87">
        <f>IF(OR(('03_Сеть'!BQ39-BQ37)=0,17&lt;=КаникулыРоялти),0,('03_Сеть'!BQ39-BQ37)*IF(РоялтиПоГруппам="Да",MeanMinAge17+BQ10*SUMIF(ThresholdAge17,"&lt;"&amp;BQ10,WeightedRevAge17)-SUMIF(ThresholdAge17,"&lt;"&amp;BQ10,WeightedMinAge17),MAX(CapacityAge17*АбонементНовых*BQ10,MeanMinAge17)))</f>
        <v/>
      </c>
      <c r="BR91" s="87">
        <f>IF(OR(('03_Сеть'!BR39-BR37)=0,17&lt;=КаникулыРоялти),0,('03_Сеть'!BR39-BR37)*IF(РоялтиПоГруппам="Да",MeanMinAge17+BR10*SUMIF(ThresholdAge17,"&lt;"&amp;BR10,WeightedRevAge17)-SUMIF(ThresholdAge17,"&lt;"&amp;BR10,WeightedMinAge17),MAX(CapacityAge17*АбонементНовых*BR10,MeanMinAge17)))</f>
        <v/>
      </c>
      <c r="BS91" s="87">
        <f>IF(OR(('03_Сеть'!BS39-BS37)=0,17&lt;=КаникулыРоялти),0,('03_Сеть'!BS39-BS37)*IF(РоялтиПоГруппам="Да",MeanMinAge17+BS10*SUMIF(ThresholdAge17,"&lt;"&amp;BS10,WeightedRevAge17)-SUMIF(ThresholdAge17,"&lt;"&amp;BS10,WeightedMinAge17),MAX(CapacityAge17*АбонементНовых*BS10,MeanMinAge17)))</f>
        <v/>
      </c>
      <c r="BT91" s="87">
        <f>IF(OR(('03_Сеть'!BT39-BT37)=0,17&lt;=КаникулыРоялти),0,('03_Сеть'!BT39-BT37)*IF(РоялтиПоГруппам="Да",MeanMinAge17+BT10*SUMIF(ThresholdAge17,"&lt;"&amp;BT10,WeightedRevAge17)-SUMIF(ThresholdAge17,"&lt;"&amp;BT10,WeightedMinAge17),MAX(CapacityAge17*АбонементНовых*BT10,MeanMinAge17)))</f>
        <v/>
      </c>
      <c r="BU91" s="87">
        <f>IF(OR(('03_Сеть'!BU39-BU37)=0,17&lt;=КаникулыРоялти),0,('03_Сеть'!BU39-BU37)*IF(РоялтиПоГруппам="Да",MeanMinAge17+BU10*SUMIF(ThresholdAge17,"&lt;"&amp;BU10,WeightedRevAge17)-SUMIF(ThresholdAge17,"&lt;"&amp;BU10,WeightedMinAge17),MAX(CapacityAge17*АбонементНовых*BU10,MeanMinAge17)))</f>
        <v/>
      </c>
      <c r="BV91" s="87">
        <f>IF(OR(('03_Сеть'!BV39-BV37)=0,17&lt;=КаникулыРоялти),0,('03_Сеть'!BV39-BV37)*IF(РоялтиПоГруппам="Да",MeanMinAge17+BV10*SUMIF(ThresholdAge17,"&lt;"&amp;BV10,WeightedRevAge17)-SUMIF(ThresholdAge17,"&lt;"&amp;BV10,WeightedMinAge17),MAX(CapacityAge17*АбонементНовых*BV10,MeanMinAge17)))</f>
        <v/>
      </c>
      <c r="BW91" s="87">
        <f>IF(OR(('03_Сеть'!BW39-BW37)=0,17&lt;=КаникулыРоялти),0,('03_Сеть'!BW39-BW37)*IF(РоялтиПоГруппам="Да",MeanMinAge17+BW10*SUMIF(ThresholdAge17,"&lt;"&amp;BW10,WeightedRevAge17)-SUMIF(ThresholdAge17,"&lt;"&amp;BW10,WeightedMinAge17),MAX(CapacityAge17*АбонементНовых*BW10,MeanMinAge17)))</f>
        <v/>
      </c>
      <c r="BX91" s="87">
        <f>IF(OR(('03_Сеть'!BX39-BX37)=0,17&lt;=КаникулыРоялти),0,('03_Сеть'!BX39-BX37)*IF(РоялтиПоГруппам="Да",MeanMinAge17+BX10*SUMIF(ThresholdAge17,"&lt;"&amp;BX10,WeightedRevAge17)-SUMIF(ThresholdAge17,"&lt;"&amp;BX10,WeightedMinAge17),MAX(CapacityAge17*АбонементНовых*BX10,MeanMinAge17)))</f>
        <v/>
      </c>
      <c r="BY91" s="87">
        <f>IF(OR(('03_Сеть'!BY39-BY37)=0,17&lt;=КаникулыРоялти),0,('03_Сеть'!BY39-BY37)*IF(РоялтиПоГруппам="Да",MeanMinAge17+BY10*SUMIF(ThresholdAge17,"&lt;"&amp;BY10,WeightedRevAge17)-SUMIF(ThresholdAge17,"&lt;"&amp;BY10,WeightedMinAge17),MAX(CapacityAge17*АбонементНовых*BY10,MeanMinAge17)))</f>
        <v/>
      </c>
    </row>
    <row r="92" ht="15.75" customHeight="1" s="194">
      <c r="B92" s="56" t="inlineStr">
        <is>
          <t>18 мес.</t>
        </is>
      </c>
      <c r="C92" s="56" t="inlineStr">
        <is>
          <t>₽</t>
        </is>
      </c>
      <c r="D92" s="57" t="n"/>
      <c r="E92" s="85">
        <f>SUM(L92:W92)</f>
        <v/>
      </c>
      <c r="F92" s="85">
        <f>SUM(X92:AI92)</f>
        <v/>
      </c>
      <c r="G92" s="85">
        <f>SUM(AJ92:AU92)</f>
        <v/>
      </c>
      <c r="H92" s="85">
        <f>SUM(AV92:BG92)</f>
        <v/>
      </c>
      <c r="I92" s="85">
        <f>SUM(BH92:BS92)</f>
        <v/>
      </c>
      <c r="J92" s="86">
        <f>SUM(L92:BS92)</f>
        <v/>
      </c>
      <c r="L92" s="87">
        <f>IF(OR(('03_Сеть'!L40-L38)=0,18&lt;=КаникулыРоялти),0,('03_Сеть'!L40-L38)*IF(РоялтиПоГруппам="Да",MeanMinAge18+L10*SUMIF(ThresholdAge18,"&lt;"&amp;L10,WeightedRevAge18)-SUMIF(ThresholdAge18,"&lt;"&amp;L10,WeightedMinAge18),MAX(CapacityAge18*АбонементНовых*L10,MeanMinAge18)))</f>
        <v/>
      </c>
      <c r="M92" s="87">
        <f>IF(OR(('03_Сеть'!M40-M38)=0,18&lt;=КаникулыРоялти),0,('03_Сеть'!M40-M38)*IF(РоялтиПоГруппам="Да",MeanMinAge18+M10*SUMIF(ThresholdAge18,"&lt;"&amp;M10,WeightedRevAge18)-SUMIF(ThresholdAge18,"&lt;"&amp;M10,WeightedMinAge18),MAX(CapacityAge18*АбонементНовых*M10,MeanMinAge18)))</f>
        <v/>
      </c>
      <c r="N92" s="87">
        <f>IF(OR(('03_Сеть'!N40-N38)=0,18&lt;=КаникулыРоялти),0,('03_Сеть'!N40-N38)*IF(РоялтиПоГруппам="Да",MeanMinAge18+N10*SUMIF(ThresholdAge18,"&lt;"&amp;N10,WeightedRevAge18)-SUMIF(ThresholdAge18,"&lt;"&amp;N10,WeightedMinAge18),MAX(CapacityAge18*АбонементНовых*N10,MeanMinAge18)))</f>
        <v/>
      </c>
      <c r="O92" s="87">
        <f>IF(OR(('03_Сеть'!O40-O38)=0,18&lt;=КаникулыРоялти),0,('03_Сеть'!O40-O38)*IF(РоялтиПоГруппам="Да",MeanMinAge18+O10*SUMIF(ThresholdAge18,"&lt;"&amp;O10,WeightedRevAge18)-SUMIF(ThresholdAge18,"&lt;"&amp;O10,WeightedMinAge18),MAX(CapacityAge18*АбонементНовых*O10,MeanMinAge18)))</f>
        <v/>
      </c>
      <c r="P92" s="87">
        <f>IF(OR(('03_Сеть'!P40-P38)=0,18&lt;=КаникулыРоялти),0,('03_Сеть'!P40-P38)*IF(РоялтиПоГруппам="Да",MeanMinAge18+P10*SUMIF(ThresholdAge18,"&lt;"&amp;P10,WeightedRevAge18)-SUMIF(ThresholdAge18,"&lt;"&amp;P10,WeightedMinAge18),MAX(CapacityAge18*АбонементНовых*P10,MeanMinAge18)))</f>
        <v/>
      </c>
      <c r="Q92" s="87">
        <f>IF(OR(('03_Сеть'!Q40-Q38)=0,18&lt;=КаникулыРоялти),0,('03_Сеть'!Q40-Q38)*IF(РоялтиПоГруппам="Да",MeanMinAge18+Q10*SUMIF(ThresholdAge18,"&lt;"&amp;Q10,WeightedRevAge18)-SUMIF(ThresholdAge18,"&lt;"&amp;Q10,WeightedMinAge18),MAX(CapacityAge18*АбонементНовых*Q10,MeanMinAge18)))</f>
        <v/>
      </c>
      <c r="R92" s="87">
        <f>IF(OR(('03_Сеть'!R40-R38)=0,18&lt;=КаникулыРоялти),0,('03_Сеть'!R40-R38)*IF(РоялтиПоГруппам="Да",MeanMinAge18+R10*SUMIF(ThresholdAge18,"&lt;"&amp;R10,WeightedRevAge18)-SUMIF(ThresholdAge18,"&lt;"&amp;R10,WeightedMinAge18),MAX(CapacityAge18*АбонементНовых*R10,MeanMinAge18)))</f>
        <v/>
      </c>
      <c r="S92" s="87">
        <f>IF(OR(('03_Сеть'!S40-S38)=0,18&lt;=КаникулыРоялти),0,('03_Сеть'!S40-S38)*IF(РоялтиПоГруппам="Да",MeanMinAge18+S10*SUMIF(ThresholdAge18,"&lt;"&amp;S10,WeightedRevAge18)-SUMIF(ThresholdAge18,"&lt;"&amp;S10,WeightedMinAge18),MAX(CapacityAge18*АбонементНовых*S10,MeanMinAge18)))</f>
        <v/>
      </c>
      <c r="T92" s="87">
        <f>IF(OR(('03_Сеть'!T40-T38)=0,18&lt;=КаникулыРоялти),0,('03_Сеть'!T40-T38)*IF(РоялтиПоГруппам="Да",MeanMinAge18+T10*SUMIF(ThresholdAge18,"&lt;"&amp;T10,WeightedRevAge18)-SUMIF(ThresholdAge18,"&lt;"&amp;T10,WeightedMinAge18),MAX(CapacityAge18*АбонементНовых*T10,MeanMinAge18)))</f>
        <v/>
      </c>
      <c r="U92" s="87">
        <f>IF(OR(('03_Сеть'!U40-U38)=0,18&lt;=КаникулыРоялти),0,('03_Сеть'!U40-U38)*IF(РоялтиПоГруппам="Да",MeanMinAge18+U10*SUMIF(ThresholdAge18,"&lt;"&amp;U10,WeightedRevAge18)-SUMIF(ThresholdAge18,"&lt;"&amp;U10,WeightedMinAge18),MAX(CapacityAge18*АбонементНовых*U10,MeanMinAge18)))</f>
        <v/>
      </c>
      <c r="V92" s="87">
        <f>IF(OR(('03_Сеть'!V40-V38)=0,18&lt;=КаникулыРоялти),0,('03_Сеть'!V40-V38)*IF(РоялтиПоГруппам="Да",MeanMinAge18+V10*SUMIF(ThresholdAge18,"&lt;"&amp;V10,WeightedRevAge18)-SUMIF(ThresholdAge18,"&lt;"&amp;V10,WeightedMinAge18),MAX(CapacityAge18*АбонементНовых*V10,MeanMinAge18)))</f>
        <v/>
      </c>
      <c r="W92" s="87">
        <f>IF(OR(('03_Сеть'!W40-W38)=0,18&lt;=КаникулыРоялти),0,('03_Сеть'!W40-W38)*IF(РоялтиПоГруппам="Да",MeanMinAge18+W10*SUMIF(ThresholdAge18,"&lt;"&amp;W10,WeightedRevAge18)-SUMIF(ThresholdAge18,"&lt;"&amp;W10,WeightedMinAge18),MAX(CapacityAge18*АбонементНовых*W10,MeanMinAge18)))</f>
        <v/>
      </c>
      <c r="X92" s="87">
        <f>IF(OR(('03_Сеть'!X40-X38)=0,18&lt;=КаникулыРоялти),0,('03_Сеть'!X40-X38)*IF(РоялтиПоГруппам="Да",MeanMinAge18+X10*SUMIF(ThresholdAge18,"&lt;"&amp;X10,WeightedRevAge18)-SUMIF(ThresholdAge18,"&lt;"&amp;X10,WeightedMinAge18),MAX(CapacityAge18*АбонементНовых*X10,MeanMinAge18)))</f>
        <v/>
      </c>
      <c r="Y92" s="87">
        <f>IF(OR(('03_Сеть'!Y40-Y38)=0,18&lt;=КаникулыРоялти),0,('03_Сеть'!Y40-Y38)*IF(РоялтиПоГруппам="Да",MeanMinAge18+Y10*SUMIF(ThresholdAge18,"&lt;"&amp;Y10,WeightedRevAge18)-SUMIF(ThresholdAge18,"&lt;"&amp;Y10,WeightedMinAge18),MAX(CapacityAge18*АбонементНовых*Y10,MeanMinAge18)))</f>
        <v/>
      </c>
      <c r="Z92" s="87">
        <f>IF(OR(('03_Сеть'!Z40-Z38)=0,18&lt;=КаникулыРоялти),0,('03_Сеть'!Z40-Z38)*IF(РоялтиПоГруппам="Да",MeanMinAge18+Z10*SUMIF(ThresholdAge18,"&lt;"&amp;Z10,WeightedRevAge18)-SUMIF(ThresholdAge18,"&lt;"&amp;Z10,WeightedMinAge18),MAX(CapacityAge18*АбонементНовых*Z10,MeanMinAge18)))</f>
        <v/>
      </c>
      <c r="AA92" s="87">
        <f>IF(OR(('03_Сеть'!AA40-AA38)=0,18&lt;=КаникулыРоялти),0,('03_Сеть'!AA40-AA38)*IF(РоялтиПоГруппам="Да",MeanMinAge18+AA10*SUMIF(ThresholdAge18,"&lt;"&amp;AA10,WeightedRevAge18)-SUMIF(ThresholdAge18,"&lt;"&amp;AA10,WeightedMinAge18),MAX(CapacityAge18*АбонементНовых*AA10,MeanMinAge18)))</f>
        <v/>
      </c>
      <c r="AB92" s="87">
        <f>IF(OR(('03_Сеть'!AB40-AB38)=0,18&lt;=КаникулыРоялти),0,('03_Сеть'!AB40-AB38)*IF(РоялтиПоГруппам="Да",MeanMinAge18+AB10*SUMIF(ThresholdAge18,"&lt;"&amp;AB10,WeightedRevAge18)-SUMIF(ThresholdAge18,"&lt;"&amp;AB10,WeightedMinAge18),MAX(CapacityAge18*АбонементНовых*AB10,MeanMinAge18)))</f>
        <v/>
      </c>
      <c r="AC92" s="87">
        <f>IF(OR(('03_Сеть'!AC40-AC38)=0,18&lt;=КаникулыРоялти),0,('03_Сеть'!AC40-AC38)*IF(РоялтиПоГруппам="Да",MeanMinAge18+AC10*SUMIF(ThresholdAge18,"&lt;"&amp;AC10,WeightedRevAge18)-SUMIF(ThresholdAge18,"&lt;"&amp;AC10,WeightedMinAge18),MAX(CapacityAge18*АбонементНовых*AC10,MeanMinAge18)))</f>
        <v/>
      </c>
      <c r="AD92" s="87">
        <f>IF(OR(('03_Сеть'!AD40-AD38)=0,18&lt;=КаникулыРоялти),0,('03_Сеть'!AD40-AD38)*IF(РоялтиПоГруппам="Да",MeanMinAge18+AD10*SUMIF(ThresholdAge18,"&lt;"&amp;AD10,WeightedRevAge18)-SUMIF(ThresholdAge18,"&lt;"&amp;AD10,WeightedMinAge18),MAX(CapacityAge18*АбонементНовых*AD10,MeanMinAge18)))</f>
        <v/>
      </c>
      <c r="AE92" s="87">
        <f>IF(OR(('03_Сеть'!AE40-AE38)=0,18&lt;=КаникулыРоялти),0,('03_Сеть'!AE40-AE38)*IF(РоялтиПоГруппам="Да",MeanMinAge18+AE10*SUMIF(ThresholdAge18,"&lt;"&amp;AE10,WeightedRevAge18)-SUMIF(ThresholdAge18,"&lt;"&amp;AE10,WeightedMinAge18),MAX(CapacityAge18*АбонементНовых*AE10,MeanMinAge18)))</f>
        <v/>
      </c>
      <c r="AF92" s="87">
        <f>IF(OR(('03_Сеть'!AF40-AF38)=0,18&lt;=КаникулыРоялти),0,('03_Сеть'!AF40-AF38)*IF(РоялтиПоГруппам="Да",MeanMinAge18+AF10*SUMIF(ThresholdAge18,"&lt;"&amp;AF10,WeightedRevAge18)-SUMIF(ThresholdAge18,"&lt;"&amp;AF10,WeightedMinAge18),MAX(CapacityAge18*АбонементНовых*AF10,MeanMinAge18)))</f>
        <v/>
      </c>
      <c r="AG92" s="87">
        <f>IF(OR(('03_Сеть'!AG40-AG38)=0,18&lt;=КаникулыРоялти),0,('03_Сеть'!AG40-AG38)*IF(РоялтиПоГруппам="Да",MeanMinAge18+AG10*SUMIF(ThresholdAge18,"&lt;"&amp;AG10,WeightedRevAge18)-SUMIF(ThresholdAge18,"&lt;"&amp;AG10,WeightedMinAge18),MAX(CapacityAge18*АбонементНовых*AG10,MeanMinAge18)))</f>
        <v/>
      </c>
      <c r="AH92" s="87">
        <f>IF(OR(('03_Сеть'!AH40-AH38)=0,18&lt;=КаникулыРоялти),0,('03_Сеть'!AH40-AH38)*IF(РоялтиПоГруппам="Да",MeanMinAge18+AH10*SUMIF(ThresholdAge18,"&lt;"&amp;AH10,WeightedRevAge18)-SUMIF(ThresholdAge18,"&lt;"&amp;AH10,WeightedMinAge18),MAX(CapacityAge18*АбонементНовых*AH10,MeanMinAge18)))</f>
        <v/>
      </c>
      <c r="AI92" s="87">
        <f>IF(OR(('03_Сеть'!AI40-AI38)=0,18&lt;=КаникулыРоялти),0,('03_Сеть'!AI40-AI38)*IF(РоялтиПоГруппам="Да",MeanMinAge18+AI10*SUMIF(ThresholdAge18,"&lt;"&amp;AI10,WeightedRevAge18)-SUMIF(ThresholdAge18,"&lt;"&amp;AI10,WeightedMinAge18),MAX(CapacityAge18*АбонементНовых*AI10,MeanMinAge18)))</f>
        <v/>
      </c>
      <c r="AJ92" s="87">
        <f>IF(OR(('03_Сеть'!AJ40-AJ38)=0,18&lt;=КаникулыРоялти),0,('03_Сеть'!AJ40-AJ38)*IF(РоялтиПоГруппам="Да",MeanMinAge18+AJ10*SUMIF(ThresholdAge18,"&lt;"&amp;AJ10,WeightedRevAge18)-SUMIF(ThresholdAge18,"&lt;"&amp;AJ10,WeightedMinAge18),MAX(CapacityAge18*АбонементНовых*AJ10,MeanMinAge18)))</f>
        <v/>
      </c>
      <c r="AK92" s="87">
        <f>IF(OR(('03_Сеть'!AK40-AK38)=0,18&lt;=КаникулыРоялти),0,('03_Сеть'!AK40-AK38)*IF(РоялтиПоГруппам="Да",MeanMinAge18+AK10*SUMIF(ThresholdAge18,"&lt;"&amp;AK10,WeightedRevAge18)-SUMIF(ThresholdAge18,"&lt;"&amp;AK10,WeightedMinAge18),MAX(CapacityAge18*АбонементНовых*AK10,MeanMinAge18)))</f>
        <v/>
      </c>
      <c r="AL92" s="87">
        <f>IF(OR(('03_Сеть'!AL40-AL38)=0,18&lt;=КаникулыРоялти),0,('03_Сеть'!AL40-AL38)*IF(РоялтиПоГруппам="Да",MeanMinAge18+AL10*SUMIF(ThresholdAge18,"&lt;"&amp;AL10,WeightedRevAge18)-SUMIF(ThresholdAge18,"&lt;"&amp;AL10,WeightedMinAge18),MAX(CapacityAge18*АбонементНовых*AL10,MeanMinAge18)))</f>
        <v/>
      </c>
      <c r="AM92" s="87">
        <f>IF(OR(('03_Сеть'!AM40-AM38)=0,18&lt;=КаникулыРоялти),0,('03_Сеть'!AM40-AM38)*IF(РоялтиПоГруппам="Да",MeanMinAge18+AM10*SUMIF(ThresholdAge18,"&lt;"&amp;AM10,WeightedRevAge18)-SUMIF(ThresholdAge18,"&lt;"&amp;AM10,WeightedMinAge18),MAX(CapacityAge18*АбонементНовых*AM10,MeanMinAge18)))</f>
        <v/>
      </c>
      <c r="AN92" s="87">
        <f>IF(OR(('03_Сеть'!AN40-AN38)=0,18&lt;=КаникулыРоялти),0,('03_Сеть'!AN40-AN38)*IF(РоялтиПоГруппам="Да",MeanMinAge18+AN10*SUMIF(ThresholdAge18,"&lt;"&amp;AN10,WeightedRevAge18)-SUMIF(ThresholdAge18,"&lt;"&amp;AN10,WeightedMinAge18),MAX(CapacityAge18*АбонементНовых*AN10,MeanMinAge18)))</f>
        <v/>
      </c>
      <c r="AO92" s="87">
        <f>IF(OR(('03_Сеть'!AO40-AO38)=0,18&lt;=КаникулыРоялти),0,('03_Сеть'!AO40-AO38)*IF(РоялтиПоГруппам="Да",MeanMinAge18+AO10*SUMIF(ThresholdAge18,"&lt;"&amp;AO10,WeightedRevAge18)-SUMIF(ThresholdAge18,"&lt;"&amp;AO10,WeightedMinAge18),MAX(CapacityAge18*АбонементНовых*AO10,MeanMinAge18)))</f>
        <v/>
      </c>
      <c r="AP92" s="87">
        <f>IF(OR(('03_Сеть'!AP40-AP38)=0,18&lt;=КаникулыРоялти),0,('03_Сеть'!AP40-AP38)*IF(РоялтиПоГруппам="Да",MeanMinAge18+AP10*SUMIF(ThresholdAge18,"&lt;"&amp;AP10,WeightedRevAge18)-SUMIF(ThresholdAge18,"&lt;"&amp;AP10,WeightedMinAge18),MAX(CapacityAge18*АбонементНовых*AP10,MeanMinAge18)))</f>
        <v/>
      </c>
      <c r="AQ92" s="87">
        <f>IF(OR(('03_Сеть'!AQ40-AQ38)=0,18&lt;=КаникулыРоялти),0,('03_Сеть'!AQ40-AQ38)*IF(РоялтиПоГруппам="Да",MeanMinAge18+AQ10*SUMIF(ThresholdAge18,"&lt;"&amp;AQ10,WeightedRevAge18)-SUMIF(ThresholdAge18,"&lt;"&amp;AQ10,WeightedMinAge18),MAX(CapacityAge18*АбонементНовых*AQ10,MeanMinAge18)))</f>
        <v/>
      </c>
      <c r="AR92" s="87">
        <f>IF(OR(('03_Сеть'!AR40-AR38)=0,18&lt;=КаникулыРоялти),0,('03_Сеть'!AR40-AR38)*IF(РоялтиПоГруппам="Да",MeanMinAge18+AR10*SUMIF(ThresholdAge18,"&lt;"&amp;AR10,WeightedRevAge18)-SUMIF(ThresholdAge18,"&lt;"&amp;AR10,WeightedMinAge18),MAX(CapacityAge18*АбонементНовых*AR10,MeanMinAge18)))</f>
        <v/>
      </c>
      <c r="AS92" s="87">
        <f>IF(OR(('03_Сеть'!AS40-AS38)=0,18&lt;=КаникулыРоялти),0,('03_Сеть'!AS40-AS38)*IF(РоялтиПоГруппам="Да",MeanMinAge18+AS10*SUMIF(ThresholdAge18,"&lt;"&amp;AS10,WeightedRevAge18)-SUMIF(ThresholdAge18,"&lt;"&amp;AS10,WeightedMinAge18),MAX(CapacityAge18*АбонементНовых*AS10,MeanMinAge18)))</f>
        <v/>
      </c>
      <c r="AT92" s="87">
        <f>IF(OR(('03_Сеть'!AT40-AT38)=0,18&lt;=КаникулыРоялти),0,('03_Сеть'!AT40-AT38)*IF(РоялтиПоГруппам="Да",MeanMinAge18+AT10*SUMIF(ThresholdAge18,"&lt;"&amp;AT10,WeightedRevAge18)-SUMIF(ThresholdAge18,"&lt;"&amp;AT10,WeightedMinAge18),MAX(CapacityAge18*АбонементНовых*AT10,MeanMinAge18)))</f>
        <v/>
      </c>
      <c r="AU92" s="87">
        <f>IF(OR(('03_Сеть'!AU40-AU38)=0,18&lt;=КаникулыРоялти),0,('03_Сеть'!AU40-AU38)*IF(РоялтиПоГруппам="Да",MeanMinAge18+AU10*SUMIF(ThresholdAge18,"&lt;"&amp;AU10,WeightedRevAge18)-SUMIF(ThresholdAge18,"&lt;"&amp;AU10,WeightedMinAge18),MAX(CapacityAge18*АбонементНовых*AU10,MeanMinAge18)))</f>
        <v/>
      </c>
      <c r="AV92" s="87">
        <f>IF(OR(('03_Сеть'!AV40-AV38)=0,18&lt;=КаникулыРоялти),0,('03_Сеть'!AV40-AV38)*IF(РоялтиПоГруппам="Да",MeanMinAge18+AV10*SUMIF(ThresholdAge18,"&lt;"&amp;AV10,WeightedRevAge18)-SUMIF(ThresholdAge18,"&lt;"&amp;AV10,WeightedMinAge18),MAX(CapacityAge18*АбонементНовых*AV10,MeanMinAge18)))</f>
        <v/>
      </c>
      <c r="AW92" s="87">
        <f>IF(OR(('03_Сеть'!AW40-AW38)=0,18&lt;=КаникулыРоялти),0,('03_Сеть'!AW40-AW38)*IF(РоялтиПоГруппам="Да",MeanMinAge18+AW10*SUMIF(ThresholdAge18,"&lt;"&amp;AW10,WeightedRevAge18)-SUMIF(ThresholdAge18,"&lt;"&amp;AW10,WeightedMinAge18),MAX(CapacityAge18*АбонементНовых*AW10,MeanMinAge18)))</f>
        <v/>
      </c>
      <c r="AX92" s="87">
        <f>IF(OR(('03_Сеть'!AX40-AX38)=0,18&lt;=КаникулыРоялти),0,('03_Сеть'!AX40-AX38)*IF(РоялтиПоГруппам="Да",MeanMinAge18+AX10*SUMIF(ThresholdAge18,"&lt;"&amp;AX10,WeightedRevAge18)-SUMIF(ThresholdAge18,"&lt;"&amp;AX10,WeightedMinAge18),MAX(CapacityAge18*АбонементНовых*AX10,MeanMinAge18)))</f>
        <v/>
      </c>
      <c r="AY92" s="87">
        <f>IF(OR(('03_Сеть'!AY40-AY38)=0,18&lt;=КаникулыРоялти),0,('03_Сеть'!AY40-AY38)*IF(РоялтиПоГруппам="Да",MeanMinAge18+AY10*SUMIF(ThresholdAge18,"&lt;"&amp;AY10,WeightedRevAge18)-SUMIF(ThresholdAge18,"&lt;"&amp;AY10,WeightedMinAge18),MAX(CapacityAge18*АбонементНовых*AY10,MeanMinAge18)))</f>
        <v/>
      </c>
      <c r="AZ92" s="87">
        <f>IF(OR(('03_Сеть'!AZ40-AZ38)=0,18&lt;=КаникулыРоялти),0,('03_Сеть'!AZ40-AZ38)*IF(РоялтиПоГруппам="Да",MeanMinAge18+AZ10*SUMIF(ThresholdAge18,"&lt;"&amp;AZ10,WeightedRevAge18)-SUMIF(ThresholdAge18,"&lt;"&amp;AZ10,WeightedMinAge18),MAX(CapacityAge18*АбонементНовых*AZ10,MeanMinAge18)))</f>
        <v/>
      </c>
      <c r="BA92" s="87">
        <f>IF(OR(('03_Сеть'!BA40-BA38)=0,18&lt;=КаникулыРоялти),0,('03_Сеть'!BA40-BA38)*IF(РоялтиПоГруппам="Да",MeanMinAge18+BA10*SUMIF(ThresholdAge18,"&lt;"&amp;BA10,WeightedRevAge18)-SUMIF(ThresholdAge18,"&lt;"&amp;BA10,WeightedMinAge18),MAX(CapacityAge18*АбонементНовых*BA10,MeanMinAge18)))</f>
        <v/>
      </c>
      <c r="BB92" s="87">
        <f>IF(OR(('03_Сеть'!BB40-BB38)=0,18&lt;=КаникулыРоялти),0,('03_Сеть'!BB40-BB38)*IF(РоялтиПоГруппам="Да",MeanMinAge18+BB10*SUMIF(ThresholdAge18,"&lt;"&amp;BB10,WeightedRevAge18)-SUMIF(ThresholdAge18,"&lt;"&amp;BB10,WeightedMinAge18),MAX(CapacityAge18*АбонементНовых*BB10,MeanMinAge18)))</f>
        <v/>
      </c>
      <c r="BC92" s="87">
        <f>IF(OR(('03_Сеть'!BC40-BC38)=0,18&lt;=КаникулыРоялти),0,('03_Сеть'!BC40-BC38)*IF(РоялтиПоГруппам="Да",MeanMinAge18+BC10*SUMIF(ThresholdAge18,"&lt;"&amp;BC10,WeightedRevAge18)-SUMIF(ThresholdAge18,"&lt;"&amp;BC10,WeightedMinAge18),MAX(CapacityAge18*АбонементНовых*BC10,MeanMinAge18)))</f>
        <v/>
      </c>
      <c r="BD92" s="87">
        <f>IF(OR(('03_Сеть'!BD40-BD38)=0,18&lt;=КаникулыРоялти),0,('03_Сеть'!BD40-BD38)*IF(РоялтиПоГруппам="Да",MeanMinAge18+BD10*SUMIF(ThresholdAge18,"&lt;"&amp;BD10,WeightedRevAge18)-SUMIF(ThresholdAge18,"&lt;"&amp;BD10,WeightedMinAge18),MAX(CapacityAge18*АбонементНовых*BD10,MeanMinAge18)))</f>
        <v/>
      </c>
      <c r="BE92" s="87">
        <f>IF(OR(('03_Сеть'!BE40-BE38)=0,18&lt;=КаникулыРоялти),0,('03_Сеть'!BE40-BE38)*IF(РоялтиПоГруппам="Да",MeanMinAge18+BE10*SUMIF(ThresholdAge18,"&lt;"&amp;BE10,WeightedRevAge18)-SUMIF(ThresholdAge18,"&lt;"&amp;BE10,WeightedMinAge18),MAX(CapacityAge18*АбонементНовых*BE10,MeanMinAge18)))</f>
        <v/>
      </c>
      <c r="BF92" s="87">
        <f>IF(OR(('03_Сеть'!BF40-BF38)=0,18&lt;=КаникулыРоялти),0,('03_Сеть'!BF40-BF38)*IF(РоялтиПоГруппам="Да",MeanMinAge18+BF10*SUMIF(ThresholdAge18,"&lt;"&amp;BF10,WeightedRevAge18)-SUMIF(ThresholdAge18,"&lt;"&amp;BF10,WeightedMinAge18),MAX(CapacityAge18*АбонементНовых*BF10,MeanMinAge18)))</f>
        <v/>
      </c>
      <c r="BG92" s="87">
        <f>IF(OR(('03_Сеть'!BG40-BG38)=0,18&lt;=КаникулыРоялти),0,('03_Сеть'!BG40-BG38)*IF(РоялтиПоГруппам="Да",MeanMinAge18+BG10*SUMIF(ThresholdAge18,"&lt;"&amp;BG10,WeightedRevAge18)-SUMIF(ThresholdAge18,"&lt;"&amp;BG10,WeightedMinAge18),MAX(CapacityAge18*АбонементНовых*BG10,MeanMinAge18)))</f>
        <v/>
      </c>
      <c r="BH92" s="87">
        <f>IF(OR(('03_Сеть'!BH40-BH38)=0,18&lt;=КаникулыРоялти),0,('03_Сеть'!BH40-BH38)*IF(РоялтиПоГруппам="Да",MeanMinAge18+BH10*SUMIF(ThresholdAge18,"&lt;"&amp;BH10,WeightedRevAge18)-SUMIF(ThresholdAge18,"&lt;"&amp;BH10,WeightedMinAge18),MAX(CapacityAge18*АбонементНовых*BH10,MeanMinAge18)))</f>
        <v/>
      </c>
      <c r="BI92" s="87">
        <f>IF(OR(('03_Сеть'!BI40-BI38)=0,18&lt;=КаникулыРоялти),0,('03_Сеть'!BI40-BI38)*IF(РоялтиПоГруппам="Да",MeanMinAge18+BI10*SUMIF(ThresholdAge18,"&lt;"&amp;BI10,WeightedRevAge18)-SUMIF(ThresholdAge18,"&lt;"&amp;BI10,WeightedMinAge18),MAX(CapacityAge18*АбонементНовых*BI10,MeanMinAge18)))</f>
        <v/>
      </c>
      <c r="BJ92" s="87">
        <f>IF(OR(('03_Сеть'!BJ40-BJ38)=0,18&lt;=КаникулыРоялти),0,('03_Сеть'!BJ40-BJ38)*IF(РоялтиПоГруппам="Да",MeanMinAge18+BJ10*SUMIF(ThresholdAge18,"&lt;"&amp;BJ10,WeightedRevAge18)-SUMIF(ThresholdAge18,"&lt;"&amp;BJ10,WeightedMinAge18),MAX(CapacityAge18*АбонементНовых*BJ10,MeanMinAge18)))</f>
        <v/>
      </c>
      <c r="BK92" s="87">
        <f>IF(OR(('03_Сеть'!BK40-BK38)=0,18&lt;=КаникулыРоялти),0,('03_Сеть'!BK40-BK38)*IF(РоялтиПоГруппам="Да",MeanMinAge18+BK10*SUMIF(ThresholdAge18,"&lt;"&amp;BK10,WeightedRevAge18)-SUMIF(ThresholdAge18,"&lt;"&amp;BK10,WeightedMinAge18),MAX(CapacityAge18*АбонементНовых*BK10,MeanMinAge18)))</f>
        <v/>
      </c>
      <c r="BL92" s="87">
        <f>IF(OR(('03_Сеть'!BL40-BL38)=0,18&lt;=КаникулыРоялти),0,('03_Сеть'!BL40-BL38)*IF(РоялтиПоГруппам="Да",MeanMinAge18+BL10*SUMIF(ThresholdAge18,"&lt;"&amp;BL10,WeightedRevAge18)-SUMIF(ThresholdAge18,"&lt;"&amp;BL10,WeightedMinAge18),MAX(CapacityAge18*АбонементНовых*BL10,MeanMinAge18)))</f>
        <v/>
      </c>
      <c r="BM92" s="87">
        <f>IF(OR(('03_Сеть'!BM40-BM38)=0,18&lt;=КаникулыРоялти),0,('03_Сеть'!BM40-BM38)*IF(РоялтиПоГруппам="Да",MeanMinAge18+BM10*SUMIF(ThresholdAge18,"&lt;"&amp;BM10,WeightedRevAge18)-SUMIF(ThresholdAge18,"&lt;"&amp;BM10,WeightedMinAge18),MAX(CapacityAge18*АбонементНовых*BM10,MeanMinAge18)))</f>
        <v/>
      </c>
      <c r="BN92" s="87">
        <f>IF(OR(('03_Сеть'!BN40-BN38)=0,18&lt;=КаникулыРоялти),0,('03_Сеть'!BN40-BN38)*IF(РоялтиПоГруппам="Да",MeanMinAge18+BN10*SUMIF(ThresholdAge18,"&lt;"&amp;BN10,WeightedRevAge18)-SUMIF(ThresholdAge18,"&lt;"&amp;BN10,WeightedMinAge18),MAX(CapacityAge18*АбонементНовых*BN10,MeanMinAge18)))</f>
        <v/>
      </c>
      <c r="BO92" s="87">
        <f>IF(OR(('03_Сеть'!BO40-BO38)=0,18&lt;=КаникулыРоялти),0,('03_Сеть'!BO40-BO38)*IF(РоялтиПоГруппам="Да",MeanMinAge18+BO10*SUMIF(ThresholdAge18,"&lt;"&amp;BO10,WeightedRevAge18)-SUMIF(ThresholdAge18,"&lt;"&amp;BO10,WeightedMinAge18),MAX(CapacityAge18*АбонементНовых*BO10,MeanMinAge18)))</f>
        <v/>
      </c>
      <c r="BP92" s="87">
        <f>IF(OR(('03_Сеть'!BP40-BP38)=0,18&lt;=КаникулыРоялти),0,('03_Сеть'!BP40-BP38)*IF(РоялтиПоГруппам="Да",MeanMinAge18+BP10*SUMIF(ThresholdAge18,"&lt;"&amp;BP10,WeightedRevAge18)-SUMIF(ThresholdAge18,"&lt;"&amp;BP10,WeightedMinAge18),MAX(CapacityAge18*АбонементНовых*BP10,MeanMinAge18)))</f>
        <v/>
      </c>
      <c r="BQ92" s="87">
        <f>IF(OR(('03_Сеть'!BQ40-BQ38)=0,18&lt;=КаникулыРоялти),0,('03_Сеть'!BQ40-BQ38)*IF(РоялтиПоГруппам="Да",MeanMinAge18+BQ10*SUMIF(ThresholdAge18,"&lt;"&amp;BQ10,WeightedRevAge18)-SUMIF(ThresholdAge18,"&lt;"&amp;BQ10,WeightedMinAge18),MAX(CapacityAge18*АбонементНовых*BQ10,MeanMinAge18)))</f>
        <v/>
      </c>
      <c r="BR92" s="87">
        <f>IF(OR(('03_Сеть'!BR40-BR38)=0,18&lt;=КаникулыРоялти),0,('03_Сеть'!BR40-BR38)*IF(РоялтиПоГруппам="Да",MeanMinAge18+BR10*SUMIF(ThresholdAge18,"&lt;"&amp;BR10,WeightedRevAge18)-SUMIF(ThresholdAge18,"&lt;"&amp;BR10,WeightedMinAge18),MAX(CapacityAge18*АбонементНовых*BR10,MeanMinAge18)))</f>
        <v/>
      </c>
      <c r="BS92" s="87">
        <f>IF(OR(('03_Сеть'!BS40-BS38)=0,18&lt;=КаникулыРоялти),0,('03_Сеть'!BS40-BS38)*IF(РоялтиПоГруппам="Да",MeanMinAge18+BS10*SUMIF(ThresholdAge18,"&lt;"&amp;BS10,WeightedRevAge18)-SUMIF(ThresholdAge18,"&lt;"&amp;BS10,WeightedMinAge18),MAX(CapacityAge18*АбонементНовых*BS10,MeanMinAge18)))</f>
        <v/>
      </c>
      <c r="BT92" s="87">
        <f>IF(OR(('03_Сеть'!BT40-BT38)=0,18&lt;=КаникулыРоялти),0,('03_Сеть'!BT40-BT38)*IF(РоялтиПоГруппам="Да",MeanMinAge18+BT10*SUMIF(ThresholdAge18,"&lt;"&amp;BT10,WeightedRevAge18)-SUMIF(ThresholdAge18,"&lt;"&amp;BT10,WeightedMinAge18),MAX(CapacityAge18*АбонементНовых*BT10,MeanMinAge18)))</f>
        <v/>
      </c>
      <c r="BU92" s="87">
        <f>IF(OR(('03_Сеть'!BU40-BU38)=0,18&lt;=КаникулыРоялти),0,('03_Сеть'!BU40-BU38)*IF(РоялтиПоГруппам="Да",MeanMinAge18+BU10*SUMIF(ThresholdAge18,"&lt;"&amp;BU10,WeightedRevAge18)-SUMIF(ThresholdAge18,"&lt;"&amp;BU10,WeightedMinAge18),MAX(CapacityAge18*АбонементНовых*BU10,MeanMinAge18)))</f>
        <v/>
      </c>
      <c r="BV92" s="87">
        <f>IF(OR(('03_Сеть'!BV40-BV38)=0,18&lt;=КаникулыРоялти),0,('03_Сеть'!BV40-BV38)*IF(РоялтиПоГруппам="Да",MeanMinAge18+BV10*SUMIF(ThresholdAge18,"&lt;"&amp;BV10,WeightedRevAge18)-SUMIF(ThresholdAge18,"&lt;"&amp;BV10,WeightedMinAge18),MAX(CapacityAge18*АбонементНовых*BV10,MeanMinAge18)))</f>
        <v/>
      </c>
      <c r="BW92" s="87">
        <f>IF(OR(('03_Сеть'!BW40-BW38)=0,18&lt;=КаникулыРоялти),0,('03_Сеть'!BW40-BW38)*IF(РоялтиПоГруппам="Да",MeanMinAge18+BW10*SUMIF(ThresholdAge18,"&lt;"&amp;BW10,WeightedRevAge18)-SUMIF(ThresholdAge18,"&lt;"&amp;BW10,WeightedMinAge18),MAX(CapacityAge18*АбонементНовых*BW10,MeanMinAge18)))</f>
        <v/>
      </c>
      <c r="BX92" s="87">
        <f>IF(OR(('03_Сеть'!BX40-BX38)=0,18&lt;=КаникулыРоялти),0,('03_Сеть'!BX40-BX38)*IF(РоялтиПоГруппам="Да",MeanMinAge18+BX10*SUMIF(ThresholdAge18,"&lt;"&amp;BX10,WeightedRevAge18)-SUMIF(ThresholdAge18,"&lt;"&amp;BX10,WeightedMinAge18),MAX(CapacityAge18*АбонементНовых*BX10,MeanMinAge18)))</f>
        <v/>
      </c>
      <c r="BY92" s="87">
        <f>IF(OR(('03_Сеть'!BY40-BY38)=0,18&lt;=КаникулыРоялти),0,('03_Сеть'!BY40-BY38)*IF(РоялтиПоГруппам="Да",MeanMinAge18+BY10*SUMIF(ThresholdAge18,"&lt;"&amp;BY10,WeightedRevAge18)-SUMIF(ThresholdAge18,"&lt;"&amp;BY10,WeightedMinAge18),MAX(CapacityAge18*АбонементНовых*BY10,MeanMinAge18)))</f>
        <v/>
      </c>
    </row>
    <row r="93" ht="15.75" customHeight="1" s="194">
      <c r="B93" s="56" t="inlineStr">
        <is>
          <t>19 мес.</t>
        </is>
      </c>
      <c r="C93" s="56" t="inlineStr">
        <is>
          <t>₽</t>
        </is>
      </c>
      <c r="D93" s="57" t="n"/>
      <c r="E93" s="85">
        <f>SUM(L93:W93)</f>
        <v/>
      </c>
      <c r="F93" s="85">
        <f>SUM(X93:AI93)</f>
        <v/>
      </c>
      <c r="G93" s="85">
        <f>SUM(AJ93:AU93)</f>
        <v/>
      </c>
      <c r="H93" s="85">
        <f>SUM(AV93:BG93)</f>
        <v/>
      </c>
      <c r="I93" s="85">
        <f>SUM(BH93:BS93)</f>
        <v/>
      </c>
      <c r="J93" s="86">
        <f>SUM(L93:BS93)</f>
        <v/>
      </c>
      <c r="L93" s="87">
        <f>IF(OR(('03_Сеть'!L41-L39)=0,19&lt;=КаникулыРоялти),0,('03_Сеть'!L41-L39)*IF(РоялтиПоГруппам="Да",MeanMinAge19+L10*SUMIF(ThresholdAge19,"&lt;"&amp;L10,WeightedRevAge19)-SUMIF(ThresholdAge19,"&lt;"&amp;L10,WeightedMinAge19),MAX(CapacityAge19*АбонементНовых*L10,MeanMinAge19)))</f>
        <v/>
      </c>
      <c r="M93" s="87">
        <f>IF(OR(('03_Сеть'!M41-M39)=0,19&lt;=КаникулыРоялти),0,('03_Сеть'!M41-M39)*IF(РоялтиПоГруппам="Да",MeanMinAge19+M10*SUMIF(ThresholdAge19,"&lt;"&amp;M10,WeightedRevAge19)-SUMIF(ThresholdAge19,"&lt;"&amp;M10,WeightedMinAge19),MAX(CapacityAge19*АбонементНовых*M10,MeanMinAge19)))</f>
        <v/>
      </c>
      <c r="N93" s="87">
        <f>IF(OR(('03_Сеть'!N41-N39)=0,19&lt;=КаникулыРоялти),0,('03_Сеть'!N41-N39)*IF(РоялтиПоГруппам="Да",MeanMinAge19+N10*SUMIF(ThresholdAge19,"&lt;"&amp;N10,WeightedRevAge19)-SUMIF(ThresholdAge19,"&lt;"&amp;N10,WeightedMinAge19),MAX(CapacityAge19*АбонементНовых*N10,MeanMinAge19)))</f>
        <v/>
      </c>
      <c r="O93" s="87">
        <f>IF(OR(('03_Сеть'!O41-O39)=0,19&lt;=КаникулыРоялти),0,('03_Сеть'!O41-O39)*IF(РоялтиПоГруппам="Да",MeanMinAge19+O10*SUMIF(ThresholdAge19,"&lt;"&amp;O10,WeightedRevAge19)-SUMIF(ThresholdAge19,"&lt;"&amp;O10,WeightedMinAge19),MAX(CapacityAge19*АбонементНовых*O10,MeanMinAge19)))</f>
        <v/>
      </c>
      <c r="P93" s="87">
        <f>IF(OR(('03_Сеть'!P41-P39)=0,19&lt;=КаникулыРоялти),0,('03_Сеть'!P41-P39)*IF(РоялтиПоГруппам="Да",MeanMinAge19+P10*SUMIF(ThresholdAge19,"&lt;"&amp;P10,WeightedRevAge19)-SUMIF(ThresholdAge19,"&lt;"&amp;P10,WeightedMinAge19),MAX(CapacityAge19*АбонементНовых*P10,MeanMinAge19)))</f>
        <v/>
      </c>
      <c r="Q93" s="87">
        <f>IF(OR(('03_Сеть'!Q41-Q39)=0,19&lt;=КаникулыРоялти),0,('03_Сеть'!Q41-Q39)*IF(РоялтиПоГруппам="Да",MeanMinAge19+Q10*SUMIF(ThresholdAge19,"&lt;"&amp;Q10,WeightedRevAge19)-SUMIF(ThresholdAge19,"&lt;"&amp;Q10,WeightedMinAge19),MAX(CapacityAge19*АбонементНовых*Q10,MeanMinAge19)))</f>
        <v/>
      </c>
      <c r="R93" s="87">
        <f>IF(OR(('03_Сеть'!R41-R39)=0,19&lt;=КаникулыРоялти),0,('03_Сеть'!R41-R39)*IF(РоялтиПоГруппам="Да",MeanMinAge19+R10*SUMIF(ThresholdAge19,"&lt;"&amp;R10,WeightedRevAge19)-SUMIF(ThresholdAge19,"&lt;"&amp;R10,WeightedMinAge19),MAX(CapacityAge19*АбонементНовых*R10,MeanMinAge19)))</f>
        <v/>
      </c>
      <c r="S93" s="87">
        <f>IF(OR(('03_Сеть'!S41-S39)=0,19&lt;=КаникулыРоялти),0,('03_Сеть'!S41-S39)*IF(РоялтиПоГруппам="Да",MeanMinAge19+S10*SUMIF(ThresholdAge19,"&lt;"&amp;S10,WeightedRevAge19)-SUMIF(ThresholdAge19,"&lt;"&amp;S10,WeightedMinAge19),MAX(CapacityAge19*АбонементНовых*S10,MeanMinAge19)))</f>
        <v/>
      </c>
      <c r="T93" s="87">
        <f>IF(OR(('03_Сеть'!T41-T39)=0,19&lt;=КаникулыРоялти),0,('03_Сеть'!T41-T39)*IF(РоялтиПоГруппам="Да",MeanMinAge19+T10*SUMIF(ThresholdAge19,"&lt;"&amp;T10,WeightedRevAge19)-SUMIF(ThresholdAge19,"&lt;"&amp;T10,WeightedMinAge19),MAX(CapacityAge19*АбонементНовых*T10,MeanMinAge19)))</f>
        <v/>
      </c>
      <c r="U93" s="87">
        <f>IF(OR(('03_Сеть'!U41-U39)=0,19&lt;=КаникулыРоялти),0,('03_Сеть'!U41-U39)*IF(РоялтиПоГруппам="Да",MeanMinAge19+U10*SUMIF(ThresholdAge19,"&lt;"&amp;U10,WeightedRevAge19)-SUMIF(ThresholdAge19,"&lt;"&amp;U10,WeightedMinAge19),MAX(CapacityAge19*АбонементНовых*U10,MeanMinAge19)))</f>
        <v/>
      </c>
      <c r="V93" s="87">
        <f>IF(OR(('03_Сеть'!V41-V39)=0,19&lt;=КаникулыРоялти),0,('03_Сеть'!V41-V39)*IF(РоялтиПоГруппам="Да",MeanMinAge19+V10*SUMIF(ThresholdAge19,"&lt;"&amp;V10,WeightedRevAge19)-SUMIF(ThresholdAge19,"&lt;"&amp;V10,WeightedMinAge19),MAX(CapacityAge19*АбонементНовых*V10,MeanMinAge19)))</f>
        <v/>
      </c>
      <c r="W93" s="87">
        <f>IF(OR(('03_Сеть'!W41-W39)=0,19&lt;=КаникулыРоялти),0,('03_Сеть'!W41-W39)*IF(РоялтиПоГруппам="Да",MeanMinAge19+W10*SUMIF(ThresholdAge19,"&lt;"&amp;W10,WeightedRevAge19)-SUMIF(ThresholdAge19,"&lt;"&amp;W10,WeightedMinAge19),MAX(CapacityAge19*АбонементНовых*W10,MeanMinAge19)))</f>
        <v/>
      </c>
      <c r="X93" s="87">
        <f>IF(OR(('03_Сеть'!X41-X39)=0,19&lt;=КаникулыРоялти),0,('03_Сеть'!X41-X39)*IF(РоялтиПоГруппам="Да",MeanMinAge19+X10*SUMIF(ThresholdAge19,"&lt;"&amp;X10,WeightedRevAge19)-SUMIF(ThresholdAge19,"&lt;"&amp;X10,WeightedMinAge19),MAX(CapacityAge19*АбонементНовых*X10,MeanMinAge19)))</f>
        <v/>
      </c>
      <c r="Y93" s="87">
        <f>IF(OR(('03_Сеть'!Y41-Y39)=0,19&lt;=КаникулыРоялти),0,('03_Сеть'!Y41-Y39)*IF(РоялтиПоГруппам="Да",MeanMinAge19+Y10*SUMIF(ThresholdAge19,"&lt;"&amp;Y10,WeightedRevAge19)-SUMIF(ThresholdAge19,"&lt;"&amp;Y10,WeightedMinAge19),MAX(CapacityAge19*АбонементНовых*Y10,MeanMinAge19)))</f>
        <v/>
      </c>
      <c r="Z93" s="87">
        <f>IF(OR(('03_Сеть'!Z41-Z39)=0,19&lt;=КаникулыРоялти),0,('03_Сеть'!Z41-Z39)*IF(РоялтиПоГруппам="Да",MeanMinAge19+Z10*SUMIF(ThresholdAge19,"&lt;"&amp;Z10,WeightedRevAge19)-SUMIF(ThresholdAge19,"&lt;"&amp;Z10,WeightedMinAge19),MAX(CapacityAge19*АбонементНовых*Z10,MeanMinAge19)))</f>
        <v/>
      </c>
      <c r="AA93" s="87">
        <f>IF(OR(('03_Сеть'!AA41-AA39)=0,19&lt;=КаникулыРоялти),0,('03_Сеть'!AA41-AA39)*IF(РоялтиПоГруппам="Да",MeanMinAge19+AA10*SUMIF(ThresholdAge19,"&lt;"&amp;AA10,WeightedRevAge19)-SUMIF(ThresholdAge19,"&lt;"&amp;AA10,WeightedMinAge19),MAX(CapacityAge19*АбонементНовых*AA10,MeanMinAge19)))</f>
        <v/>
      </c>
      <c r="AB93" s="87">
        <f>IF(OR(('03_Сеть'!AB41-AB39)=0,19&lt;=КаникулыРоялти),0,('03_Сеть'!AB41-AB39)*IF(РоялтиПоГруппам="Да",MeanMinAge19+AB10*SUMIF(ThresholdAge19,"&lt;"&amp;AB10,WeightedRevAge19)-SUMIF(ThresholdAge19,"&lt;"&amp;AB10,WeightedMinAge19),MAX(CapacityAge19*АбонементНовых*AB10,MeanMinAge19)))</f>
        <v/>
      </c>
      <c r="AC93" s="87">
        <f>IF(OR(('03_Сеть'!AC41-AC39)=0,19&lt;=КаникулыРоялти),0,('03_Сеть'!AC41-AC39)*IF(РоялтиПоГруппам="Да",MeanMinAge19+AC10*SUMIF(ThresholdAge19,"&lt;"&amp;AC10,WeightedRevAge19)-SUMIF(ThresholdAge19,"&lt;"&amp;AC10,WeightedMinAge19),MAX(CapacityAge19*АбонементНовых*AC10,MeanMinAge19)))</f>
        <v/>
      </c>
      <c r="AD93" s="87">
        <f>IF(OR(('03_Сеть'!AD41-AD39)=0,19&lt;=КаникулыРоялти),0,('03_Сеть'!AD41-AD39)*IF(РоялтиПоГруппам="Да",MeanMinAge19+AD10*SUMIF(ThresholdAge19,"&lt;"&amp;AD10,WeightedRevAge19)-SUMIF(ThresholdAge19,"&lt;"&amp;AD10,WeightedMinAge19),MAX(CapacityAge19*АбонементНовых*AD10,MeanMinAge19)))</f>
        <v/>
      </c>
      <c r="AE93" s="87">
        <f>IF(OR(('03_Сеть'!AE41-AE39)=0,19&lt;=КаникулыРоялти),0,('03_Сеть'!AE41-AE39)*IF(РоялтиПоГруппам="Да",MeanMinAge19+AE10*SUMIF(ThresholdAge19,"&lt;"&amp;AE10,WeightedRevAge19)-SUMIF(ThresholdAge19,"&lt;"&amp;AE10,WeightedMinAge19),MAX(CapacityAge19*АбонементНовых*AE10,MeanMinAge19)))</f>
        <v/>
      </c>
      <c r="AF93" s="87">
        <f>IF(OR(('03_Сеть'!AF41-AF39)=0,19&lt;=КаникулыРоялти),0,('03_Сеть'!AF41-AF39)*IF(РоялтиПоГруппам="Да",MeanMinAge19+AF10*SUMIF(ThresholdAge19,"&lt;"&amp;AF10,WeightedRevAge19)-SUMIF(ThresholdAge19,"&lt;"&amp;AF10,WeightedMinAge19),MAX(CapacityAge19*АбонементНовых*AF10,MeanMinAge19)))</f>
        <v/>
      </c>
      <c r="AG93" s="87">
        <f>IF(OR(('03_Сеть'!AG41-AG39)=0,19&lt;=КаникулыРоялти),0,('03_Сеть'!AG41-AG39)*IF(РоялтиПоГруппам="Да",MeanMinAge19+AG10*SUMIF(ThresholdAge19,"&lt;"&amp;AG10,WeightedRevAge19)-SUMIF(ThresholdAge19,"&lt;"&amp;AG10,WeightedMinAge19),MAX(CapacityAge19*АбонементНовых*AG10,MeanMinAge19)))</f>
        <v/>
      </c>
      <c r="AH93" s="87">
        <f>IF(OR(('03_Сеть'!AH41-AH39)=0,19&lt;=КаникулыРоялти),0,('03_Сеть'!AH41-AH39)*IF(РоялтиПоГруппам="Да",MeanMinAge19+AH10*SUMIF(ThresholdAge19,"&lt;"&amp;AH10,WeightedRevAge19)-SUMIF(ThresholdAge19,"&lt;"&amp;AH10,WeightedMinAge19),MAX(CapacityAge19*АбонементНовых*AH10,MeanMinAge19)))</f>
        <v/>
      </c>
      <c r="AI93" s="87">
        <f>IF(OR(('03_Сеть'!AI41-AI39)=0,19&lt;=КаникулыРоялти),0,('03_Сеть'!AI41-AI39)*IF(РоялтиПоГруппам="Да",MeanMinAge19+AI10*SUMIF(ThresholdAge19,"&lt;"&amp;AI10,WeightedRevAge19)-SUMIF(ThresholdAge19,"&lt;"&amp;AI10,WeightedMinAge19),MAX(CapacityAge19*АбонементНовых*AI10,MeanMinAge19)))</f>
        <v/>
      </c>
      <c r="AJ93" s="87">
        <f>IF(OR(('03_Сеть'!AJ41-AJ39)=0,19&lt;=КаникулыРоялти),0,('03_Сеть'!AJ41-AJ39)*IF(РоялтиПоГруппам="Да",MeanMinAge19+AJ10*SUMIF(ThresholdAge19,"&lt;"&amp;AJ10,WeightedRevAge19)-SUMIF(ThresholdAge19,"&lt;"&amp;AJ10,WeightedMinAge19),MAX(CapacityAge19*АбонементНовых*AJ10,MeanMinAge19)))</f>
        <v/>
      </c>
      <c r="AK93" s="87">
        <f>IF(OR(('03_Сеть'!AK41-AK39)=0,19&lt;=КаникулыРоялти),0,('03_Сеть'!AK41-AK39)*IF(РоялтиПоГруппам="Да",MeanMinAge19+AK10*SUMIF(ThresholdAge19,"&lt;"&amp;AK10,WeightedRevAge19)-SUMIF(ThresholdAge19,"&lt;"&amp;AK10,WeightedMinAge19),MAX(CapacityAge19*АбонементНовых*AK10,MeanMinAge19)))</f>
        <v/>
      </c>
      <c r="AL93" s="87">
        <f>IF(OR(('03_Сеть'!AL41-AL39)=0,19&lt;=КаникулыРоялти),0,('03_Сеть'!AL41-AL39)*IF(РоялтиПоГруппам="Да",MeanMinAge19+AL10*SUMIF(ThresholdAge19,"&lt;"&amp;AL10,WeightedRevAge19)-SUMIF(ThresholdAge19,"&lt;"&amp;AL10,WeightedMinAge19),MAX(CapacityAge19*АбонементНовых*AL10,MeanMinAge19)))</f>
        <v/>
      </c>
      <c r="AM93" s="87">
        <f>IF(OR(('03_Сеть'!AM41-AM39)=0,19&lt;=КаникулыРоялти),0,('03_Сеть'!AM41-AM39)*IF(РоялтиПоГруппам="Да",MeanMinAge19+AM10*SUMIF(ThresholdAge19,"&lt;"&amp;AM10,WeightedRevAge19)-SUMIF(ThresholdAge19,"&lt;"&amp;AM10,WeightedMinAge19),MAX(CapacityAge19*АбонементНовых*AM10,MeanMinAge19)))</f>
        <v/>
      </c>
      <c r="AN93" s="87">
        <f>IF(OR(('03_Сеть'!AN41-AN39)=0,19&lt;=КаникулыРоялти),0,('03_Сеть'!AN41-AN39)*IF(РоялтиПоГруппам="Да",MeanMinAge19+AN10*SUMIF(ThresholdAge19,"&lt;"&amp;AN10,WeightedRevAge19)-SUMIF(ThresholdAge19,"&lt;"&amp;AN10,WeightedMinAge19),MAX(CapacityAge19*АбонементНовых*AN10,MeanMinAge19)))</f>
        <v/>
      </c>
      <c r="AO93" s="87">
        <f>IF(OR(('03_Сеть'!AO41-AO39)=0,19&lt;=КаникулыРоялти),0,('03_Сеть'!AO41-AO39)*IF(РоялтиПоГруппам="Да",MeanMinAge19+AO10*SUMIF(ThresholdAge19,"&lt;"&amp;AO10,WeightedRevAge19)-SUMIF(ThresholdAge19,"&lt;"&amp;AO10,WeightedMinAge19),MAX(CapacityAge19*АбонементНовых*AO10,MeanMinAge19)))</f>
        <v/>
      </c>
      <c r="AP93" s="87">
        <f>IF(OR(('03_Сеть'!AP41-AP39)=0,19&lt;=КаникулыРоялти),0,('03_Сеть'!AP41-AP39)*IF(РоялтиПоГруппам="Да",MeanMinAge19+AP10*SUMIF(ThresholdAge19,"&lt;"&amp;AP10,WeightedRevAge19)-SUMIF(ThresholdAge19,"&lt;"&amp;AP10,WeightedMinAge19),MAX(CapacityAge19*АбонементНовых*AP10,MeanMinAge19)))</f>
        <v/>
      </c>
      <c r="AQ93" s="87">
        <f>IF(OR(('03_Сеть'!AQ41-AQ39)=0,19&lt;=КаникулыРоялти),0,('03_Сеть'!AQ41-AQ39)*IF(РоялтиПоГруппам="Да",MeanMinAge19+AQ10*SUMIF(ThresholdAge19,"&lt;"&amp;AQ10,WeightedRevAge19)-SUMIF(ThresholdAge19,"&lt;"&amp;AQ10,WeightedMinAge19),MAX(CapacityAge19*АбонементНовых*AQ10,MeanMinAge19)))</f>
        <v/>
      </c>
      <c r="AR93" s="87">
        <f>IF(OR(('03_Сеть'!AR41-AR39)=0,19&lt;=КаникулыРоялти),0,('03_Сеть'!AR41-AR39)*IF(РоялтиПоГруппам="Да",MeanMinAge19+AR10*SUMIF(ThresholdAge19,"&lt;"&amp;AR10,WeightedRevAge19)-SUMIF(ThresholdAge19,"&lt;"&amp;AR10,WeightedMinAge19),MAX(CapacityAge19*АбонементНовых*AR10,MeanMinAge19)))</f>
        <v/>
      </c>
      <c r="AS93" s="87">
        <f>IF(OR(('03_Сеть'!AS41-AS39)=0,19&lt;=КаникулыРоялти),0,('03_Сеть'!AS41-AS39)*IF(РоялтиПоГруппам="Да",MeanMinAge19+AS10*SUMIF(ThresholdAge19,"&lt;"&amp;AS10,WeightedRevAge19)-SUMIF(ThresholdAge19,"&lt;"&amp;AS10,WeightedMinAge19),MAX(CapacityAge19*АбонементНовых*AS10,MeanMinAge19)))</f>
        <v/>
      </c>
      <c r="AT93" s="87">
        <f>IF(OR(('03_Сеть'!AT41-AT39)=0,19&lt;=КаникулыРоялти),0,('03_Сеть'!AT41-AT39)*IF(РоялтиПоГруппам="Да",MeanMinAge19+AT10*SUMIF(ThresholdAge19,"&lt;"&amp;AT10,WeightedRevAge19)-SUMIF(ThresholdAge19,"&lt;"&amp;AT10,WeightedMinAge19),MAX(CapacityAge19*АбонементНовых*AT10,MeanMinAge19)))</f>
        <v/>
      </c>
      <c r="AU93" s="87">
        <f>IF(OR(('03_Сеть'!AU41-AU39)=0,19&lt;=КаникулыРоялти),0,('03_Сеть'!AU41-AU39)*IF(РоялтиПоГруппам="Да",MeanMinAge19+AU10*SUMIF(ThresholdAge19,"&lt;"&amp;AU10,WeightedRevAge19)-SUMIF(ThresholdAge19,"&lt;"&amp;AU10,WeightedMinAge19),MAX(CapacityAge19*АбонементНовых*AU10,MeanMinAge19)))</f>
        <v/>
      </c>
      <c r="AV93" s="87">
        <f>IF(OR(('03_Сеть'!AV41-AV39)=0,19&lt;=КаникулыРоялти),0,('03_Сеть'!AV41-AV39)*IF(РоялтиПоГруппам="Да",MeanMinAge19+AV10*SUMIF(ThresholdAge19,"&lt;"&amp;AV10,WeightedRevAge19)-SUMIF(ThresholdAge19,"&lt;"&amp;AV10,WeightedMinAge19),MAX(CapacityAge19*АбонементНовых*AV10,MeanMinAge19)))</f>
        <v/>
      </c>
      <c r="AW93" s="87">
        <f>IF(OR(('03_Сеть'!AW41-AW39)=0,19&lt;=КаникулыРоялти),0,('03_Сеть'!AW41-AW39)*IF(РоялтиПоГруппам="Да",MeanMinAge19+AW10*SUMIF(ThresholdAge19,"&lt;"&amp;AW10,WeightedRevAge19)-SUMIF(ThresholdAge19,"&lt;"&amp;AW10,WeightedMinAge19),MAX(CapacityAge19*АбонементНовых*AW10,MeanMinAge19)))</f>
        <v/>
      </c>
      <c r="AX93" s="87">
        <f>IF(OR(('03_Сеть'!AX41-AX39)=0,19&lt;=КаникулыРоялти),0,('03_Сеть'!AX41-AX39)*IF(РоялтиПоГруппам="Да",MeanMinAge19+AX10*SUMIF(ThresholdAge19,"&lt;"&amp;AX10,WeightedRevAge19)-SUMIF(ThresholdAge19,"&lt;"&amp;AX10,WeightedMinAge19),MAX(CapacityAge19*АбонементНовых*AX10,MeanMinAge19)))</f>
        <v/>
      </c>
      <c r="AY93" s="87">
        <f>IF(OR(('03_Сеть'!AY41-AY39)=0,19&lt;=КаникулыРоялти),0,('03_Сеть'!AY41-AY39)*IF(РоялтиПоГруппам="Да",MeanMinAge19+AY10*SUMIF(ThresholdAge19,"&lt;"&amp;AY10,WeightedRevAge19)-SUMIF(ThresholdAge19,"&lt;"&amp;AY10,WeightedMinAge19),MAX(CapacityAge19*АбонементНовых*AY10,MeanMinAge19)))</f>
        <v/>
      </c>
      <c r="AZ93" s="87">
        <f>IF(OR(('03_Сеть'!AZ41-AZ39)=0,19&lt;=КаникулыРоялти),0,('03_Сеть'!AZ41-AZ39)*IF(РоялтиПоГруппам="Да",MeanMinAge19+AZ10*SUMIF(ThresholdAge19,"&lt;"&amp;AZ10,WeightedRevAge19)-SUMIF(ThresholdAge19,"&lt;"&amp;AZ10,WeightedMinAge19),MAX(CapacityAge19*АбонементНовых*AZ10,MeanMinAge19)))</f>
        <v/>
      </c>
      <c r="BA93" s="87">
        <f>IF(OR(('03_Сеть'!BA41-BA39)=0,19&lt;=КаникулыРоялти),0,('03_Сеть'!BA41-BA39)*IF(РоялтиПоГруппам="Да",MeanMinAge19+BA10*SUMIF(ThresholdAge19,"&lt;"&amp;BA10,WeightedRevAge19)-SUMIF(ThresholdAge19,"&lt;"&amp;BA10,WeightedMinAge19),MAX(CapacityAge19*АбонементНовых*BA10,MeanMinAge19)))</f>
        <v/>
      </c>
      <c r="BB93" s="87">
        <f>IF(OR(('03_Сеть'!BB41-BB39)=0,19&lt;=КаникулыРоялти),0,('03_Сеть'!BB41-BB39)*IF(РоялтиПоГруппам="Да",MeanMinAge19+BB10*SUMIF(ThresholdAge19,"&lt;"&amp;BB10,WeightedRevAge19)-SUMIF(ThresholdAge19,"&lt;"&amp;BB10,WeightedMinAge19),MAX(CapacityAge19*АбонементНовых*BB10,MeanMinAge19)))</f>
        <v/>
      </c>
      <c r="BC93" s="87">
        <f>IF(OR(('03_Сеть'!BC41-BC39)=0,19&lt;=КаникулыРоялти),0,('03_Сеть'!BC41-BC39)*IF(РоялтиПоГруппам="Да",MeanMinAge19+BC10*SUMIF(ThresholdAge19,"&lt;"&amp;BC10,WeightedRevAge19)-SUMIF(ThresholdAge19,"&lt;"&amp;BC10,WeightedMinAge19),MAX(CapacityAge19*АбонементНовых*BC10,MeanMinAge19)))</f>
        <v/>
      </c>
      <c r="BD93" s="87">
        <f>IF(OR(('03_Сеть'!BD41-BD39)=0,19&lt;=КаникулыРоялти),0,('03_Сеть'!BD41-BD39)*IF(РоялтиПоГруппам="Да",MeanMinAge19+BD10*SUMIF(ThresholdAge19,"&lt;"&amp;BD10,WeightedRevAge19)-SUMIF(ThresholdAge19,"&lt;"&amp;BD10,WeightedMinAge19),MAX(CapacityAge19*АбонементНовых*BD10,MeanMinAge19)))</f>
        <v/>
      </c>
      <c r="BE93" s="87">
        <f>IF(OR(('03_Сеть'!BE41-BE39)=0,19&lt;=КаникулыРоялти),0,('03_Сеть'!BE41-BE39)*IF(РоялтиПоГруппам="Да",MeanMinAge19+BE10*SUMIF(ThresholdAge19,"&lt;"&amp;BE10,WeightedRevAge19)-SUMIF(ThresholdAge19,"&lt;"&amp;BE10,WeightedMinAge19),MAX(CapacityAge19*АбонементНовых*BE10,MeanMinAge19)))</f>
        <v/>
      </c>
      <c r="BF93" s="87">
        <f>IF(OR(('03_Сеть'!BF41-BF39)=0,19&lt;=КаникулыРоялти),0,('03_Сеть'!BF41-BF39)*IF(РоялтиПоГруппам="Да",MeanMinAge19+BF10*SUMIF(ThresholdAge19,"&lt;"&amp;BF10,WeightedRevAge19)-SUMIF(ThresholdAge19,"&lt;"&amp;BF10,WeightedMinAge19),MAX(CapacityAge19*АбонементНовых*BF10,MeanMinAge19)))</f>
        <v/>
      </c>
      <c r="BG93" s="87">
        <f>IF(OR(('03_Сеть'!BG41-BG39)=0,19&lt;=КаникулыРоялти),0,('03_Сеть'!BG41-BG39)*IF(РоялтиПоГруппам="Да",MeanMinAge19+BG10*SUMIF(ThresholdAge19,"&lt;"&amp;BG10,WeightedRevAge19)-SUMIF(ThresholdAge19,"&lt;"&amp;BG10,WeightedMinAge19),MAX(CapacityAge19*АбонементНовых*BG10,MeanMinAge19)))</f>
        <v/>
      </c>
      <c r="BH93" s="87">
        <f>IF(OR(('03_Сеть'!BH41-BH39)=0,19&lt;=КаникулыРоялти),0,('03_Сеть'!BH41-BH39)*IF(РоялтиПоГруппам="Да",MeanMinAge19+BH10*SUMIF(ThresholdAge19,"&lt;"&amp;BH10,WeightedRevAge19)-SUMIF(ThresholdAge19,"&lt;"&amp;BH10,WeightedMinAge19),MAX(CapacityAge19*АбонементНовых*BH10,MeanMinAge19)))</f>
        <v/>
      </c>
      <c r="BI93" s="87">
        <f>IF(OR(('03_Сеть'!BI41-BI39)=0,19&lt;=КаникулыРоялти),0,('03_Сеть'!BI41-BI39)*IF(РоялтиПоГруппам="Да",MeanMinAge19+BI10*SUMIF(ThresholdAge19,"&lt;"&amp;BI10,WeightedRevAge19)-SUMIF(ThresholdAge19,"&lt;"&amp;BI10,WeightedMinAge19),MAX(CapacityAge19*АбонементНовых*BI10,MeanMinAge19)))</f>
        <v/>
      </c>
      <c r="BJ93" s="87">
        <f>IF(OR(('03_Сеть'!BJ41-BJ39)=0,19&lt;=КаникулыРоялти),0,('03_Сеть'!BJ41-BJ39)*IF(РоялтиПоГруппам="Да",MeanMinAge19+BJ10*SUMIF(ThresholdAge19,"&lt;"&amp;BJ10,WeightedRevAge19)-SUMIF(ThresholdAge19,"&lt;"&amp;BJ10,WeightedMinAge19),MAX(CapacityAge19*АбонементНовых*BJ10,MeanMinAge19)))</f>
        <v/>
      </c>
      <c r="BK93" s="87">
        <f>IF(OR(('03_Сеть'!BK41-BK39)=0,19&lt;=КаникулыРоялти),0,('03_Сеть'!BK41-BK39)*IF(РоялтиПоГруппам="Да",MeanMinAge19+BK10*SUMIF(ThresholdAge19,"&lt;"&amp;BK10,WeightedRevAge19)-SUMIF(ThresholdAge19,"&lt;"&amp;BK10,WeightedMinAge19),MAX(CapacityAge19*АбонементНовых*BK10,MeanMinAge19)))</f>
        <v/>
      </c>
      <c r="BL93" s="87">
        <f>IF(OR(('03_Сеть'!BL41-BL39)=0,19&lt;=КаникулыРоялти),0,('03_Сеть'!BL41-BL39)*IF(РоялтиПоГруппам="Да",MeanMinAge19+BL10*SUMIF(ThresholdAge19,"&lt;"&amp;BL10,WeightedRevAge19)-SUMIF(ThresholdAge19,"&lt;"&amp;BL10,WeightedMinAge19),MAX(CapacityAge19*АбонементНовых*BL10,MeanMinAge19)))</f>
        <v/>
      </c>
      <c r="BM93" s="87">
        <f>IF(OR(('03_Сеть'!BM41-BM39)=0,19&lt;=КаникулыРоялти),0,('03_Сеть'!BM41-BM39)*IF(РоялтиПоГруппам="Да",MeanMinAge19+BM10*SUMIF(ThresholdAge19,"&lt;"&amp;BM10,WeightedRevAge19)-SUMIF(ThresholdAge19,"&lt;"&amp;BM10,WeightedMinAge19),MAX(CapacityAge19*АбонементНовых*BM10,MeanMinAge19)))</f>
        <v/>
      </c>
      <c r="BN93" s="87">
        <f>IF(OR(('03_Сеть'!BN41-BN39)=0,19&lt;=КаникулыРоялти),0,('03_Сеть'!BN41-BN39)*IF(РоялтиПоГруппам="Да",MeanMinAge19+BN10*SUMIF(ThresholdAge19,"&lt;"&amp;BN10,WeightedRevAge19)-SUMIF(ThresholdAge19,"&lt;"&amp;BN10,WeightedMinAge19),MAX(CapacityAge19*АбонементНовых*BN10,MeanMinAge19)))</f>
        <v/>
      </c>
      <c r="BO93" s="87">
        <f>IF(OR(('03_Сеть'!BO41-BO39)=0,19&lt;=КаникулыРоялти),0,('03_Сеть'!BO41-BO39)*IF(РоялтиПоГруппам="Да",MeanMinAge19+BO10*SUMIF(ThresholdAge19,"&lt;"&amp;BO10,WeightedRevAge19)-SUMIF(ThresholdAge19,"&lt;"&amp;BO10,WeightedMinAge19),MAX(CapacityAge19*АбонементНовых*BO10,MeanMinAge19)))</f>
        <v/>
      </c>
      <c r="BP93" s="87">
        <f>IF(OR(('03_Сеть'!BP41-BP39)=0,19&lt;=КаникулыРоялти),0,('03_Сеть'!BP41-BP39)*IF(РоялтиПоГруппам="Да",MeanMinAge19+BP10*SUMIF(ThresholdAge19,"&lt;"&amp;BP10,WeightedRevAge19)-SUMIF(ThresholdAge19,"&lt;"&amp;BP10,WeightedMinAge19),MAX(CapacityAge19*АбонементНовых*BP10,MeanMinAge19)))</f>
        <v/>
      </c>
      <c r="BQ93" s="87">
        <f>IF(OR(('03_Сеть'!BQ41-BQ39)=0,19&lt;=КаникулыРоялти),0,('03_Сеть'!BQ41-BQ39)*IF(РоялтиПоГруппам="Да",MeanMinAge19+BQ10*SUMIF(ThresholdAge19,"&lt;"&amp;BQ10,WeightedRevAge19)-SUMIF(ThresholdAge19,"&lt;"&amp;BQ10,WeightedMinAge19),MAX(CapacityAge19*АбонементНовых*BQ10,MeanMinAge19)))</f>
        <v/>
      </c>
      <c r="BR93" s="87">
        <f>IF(OR(('03_Сеть'!BR41-BR39)=0,19&lt;=КаникулыРоялти),0,('03_Сеть'!BR41-BR39)*IF(РоялтиПоГруппам="Да",MeanMinAge19+BR10*SUMIF(ThresholdAge19,"&lt;"&amp;BR10,WeightedRevAge19)-SUMIF(ThresholdAge19,"&lt;"&amp;BR10,WeightedMinAge19),MAX(CapacityAge19*АбонементНовых*BR10,MeanMinAge19)))</f>
        <v/>
      </c>
      <c r="BS93" s="87">
        <f>IF(OR(('03_Сеть'!BS41-BS39)=0,19&lt;=КаникулыРоялти),0,('03_Сеть'!BS41-BS39)*IF(РоялтиПоГруппам="Да",MeanMinAge19+BS10*SUMIF(ThresholdAge19,"&lt;"&amp;BS10,WeightedRevAge19)-SUMIF(ThresholdAge19,"&lt;"&amp;BS10,WeightedMinAge19),MAX(CapacityAge19*АбонементНовых*BS10,MeanMinAge19)))</f>
        <v/>
      </c>
      <c r="BT93" s="87">
        <f>IF(OR(('03_Сеть'!BT41-BT39)=0,19&lt;=КаникулыРоялти),0,('03_Сеть'!BT41-BT39)*IF(РоялтиПоГруппам="Да",MeanMinAge19+BT10*SUMIF(ThresholdAge19,"&lt;"&amp;BT10,WeightedRevAge19)-SUMIF(ThresholdAge19,"&lt;"&amp;BT10,WeightedMinAge19),MAX(CapacityAge19*АбонементНовых*BT10,MeanMinAge19)))</f>
        <v/>
      </c>
      <c r="BU93" s="87">
        <f>IF(OR(('03_Сеть'!BU41-BU39)=0,19&lt;=КаникулыРоялти),0,('03_Сеть'!BU41-BU39)*IF(РоялтиПоГруппам="Да",MeanMinAge19+BU10*SUMIF(ThresholdAge19,"&lt;"&amp;BU10,WeightedRevAge19)-SUMIF(ThresholdAge19,"&lt;"&amp;BU10,WeightedMinAge19),MAX(CapacityAge19*АбонементНовых*BU10,MeanMinAge19)))</f>
        <v/>
      </c>
      <c r="BV93" s="87">
        <f>IF(OR(('03_Сеть'!BV41-BV39)=0,19&lt;=КаникулыРоялти),0,('03_Сеть'!BV41-BV39)*IF(РоялтиПоГруппам="Да",MeanMinAge19+BV10*SUMIF(ThresholdAge19,"&lt;"&amp;BV10,WeightedRevAge19)-SUMIF(ThresholdAge19,"&lt;"&amp;BV10,WeightedMinAge19),MAX(CapacityAge19*АбонементНовых*BV10,MeanMinAge19)))</f>
        <v/>
      </c>
      <c r="BW93" s="87">
        <f>IF(OR(('03_Сеть'!BW41-BW39)=0,19&lt;=КаникулыРоялти),0,('03_Сеть'!BW41-BW39)*IF(РоялтиПоГруппам="Да",MeanMinAge19+BW10*SUMIF(ThresholdAge19,"&lt;"&amp;BW10,WeightedRevAge19)-SUMIF(ThresholdAge19,"&lt;"&amp;BW10,WeightedMinAge19),MAX(CapacityAge19*АбонементНовых*BW10,MeanMinAge19)))</f>
        <v/>
      </c>
      <c r="BX93" s="87">
        <f>IF(OR(('03_Сеть'!BX41-BX39)=0,19&lt;=КаникулыРоялти),0,('03_Сеть'!BX41-BX39)*IF(РоялтиПоГруппам="Да",MeanMinAge19+BX10*SUMIF(ThresholdAge19,"&lt;"&amp;BX10,WeightedRevAge19)-SUMIF(ThresholdAge19,"&lt;"&amp;BX10,WeightedMinAge19),MAX(CapacityAge19*АбонементНовых*BX10,MeanMinAge19)))</f>
        <v/>
      </c>
      <c r="BY93" s="87">
        <f>IF(OR(('03_Сеть'!BY41-BY39)=0,19&lt;=КаникулыРоялти),0,('03_Сеть'!BY41-BY39)*IF(РоялтиПоГруппам="Да",MeanMinAge19+BY10*SUMIF(ThresholdAge19,"&lt;"&amp;BY10,WeightedRevAge19)-SUMIF(ThresholdAge19,"&lt;"&amp;BY10,WeightedMinAge19),MAX(CapacityAge19*АбонементНовых*BY10,MeanMinAge19)))</f>
        <v/>
      </c>
    </row>
    <row r="94" ht="15.75" customHeight="1" s="194">
      <c r="B94" s="56" t="inlineStr">
        <is>
          <t>20 мес.</t>
        </is>
      </c>
      <c r="C94" s="56" t="inlineStr">
        <is>
          <t>₽</t>
        </is>
      </c>
      <c r="D94" s="57" t="n"/>
      <c r="E94" s="85">
        <f>SUM(L94:W94)</f>
        <v/>
      </c>
      <c r="F94" s="85">
        <f>SUM(X94:AI94)</f>
        <v/>
      </c>
      <c r="G94" s="85">
        <f>SUM(AJ94:AU94)</f>
        <v/>
      </c>
      <c r="H94" s="85">
        <f>SUM(AV94:BG94)</f>
        <v/>
      </c>
      <c r="I94" s="85">
        <f>SUM(BH94:BS94)</f>
        <v/>
      </c>
      <c r="J94" s="86">
        <f>SUM(L94:BS94)</f>
        <v/>
      </c>
      <c r="L94" s="87">
        <f>IF(OR(('03_Сеть'!L42-L40)=0,20&lt;=КаникулыРоялти),0,('03_Сеть'!L42-L40)*IF(РоялтиПоГруппам="Да",MeanMinAge20+L10*SUMIF(ThresholdAge20,"&lt;"&amp;L10,WeightedRevAge20)-SUMIF(ThresholdAge20,"&lt;"&amp;L10,WeightedMinAge20),MAX(CapacityAge20*АбонементНовых*L10,MeanMinAge20)))</f>
        <v/>
      </c>
      <c r="M94" s="87">
        <f>IF(OR(('03_Сеть'!M42-M40)=0,20&lt;=КаникулыРоялти),0,('03_Сеть'!M42-M40)*IF(РоялтиПоГруппам="Да",MeanMinAge20+M10*SUMIF(ThresholdAge20,"&lt;"&amp;M10,WeightedRevAge20)-SUMIF(ThresholdAge20,"&lt;"&amp;M10,WeightedMinAge20),MAX(CapacityAge20*АбонементНовых*M10,MeanMinAge20)))</f>
        <v/>
      </c>
      <c r="N94" s="87">
        <f>IF(OR(('03_Сеть'!N42-N40)=0,20&lt;=КаникулыРоялти),0,('03_Сеть'!N42-N40)*IF(РоялтиПоГруппам="Да",MeanMinAge20+N10*SUMIF(ThresholdAge20,"&lt;"&amp;N10,WeightedRevAge20)-SUMIF(ThresholdAge20,"&lt;"&amp;N10,WeightedMinAge20),MAX(CapacityAge20*АбонементНовых*N10,MeanMinAge20)))</f>
        <v/>
      </c>
      <c r="O94" s="87">
        <f>IF(OR(('03_Сеть'!O42-O40)=0,20&lt;=КаникулыРоялти),0,('03_Сеть'!O42-O40)*IF(РоялтиПоГруппам="Да",MeanMinAge20+O10*SUMIF(ThresholdAge20,"&lt;"&amp;O10,WeightedRevAge20)-SUMIF(ThresholdAge20,"&lt;"&amp;O10,WeightedMinAge20),MAX(CapacityAge20*АбонементНовых*O10,MeanMinAge20)))</f>
        <v/>
      </c>
      <c r="P94" s="87">
        <f>IF(OR(('03_Сеть'!P42-P40)=0,20&lt;=КаникулыРоялти),0,('03_Сеть'!P42-P40)*IF(РоялтиПоГруппам="Да",MeanMinAge20+P10*SUMIF(ThresholdAge20,"&lt;"&amp;P10,WeightedRevAge20)-SUMIF(ThresholdAge20,"&lt;"&amp;P10,WeightedMinAge20),MAX(CapacityAge20*АбонементНовых*P10,MeanMinAge20)))</f>
        <v/>
      </c>
      <c r="Q94" s="87">
        <f>IF(OR(('03_Сеть'!Q42-Q40)=0,20&lt;=КаникулыРоялти),0,('03_Сеть'!Q42-Q40)*IF(РоялтиПоГруппам="Да",MeanMinAge20+Q10*SUMIF(ThresholdAge20,"&lt;"&amp;Q10,WeightedRevAge20)-SUMIF(ThresholdAge20,"&lt;"&amp;Q10,WeightedMinAge20),MAX(CapacityAge20*АбонементНовых*Q10,MeanMinAge20)))</f>
        <v/>
      </c>
      <c r="R94" s="87">
        <f>IF(OR(('03_Сеть'!R42-R40)=0,20&lt;=КаникулыРоялти),0,('03_Сеть'!R42-R40)*IF(РоялтиПоГруппам="Да",MeanMinAge20+R10*SUMIF(ThresholdAge20,"&lt;"&amp;R10,WeightedRevAge20)-SUMIF(ThresholdAge20,"&lt;"&amp;R10,WeightedMinAge20),MAX(CapacityAge20*АбонементНовых*R10,MeanMinAge20)))</f>
        <v/>
      </c>
      <c r="S94" s="87">
        <f>IF(OR(('03_Сеть'!S42-S40)=0,20&lt;=КаникулыРоялти),0,('03_Сеть'!S42-S40)*IF(РоялтиПоГруппам="Да",MeanMinAge20+S10*SUMIF(ThresholdAge20,"&lt;"&amp;S10,WeightedRevAge20)-SUMIF(ThresholdAge20,"&lt;"&amp;S10,WeightedMinAge20),MAX(CapacityAge20*АбонементНовых*S10,MeanMinAge20)))</f>
        <v/>
      </c>
      <c r="T94" s="87">
        <f>IF(OR(('03_Сеть'!T42-T40)=0,20&lt;=КаникулыРоялти),0,('03_Сеть'!T42-T40)*IF(РоялтиПоГруппам="Да",MeanMinAge20+T10*SUMIF(ThresholdAge20,"&lt;"&amp;T10,WeightedRevAge20)-SUMIF(ThresholdAge20,"&lt;"&amp;T10,WeightedMinAge20),MAX(CapacityAge20*АбонементНовых*T10,MeanMinAge20)))</f>
        <v/>
      </c>
      <c r="U94" s="87">
        <f>IF(OR(('03_Сеть'!U42-U40)=0,20&lt;=КаникулыРоялти),0,('03_Сеть'!U42-U40)*IF(РоялтиПоГруппам="Да",MeanMinAge20+U10*SUMIF(ThresholdAge20,"&lt;"&amp;U10,WeightedRevAge20)-SUMIF(ThresholdAge20,"&lt;"&amp;U10,WeightedMinAge20),MAX(CapacityAge20*АбонементНовых*U10,MeanMinAge20)))</f>
        <v/>
      </c>
      <c r="V94" s="87">
        <f>IF(OR(('03_Сеть'!V42-V40)=0,20&lt;=КаникулыРоялти),0,('03_Сеть'!V42-V40)*IF(РоялтиПоГруппам="Да",MeanMinAge20+V10*SUMIF(ThresholdAge20,"&lt;"&amp;V10,WeightedRevAge20)-SUMIF(ThresholdAge20,"&lt;"&amp;V10,WeightedMinAge20),MAX(CapacityAge20*АбонементНовых*V10,MeanMinAge20)))</f>
        <v/>
      </c>
      <c r="W94" s="87">
        <f>IF(OR(('03_Сеть'!W42-W40)=0,20&lt;=КаникулыРоялти),0,('03_Сеть'!W42-W40)*IF(РоялтиПоГруппам="Да",MeanMinAge20+W10*SUMIF(ThresholdAge20,"&lt;"&amp;W10,WeightedRevAge20)-SUMIF(ThresholdAge20,"&lt;"&amp;W10,WeightedMinAge20),MAX(CapacityAge20*АбонементНовых*W10,MeanMinAge20)))</f>
        <v/>
      </c>
      <c r="X94" s="87">
        <f>IF(OR(('03_Сеть'!X42-X40)=0,20&lt;=КаникулыРоялти),0,('03_Сеть'!X42-X40)*IF(РоялтиПоГруппам="Да",MeanMinAge20+X10*SUMIF(ThresholdAge20,"&lt;"&amp;X10,WeightedRevAge20)-SUMIF(ThresholdAge20,"&lt;"&amp;X10,WeightedMinAge20),MAX(CapacityAge20*АбонементНовых*X10,MeanMinAge20)))</f>
        <v/>
      </c>
      <c r="Y94" s="87">
        <f>IF(OR(('03_Сеть'!Y42-Y40)=0,20&lt;=КаникулыРоялти),0,('03_Сеть'!Y42-Y40)*IF(РоялтиПоГруппам="Да",MeanMinAge20+Y10*SUMIF(ThresholdAge20,"&lt;"&amp;Y10,WeightedRevAge20)-SUMIF(ThresholdAge20,"&lt;"&amp;Y10,WeightedMinAge20),MAX(CapacityAge20*АбонементНовых*Y10,MeanMinAge20)))</f>
        <v/>
      </c>
      <c r="Z94" s="87">
        <f>IF(OR(('03_Сеть'!Z42-Z40)=0,20&lt;=КаникулыРоялти),0,('03_Сеть'!Z42-Z40)*IF(РоялтиПоГруппам="Да",MeanMinAge20+Z10*SUMIF(ThresholdAge20,"&lt;"&amp;Z10,WeightedRevAge20)-SUMIF(ThresholdAge20,"&lt;"&amp;Z10,WeightedMinAge20),MAX(CapacityAge20*АбонементНовых*Z10,MeanMinAge20)))</f>
        <v/>
      </c>
      <c r="AA94" s="87">
        <f>IF(OR(('03_Сеть'!AA42-AA40)=0,20&lt;=КаникулыРоялти),0,('03_Сеть'!AA42-AA40)*IF(РоялтиПоГруппам="Да",MeanMinAge20+AA10*SUMIF(ThresholdAge20,"&lt;"&amp;AA10,WeightedRevAge20)-SUMIF(ThresholdAge20,"&lt;"&amp;AA10,WeightedMinAge20),MAX(CapacityAge20*АбонементНовых*AA10,MeanMinAge20)))</f>
        <v/>
      </c>
      <c r="AB94" s="87">
        <f>IF(OR(('03_Сеть'!AB42-AB40)=0,20&lt;=КаникулыРоялти),0,('03_Сеть'!AB42-AB40)*IF(РоялтиПоГруппам="Да",MeanMinAge20+AB10*SUMIF(ThresholdAge20,"&lt;"&amp;AB10,WeightedRevAge20)-SUMIF(ThresholdAge20,"&lt;"&amp;AB10,WeightedMinAge20),MAX(CapacityAge20*АбонементНовых*AB10,MeanMinAge20)))</f>
        <v/>
      </c>
      <c r="AC94" s="87">
        <f>IF(OR(('03_Сеть'!AC42-AC40)=0,20&lt;=КаникулыРоялти),0,('03_Сеть'!AC42-AC40)*IF(РоялтиПоГруппам="Да",MeanMinAge20+AC10*SUMIF(ThresholdAge20,"&lt;"&amp;AC10,WeightedRevAge20)-SUMIF(ThresholdAge20,"&lt;"&amp;AC10,WeightedMinAge20),MAX(CapacityAge20*АбонементНовых*AC10,MeanMinAge20)))</f>
        <v/>
      </c>
      <c r="AD94" s="87">
        <f>IF(OR(('03_Сеть'!AD42-AD40)=0,20&lt;=КаникулыРоялти),0,('03_Сеть'!AD42-AD40)*IF(РоялтиПоГруппам="Да",MeanMinAge20+AD10*SUMIF(ThresholdAge20,"&lt;"&amp;AD10,WeightedRevAge20)-SUMIF(ThresholdAge20,"&lt;"&amp;AD10,WeightedMinAge20),MAX(CapacityAge20*АбонементНовых*AD10,MeanMinAge20)))</f>
        <v/>
      </c>
      <c r="AE94" s="87">
        <f>IF(OR(('03_Сеть'!AE42-AE40)=0,20&lt;=КаникулыРоялти),0,('03_Сеть'!AE42-AE40)*IF(РоялтиПоГруппам="Да",MeanMinAge20+AE10*SUMIF(ThresholdAge20,"&lt;"&amp;AE10,WeightedRevAge20)-SUMIF(ThresholdAge20,"&lt;"&amp;AE10,WeightedMinAge20),MAX(CapacityAge20*АбонементНовых*AE10,MeanMinAge20)))</f>
        <v/>
      </c>
      <c r="AF94" s="87">
        <f>IF(OR(('03_Сеть'!AF42-AF40)=0,20&lt;=КаникулыРоялти),0,('03_Сеть'!AF42-AF40)*IF(РоялтиПоГруппам="Да",MeanMinAge20+AF10*SUMIF(ThresholdAge20,"&lt;"&amp;AF10,WeightedRevAge20)-SUMIF(ThresholdAge20,"&lt;"&amp;AF10,WeightedMinAge20),MAX(CapacityAge20*АбонементНовых*AF10,MeanMinAge20)))</f>
        <v/>
      </c>
      <c r="AG94" s="87">
        <f>IF(OR(('03_Сеть'!AG42-AG40)=0,20&lt;=КаникулыРоялти),0,('03_Сеть'!AG42-AG40)*IF(РоялтиПоГруппам="Да",MeanMinAge20+AG10*SUMIF(ThresholdAge20,"&lt;"&amp;AG10,WeightedRevAge20)-SUMIF(ThresholdAge20,"&lt;"&amp;AG10,WeightedMinAge20),MAX(CapacityAge20*АбонементНовых*AG10,MeanMinAge20)))</f>
        <v/>
      </c>
      <c r="AH94" s="87">
        <f>IF(OR(('03_Сеть'!AH42-AH40)=0,20&lt;=КаникулыРоялти),0,('03_Сеть'!AH42-AH40)*IF(РоялтиПоГруппам="Да",MeanMinAge20+AH10*SUMIF(ThresholdAge20,"&lt;"&amp;AH10,WeightedRevAge20)-SUMIF(ThresholdAge20,"&lt;"&amp;AH10,WeightedMinAge20),MAX(CapacityAge20*АбонементНовых*AH10,MeanMinAge20)))</f>
        <v/>
      </c>
      <c r="AI94" s="87">
        <f>IF(OR(('03_Сеть'!AI42-AI40)=0,20&lt;=КаникулыРоялти),0,('03_Сеть'!AI42-AI40)*IF(РоялтиПоГруппам="Да",MeanMinAge20+AI10*SUMIF(ThresholdAge20,"&lt;"&amp;AI10,WeightedRevAge20)-SUMIF(ThresholdAge20,"&lt;"&amp;AI10,WeightedMinAge20),MAX(CapacityAge20*АбонементНовых*AI10,MeanMinAge20)))</f>
        <v/>
      </c>
      <c r="AJ94" s="87">
        <f>IF(OR(('03_Сеть'!AJ42-AJ40)=0,20&lt;=КаникулыРоялти),0,('03_Сеть'!AJ42-AJ40)*IF(РоялтиПоГруппам="Да",MeanMinAge20+AJ10*SUMIF(ThresholdAge20,"&lt;"&amp;AJ10,WeightedRevAge20)-SUMIF(ThresholdAge20,"&lt;"&amp;AJ10,WeightedMinAge20),MAX(CapacityAge20*АбонементНовых*AJ10,MeanMinAge20)))</f>
        <v/>
      </c>
      <c r="AK94" s="87">
        <f>IF(OR(('03_Сеть'!AK42-AK40)=0,20&lt;=КаникулыРоялти),0,('03_Сеть'!AK42-AK40)*IF(РоялтиПоГруппам="Да",MeanMinAge20+AK10*SUMIF(ThresholdAge20,"&lt;"&amp;AK10,WeightedRevAge20)-SUMIF(ThresholdAge20,"&lt;"&amp;AK10,WeightedMinAge20),MAX(CapacityAge20*АбонементНовых*AK10,MeanMinAge20)))</f>
        <v/>
      </c>
      <c r="AL94" s="87">
        <f>IF(OR(('03_Сеть'!AL42-AL40)=0,20&lt;=КаникулыРоялти),0,('03_Сеть'!AL42-AL40)*IF(РоялтиПоГруппам="Да",MeanMinAge20+AL10*SUMIF(ThresholdAge20,"&lt;"&amp;AL10,WeightedRevAge20)-SUMIF(ThresholdAge20,"&lt;"&amp;AL10,WeightedMinAge20),MAX(CapacityAge20*АбонементНовых*AL10,MeanMinAge20)))</f>
        <v/>
      </c>
      <c r="AM94" s="87">
        <f>IF(OR(('03_Сеть'!AM42-AM40)=0,20&lt;=КаникулыРоялти),0,('03_Сеть'!AM42-AM40)*IF(РоялтиПоГруппам="Да",MeanMinAge20+AM10*SUMIF(ThresholdAge20,"&lt;"&amp;AM10,WeightedRevAge20)-SUMIF(ThresholdAge20,"&lt;"&amp;AM10,WeightedMinAge20),MAX(CapacityAge20*АбонементНовых*AM10,MeanMinAge20)))</f>
        <v/>
      </c>
      <c r="AN94" s="87">
        <f>IF(OR(('03_Сеть'!AN42-AN40)=0,20&lt;=КаникулыРоялти),0,('03_Сеть'!AN42-AN40)*IF(РоялтиПоГруппам="Да",MeanMinAge20+AN10*SUMIF(ThresholdAge20,"&lt;"&amp;AN10,WeightedRevAge20)-SUMIF(ThresholdAge20,"&lt;"&amp;AN10,WeightedMinAge20),MAX(CapacityAge20*АбонементНовых*AN10,MeanMinAge20)))</f>
        <v/>
      </c>
      <c r="AO94" s="87">
        <f>IF(OR(('03_Сеть'!AO42-AO40)=0,20&lt;=КаникулыРоялти),0,('03_Сеть'!AO42-AO40)*IF(РоялтиПоГруппам="Да",MeanMinAge20+AO10*SUMIF(ThresholdAge20,"&lt;"&amp;AO10,WeightedRevAge20)-SUMIF(ThresholdAge20,"&lt;"&amp;AO10,WeightedMinAge20),MAX(CapacityAge20*АбонементНовых*AO10,MeanMinAge20)))</f>
        <v/>
      </c>
      <c r="AP94" s="87">
        <f>IF(OR(('03_Сеть'!AP42-AP40)=0,20&lt;=КаникулыРоялти),0,('03_Сеть'!AP42-AP40)*IF(РоялтиПоГруппам="Да",MeanMinAge20+AP10*SUMIF(ThresholdAge20,"&lt;"&amp;AP10,WeightedRevAge20)-SUMIF(ThresholdAge20,"&lt;"&amp;AP10,WeightedMinAge20),MAX(CapacityAge20*АбонементНовых*AP10,MeanMinAge20)))</f>
        <v/>
      </c>
      <c r="AQ94" s="87">
        <f>IF(OR(('03_Сеть'!AQ42-AQ40)=0,20&lt;=КаникулыРоялти),0,('03_Сеть'!AQ42-AQ40)*IF(РоялтиПоГруппам="Да",MeanMinAge20+AQ10*SUMIF(ThresholdAge20,"&lt;"&amp;AQ10,WeightedRevAge20)-SUMIF(ThresholdAge20,"&lt;"&amp;AQ10,WeightedMinAge20),MAX(CapacityAge20*АбонементНовых*AQ10,MeanMinAge20)))</f>
        <v/>
      </c>
      <c r="AR94" s="87">
        <f>IF(OR(('03_Сеть'!AR42-AR40)=0,20&lt;=КаникулыРоялти),0,('03_Сеть'!AR42-AR40)*IF(РоялтиПоГруппам="Да",MeanMinAge20+AR10*SUMIF(ThresholdAge20,"&lt;"&amp;AR10,WeightedRevAge20)-SUMIF(ThresholdAge20,"&lt;"&amp;AR10,WeightedMinAge20),MAX(CapacityAge20*АбонементНовых*AR10,MeanMinAge20)))</f>
        <v/>
      </c>
      <c r="AS94" s="87">
        <f>IF(OR(('03_Сеть'!AS42-AS40)=0,20&lt;=КаникулыРоялти),0,('03_Сеть'!AS42-AS40)*IF(РоялтиПоГруппам="Да",MeanMinAge20+AS10*SUMIF(ThresholdAge20,"&lt;"&amp;AS10,WeightedRevAge20)-SUMIF(ThresholdAge20,"&lt;"&amp;AS10,WeightedMinAge20),MAX(CapacityAge20*АбонементНовых*AS10,MeanMinAge20)))</f>
        <v/>
      </c>
      <c r="AT94" s="87">
        <f>IF(OR(('03_Сеть'!AT42-AT40)=0,20&lt;=КаникулыРоялти),0,('03_Сеть'!AT42-AT40)*IF(РоялтиПоГруппам="Да",MeanMinAge20+AT10*SUMIF(ThresholdAge20,"&lt;"&amp;AT10,WeightedRevAge20)-SUMIF(ThresholdAge20,"&lt;"&amp;AT10,WeightedMinAge20),MAX(CapacityAge20*АбонементНовых*AT10,MeanMinAge20)))</f>
        <v/>
      </c>
      <c r="AU94" s="87">
        <f>IF(OR(('03_Сеть'!AU42-AU40)=0,20&lt;=КаникулыРоялти),0,('03_Сеть'!AU42-AU40)*IF(РоялтиПоГруппам="Да",MeanMinAge20+AU10*SUMIF(ThresholdAge20,"&lt;"&amp;AU10,WeightedRevAge20)-SUMIF(ThresholdAge20,"&lt;"&amp;AU10,WeightedMinAge20),MAX(CapacityAge20*АбонементНовых*AU10,MeanMinAge20)))</f>
        <v/>
      </c>
      <c r="AV94" s="87">
        <f>IF(OR(('03_Сеть'!AV42-AV40)=0,20&lt;=КаникулыРоялти),0,('03_Сеть'!AV42-AV40)*IF(РоялтиПоГруппам="Да",MeanMinAge20+AV10*SUMIF(ThresholdAge20,"&lt;"&amp;AV10,WeightedRevAge20)-SUMIF(ThresholdAge20,"&lt;"&amp;AV10,WeightedMinAge20),MAX(CapacityAge20*АбонементНовых*AV10,MeanMinAge20)))</f>
        <v/>
      </c>
      <c r="AW94" s="87">
        <f>IF(OR(('03_Сеть'!AW42-AW40)=0,20&lt;=КаникулыРоялти),0,('03_Сеть'!AW42-AW40)*IF(РоялтиПоГруппам="Да",MeanMinAge20+AW10*SUMIF(ThresholdAge20,"&lt;"&amp;AW10,WeightedRevAge20)-SUMIF(ThresholdAge20,"&lt;"&amp;AW10,WeightedMinAge20),MAX(CapacityAge20*АбонементНовых*AW10,MeanMinAge20)))</f>
        <v/>
      </c>
      <c r="AX94" s="87">
        <f>IF(OR(('03_Сеть'!AX42-AX40)=0,20&lt;=КаникулыРоялти),0,('03_Сеть'!AX42-AX40)*IF(РоялтиПоГруппам="Да",MeanMinAge20+AX10*SUMIF(ThresholdAge20,"&lt;"&amp;AX10,WeightedRevAge20)-SUMIF(ThresholdAge20,"&lt;"&amp;AX10,WeightedMinAge20),MAX(CapacityAge20*АбонементНовых*AX10,MeanMinAge20)))</f>
        <v/>
      </c>
      <c r="AY94" s="87">
        <f>IF(OR(('03_Сеть'!AY42-AY40)=0,20&lt;=КаникулыРоялти),0,('03_Сеть'!AY42-AY40)*IF(РоялтиПоГруппам="Да",MeanMinAge20+AY10*SUMIF(ThresholdAge20,"&lt;"&amp;AY10,WeightedRevAge20)-SUMIF(ThresholdAge20,"&lt;"&amp;AY10,WeightedMinAge20),MAX(CapacityAge20*АбонементНовых*AY10,MeanMinAge20)))</f>
        <v/>
      </c>
      <c r="AZ94" s="87">
        <f>IF(OR(('03_Сеть'!AZ42-AZ40)=0,20&lt;=КаникулыРоялти),0,('03_Сеть'!AZ42-AZ40)*IF(РоялтиПоГруппам="Да",MeanMinAge20+AZ10*SUMIF(ThresholdAge20,"&lt;"&amp;AZ10,WeightedRevAge20)-SUMIF(ThresholdAge20,"&lt;"&amp;AZ10,WeightedMinAge20),MAX(CapacityAge20*АбонементНовых*AZ10,MeanMinAge20)))</f>
        <v/>
      </c>
      <c r="BA94" s="87">
        <f>IF(OR(('03_Сеть'!BA42-BA40)=0,20&lt;=КаникулыРоялти),0,('03_Сеть'!BA42-BA40)*IF(РоялтиПоГруппам="Да",MeanMinAge20+BA10*SUMIF(ThresholdAge20,"&lt;"&amp;BA10,WeightedRevAge20)-SUMIF(ThresholdAge20,"&lt;"&amp;BA10,WeightedMinAge20),MAX(CapacityAge20*АбонементНовых*BA10,MeanMinAge20)))</f>
        <v/>
      </c>
      <c r="BB94" s="87">
        <f>IF(OR(('03_Сеть'!BB42-BB40)=0,20&lt;=КаникулыРоялти),0,('03_Сеть'!BB42-BB40)*IF(РоялтиПоГруппам="Да",MeanMinAge20+BB10*SUMIF(ThresholdAge20,"&lt;"&amp;BB10,WeightedRevAge20)-SUMIF(ThresholdAge20,"&lt;"&amp;BB10,WeightedMinAge20),MAX(CapacityAge20*АбонементНовых*BB10,MeanMinAge20)))</f>
        <v/>
      </c>
      <c r="BC94" s="87">
        <f>IF(OR(('03_Сеть'!BC42-BC40)=0,20&lt;=КаникулыРоялти),0,('03_Сеть'!BC42-BC40)*IF(РоялтиПоГруппам="Да",MeanMinAge20+BC10*SUMIF(ThresholdAge20,"&lt;"&amp;BC10,WeightedRevAge20)-SUMIF(ThresholdAge20,"&lt;"&amp;BC10,WeightedMinAge20),MAX(CapacityAge20*АбонементНовых*BC10,MeanMinAge20)))</f>
        <v/>
      </c>
      <c r="BD94" s="87">
        <f>IF(OR(('03_Сеть'!BD42-BD40)=0,20&lt;=КаникулыРоялти),0,('03_Сеть'!BD42-BD40)*IF(РоялтиПоГруппам="Да",MeanMinAge20+BD10*SUMIF(ThresholdAge20,"&lt;"&amp;BD10,WeightedRevAge20)-SUMIF(ThresholdAge20,"&lt;"&amp;BD10,WeightedMinAge20),MAX(CapacityAge20*АбонементНовых*BD10,MeanMinAge20)))</f>
        <v/>
      </c>
      <c r="BE94" s="87">
        <f>IF(OR(('03_Сеть'!BE42-BE40)=0,20&lt;=КаникулыРоялти),0,('03_Сеть'!BE42-BE40)*IF(РоялтиПоГруппам="Да",MeanMinAge20+BE10*SUMIF(ThresholdAge20,"&lt;"&amp;BE10,WeightedRevAge20)-SUMIF(ThresholdAge20,"&lt;"&amp;BE10,WeightedMinAge20),MAX(CapacityAge20*АбонементНовых*BE10,MeanMinAge20)))</f>
        <v/>
      </c>
      <c r="BF94" s="87">
        <f>IF(OR(('03_Сеть'!BF42-BF40)=0,20&lt;=КаникулыРоялти),0,('03_Сеть'!BF42-BF40)*IF(РоялтиПоГруппам="Да",MeanMinAge20+BF10*SUMIF(ThresholdAge20,"&lt;"&amp;BF10,WeightedRevAge20)-SUMIF(ThresholdAge20,"&lt;"&amp;BF10,WeightedMinAge20),MAX(CapacityAge20*АбонементНовых*BF10,MeanMinAge20)))</f>
        <v/>
      </c>
      <c r="BG94" s="87">
        <f>IF(OR(('03_Сеть'!BG42-BG40)=0,20&lt;=КаникулыРоялти),0,('03_Сеть'!BG42-BG40)*IF(РоялтиПоГруппам="Да",MeanMinAge20+BG10*SUMIF(ThresholdAge20,"&lt;"&amp;BG10,WeightedRevAge20)-SUMIF(ThresholdAge20,"&lt;"&amp;BG10,WeightedMinAge20),MAX(CapacityAge20*АбонементНовых*BG10,MeanMinAge20)))</f>
        <v/>
      </c>
      <c r="BH94" s="87">
        <f>IF(OR(('03_Сеть'!BH42-BH40)=0,20&lt;=КаникулыРоялти),0,('03_Сеть'!BH42-BH40)*IF(РоялтиПоГруппам="Да",MeanMinAge20+BH10*SUMIF(ThresholdAge20,"&lt;"&amp;BH10,WeightedRevAge20)-SUMIF(ThresholdAge20,"&lt;"&amp;BH10,WeightedMinAge20),MAX(CapacityAge20*АбонементНовых*BH10,MeanMinAge20)))</f>
        <v/>
      </c>
      <c r="BI94" s="87">
        <f>IF(OR(('03_Сеть'!BI42-BI40)=0,20&lt;=КаникулыРоялти),0,('03_Сеть'!BI42-BI40)*IF(РоялтиПоГруппам="Да",MeanMinAge20+BI10*SUMIF(ThresholdAge20,"&lt;"&amp;BI10,WeightedRevAge20)-SUMIF(ThresholdAge20,"&lt;"&amp;BI10,WeightedMinAge20),MAX(CapacityAge20*АбонементНовых*BI10,MeanMinAge20)))</f>
        <v/>
      </c>
      <c r="BJ94" s="87">
        <f>IF(OR(('03_Сеть'!BJ42-BJ40)=0,20&lt;=КаникулыРоялти),0,('03_Сеть'!BJ42-BJ40)*IF(РоялтиПоГруппам="Да",MeanMinAge20+BJ10*SUMIF(ThresholdAge20,"&lt;"&amp;BJ10,WeightedRevAge20)-SUMIF(ThresholdAge20,"&lt;"&amp;BJ10,WeightedMinAge20),MAX(CapacityAge20*АбонементНовых*BJ10,MeanMinAge20)))</f>
        <v/>
      </c>
      <c r="BK94" s="87">
        <f>IF(OR(('03_Сеть'!BK42-BK40)=0,20&lt;=КаникулыРоялти),0,('03_Сеть'!BK42-BK40)*IF(РоялтиПоГруппам="Да",MeanMinAge20+BK10*SUMIF(ThresholdAge20,"&lt;"&amp;BK10,WeightedRevAge20)-SUMIF(ThresholdAge20,"&lt;"&amp;BK10,WeightedMinAge20),MAX(CapacityAge20*АбонементНовых*BK10,MeanMinAge20)))</f>
        <v/>
      </c>
      <c r="BL94" s="87">
        <f>IF(OR(('03_Сеть'!BL42-BL40)=0,20&lt;=КаникулыРоялти),0,('03_Сеть'!BL42-BL40)*IF(РоялтиПоГруппам="Да",MeanMinAge20+BL10*SUMIF(ThresholdAge20,"&lt;"&amp;BL10,WeightedRevAge20)-SUMIF(ThresholdAge20,"&lt;"&amp;BL10,WeightedMinAge20),MAX(CapacityAge20*АбонементНовых*BL10,MeanMinAge20)))</f>
        <v/>
      </c>
      <c r="BM94" s="87">
        <f>IF(OR(('03_Сеть'!BM42-BM40)=0,20&lt;=КаникулыРоялти),0,('03_Сеть'!BM42-BM40)*IF(РоялтиПоГруппам="Да",MeanMinAge20+BM10*SUMIF(ThresholdAge20,"&lt;"&amp;BM10,WeightedRevAge20)-SUMIF(ThresholdAge20,"&lt;"&amp;BM10,WeightedMinAge20),MAX(CapacityAge20*АбонементНовых*BM10,MeanMinAge20)))</f>
        <v/>
      </c>
      <c r="BN94" s="87">
        <f>IF(OR(('03_Сеть'!BN42-BN40)=0,20&lt;=КаникулыРоялти),0,('03_Сеть'!BN42-BN40)*IF(РоялтиПоГруппам="Да",MeanMinAge20+BN10*SUMIF(ThresholdAge20,"&lt;"&amp;BN10,WeightedRevAge20)-SUMIF(ThresholdAge20,"&lt;"&amp;BN10,WeightedMinAge20),MAX(CapacityAge20*АбонементНовых*BN10,MeanMinAge20)))</f>
        <v/>
      </c>
      <c r="BO94" s="87">
        <f>IF(OR(('03_Сеть'!BO42-BO40)=0,20&lt;=КаникулыРоялти),0,('03_Сеть'!BO42-BO40)*IF(РоялтиПоГруппам="Да",MeanMinAge20+BO10*SUMIF(ThresholdAge20,"&lt;"&amp;BO10,WeightedRevAge20)-SUMIF(ThresholdAge20,"&lt;"&amp;BO10,WeightedMinAge20),MAX(CapacityAge20*АбонементНовых*BO10,MeanMinAge20)))</f>
        <v/>
      </c>
      <c r="BP94" s="87">
        <f>IF(OR(('03_Сеть'!BP42-BP40)=0,20&lt;=КаникулыРоялти),0,('03_Сеть'!BP42-BP40)*IF(РоялтиПоГруппам="Да",MeanMinAge20+BP10*SUMIF(ThresholdAge20,"&lt;"&amp;BP10,WeightedRevAge20)-SUMIF(ThresholdAge20,"&lt;"&amp;BP10,WeightedMinAge20),MAX(CapacityAge20*АбонементНовых*BP10,MeanMinAge20)))</f>
        <v/>
      </c>
      <c r="BQ94" s="87">
        <f>IF(OR(('03_Сеть'!BQ42-BQ40)=0,20&lt;=КаникулыРоялти),0,('03_Сеть'!BQ42-BQ40)*IF(РоялтиПоГруппам="Да",MeanMinAge20+BQ10*SUMIF(ThresholdAge20,"&lt;"&amp;BQ10,WeightedRevAge20)-SUMIF(ThresholdAge20,"&lt;"&amp;BQ10,WeightedMinAge20),MAX(CapacityAge20*АбонементНовых*BQ10,MeanMinAge20)))</f>
        <v/>
      </c>
      <c r="BR94" s="87">
        <f>IF(OR(('03_Сеть'!BR42-BR40)=0,20&lt;=КаникулыРоялти),0,('03_Сеть'!BR42-BR40)*IF(РоялтиПоГруппам="Да",MeanMinAge20+BR10*SUMIF(ThresholdAge20,"&lt;"&amp;BR10,WeightedRevAge20)-SUMIF(ThresholdAge20,"&lt;"&amp;BR10,WeightedMinAge20),MAX(CapacityAge20*АбонементНовых*BR10,MeanMinAge20)))</f>
        <v/>
      </c>
      <c r="BS94" s="87">
        <f>IF(OR(('03_Сеть'!BS42-BS40)=0,20&lt;=КаникулыРоялти),0,('03_Сеть'!BS42-BS40)*IF(РоялтиПоГруппам="Да",MeanMinAge20+BS10*SUMIF(ThresholdAge20,"&lt;"&amp;BS10,WeightedRevAge20)-SUMIF(ThresholdAge20,"&lt;"&amp;BS10,WeightedMinAge20),MAX(CapacityAge20*АбонементНовых*BS10,MeanMinAge20)))</f>
        <v/>
      </c>
      <c r="BT94" s="87">
        <f>IF(OR(('03_Сеть'!BT42-BT40)=0,20&lt;=КаникулыРоялти),0,('03_Сеть'!BT42-BT40)*IF(РоялтиПоГруппам="Да",MeanMinAge20+BT10*SUMIF(ThresholdAge20,"&lt;"&amp;BT10,WeightedRevAge20)-SUMIF(ThresholdAge20,"&lt;"&amp;BT10,WeightedMinAge20),MAX(CapacityAge20*АбонементНовых*BT10,MeanMinAge20)))</f>
        <v/>
      </c>
      <c r="BU94" s="87">
        <f>IF(OR(('03_Сеть'!BU42-BU40)=0,20&lt;=КаникулыРоялти),0,('03_Сеть'!BU42-BU40)*IF(РоялтиПоГруппам="Да",MeanMinAge20+BU10*SUMIF(ThresholdAge20,"&lt;"&amp;BU10,WeightedRevAge20)-SUMIF(ThresholdAge20,"&lt;"&amp;BU10,WeightedMinAge20),MAX(CapacityAge20*АбонементНовых*BU10,MeanMinAge20)))</f>
        <v/>
      </c>
      <c r="BV94" s="87">
        <f>IF(OR(('03_Сеть'!BV42-BV40)=0,20&lt;=КаникулыРоялти),0,('03_Сеть'!BV42-BV40)*IF(РоялтиПоГруппам="Да",MeanMinAge20+BV10*SUMIF(ThresholdAge20,"&lt;"&amp;BV10,WeightedRevAge20)-SUMIF(ThresholdAge20,"&lt;"&amp;BV10,WeightedMinAge20),MAX(CapacityAge20*АбонементНовых*BV10,MeanMinAge20)))</f>
        <v/>
      </c>
      <c r="BW94" s="87">
        <f>IF(OR(('03_Сеть'!BW42-BW40)=0,20&lt;=КаникулыРоялти),0,('03_Сеть'!BW42-BW40)*IF(РоялтиПоГруппам="Да",MeanMinAge20+BW10*SUMIF(ThresholdAge20,"&lt;"&amp;BW10,WeightedRevAge20)-SUMIF(ThresholdAge20,"&lt;"&amp;BW10,WeightedMinAge20),MAX(CapacityAge20*АбонементНовых*BW10,MeanMinAge20)))</f>
        <v/>
      </c>
      <c r="BX94" s="87">
        <f>IF(OR(('03_Сеть'!BX42-BX40)=0,20&lt;=КаникулыРоялти),0,('03_Сеть'!BX42-BX40)*IF(РоялтиПоГруппам="Да",MeanMinAge20+BX10*SUMIF(ThresholdAge20,"&lt;"&amp;BX10,WeightedRevAge20)-SUMIF(ThresholdAge20,"&lt;"&amp;BX10,WeightedMinAge20),MAX(CapacityAge20*АбонементНовых*BX10,MeanMinAge20)))</f>
        <v/>
      </c>
      <c r="BY94" s="87">
        <f>IF(OR(('03_Сеть'!BY42-BY40)=0,20&lt;=КаникулыРоялти),0,('03_Сеть'!BY42-BY40)*IF(РоялтиПоГруппам="Да",MeanMinAge20+BY10*SUMIF(ThresholdAge20,"&lt;"&amp;BY10,WeightedRevAge20)-SUMIF(ThresholdAge20,"&lt;"&amp;BY10,WeightedMinAge20),MAX(CapacityAge20*АбонементНовых*BY10,MeanMinAge20)))</f>
        <v/>
      </c>
    </row>
    <row r="95" ht="15.75" customHeight="1" s="194">
      <c r="B95" s="56" t="inlineStr">
        <is>
          <t>21 мес.</t>
        </is>
      </c>
      <c r="C95" s="56" t="inlineStr">
        <is>
          <t>₽</t>
        </is>
      </c>
      <c r="D95" s="57" t="n"/>
      <c r="E95" s="85">
        <f>SUM(L95:W95)</f>
        <v/>
      </c>
      <c r="F95" s="85">
        <f>SUM(X95:AI95)</f>
        <v/>
      </c>
      <c r="G95" s="85">
        <f>SUM(AJ95:AU95)</f>
        <v/>
      </c>
      <c r="H95" s="85">
        <f>SUM(AV95:BG95)</f>
        <v/>
      </c>
      <c r="I95" s="85">
        <f>SUM(BH95:BS95)</f>
        <v/>
      </c>
      <c r="J95" s="86">
        <f>SUM(L95:BS95)</f>
        <v/>
      </c>
      <c r="L95" s="87">
        <f>IF(OR(('03_Сеть'!L43-L41)=0,21&lt;=КаникулыРоялти),0,('03_Сеть'!L43-L41)*IF(РоялтиПоГруппам="Да",MeanMinAge21+L10*SUMIF(ThresholdAge21,"&lt;"&amp;L10,WeightedRevAge21)-SUMIF(ThresholdAge21,"&lt;"&amp;L10,WeightedMinAge21),MAX(CapacityAge21*АбонементНовых*L10,MeanMinAge21)))</f>
        <v/>
      </c>
      <c r="M95" s="87">
        <f>IF(OR(('03_Сеть'!M43-M41)=0,21&lt;=КаникулыРоялти),0,('03_Сеть'!M43-M41)*IF(РоялтиПоГруппам="Да",MeanMinAge21+M10*SUMIF(ThresholdAge21,"&lt;"&amp;M10,WeightedRevAge21)-SUMIF(ThresholdAge21,"&lt;"&amp;M10,WeightedMinAge21),MAX(CapacityAge21*АбонементНовых*M10,MeanMinAge21)))</f>
        <v/>
      </c>
      <c r="N95" s="87">
        <f>IF(OR(('03_Сеть'!N43-N41)=0,21&lt;=КаникулыРоялти),0,('03_Сеть'!N43-N41)*IF(РоялтиПоГруппам="Да",MeanMinAge21+N10*SUMIF(ThresholdAge21,"&lt;"&amp;N10,WeightedRevAge21)-SUMIF(ThresholdAge21,"&lt;"&amp;N10,WeightedMinAge21),MAX(CapacityAge21*АбонементНовых*N10,MeanMinAge21)))</f>
        <v/>
      </c>
      <c r="O95" s="87">
        <f>IF(OR(('03_Сеть'!O43-O41)=0,21&lt;=КаникулыРоялти),0,('03_Сеть'!O43-O41)*IF(РоялтиПоГруппам="Да",MeanMinAge21+O10*SUMIF(ThresholdAge21,"&lt;"&amp;O10,WeightedRevAge21)-SUMIF(ThresholdAge21,"&lt;"&amp;O10,WeightedMinAge21),MAX(CapacityAge21*АбонементНовых*O10,MeanMinAge21)))</f>
        <v/>
      </c>
      <c r="P95" s="87">
        <f>IF(OR(('03_Сеть'!P43-P41)=0,21&lt;=КаникулыРоялти),0,('03_Сеть'!P43-P41)*IF(РоялтиПоГруппам="Да",MeanMinAge21+P10*SUMIF(ThresholdAge21,"&lt;"&amp;P10,WeightedRevAge21)-SUMIF(ThresholdAge21,"&lt;"&amp;P10,WeightedMinAge21),MAX(CapacityAge21*АбонементНовых*P10,MeanMinAge21)))</f>
        <v/>
      </c>
      <c r="Q95" s="87">
        <f>IF(OR(('03_Сеть'!Q43-Q41)=0,21&lt;=КаникулыРоялти),0,('03_Сеть'!Q43-Q41)*IF(РоялтиПоГруппам="Да",MeanMinAge21+Q10*SUMIF(ThresholdAge21,"&lt;"&amp;Q10,WeightedRevAge21)-SUMIF(ThresholdAge21,"&lt;"&amp;Q10,WeightedMinAge21),MAX(CapacityAge21*АбонементНовых*Q10,MeanMinAge21)))</f>
        <v/>
      </c>
      <c r="R95" s="87">
        <f>IF(OR(('03_Сеть'!R43-R41)=0,21&lt;=КаникулыРоялти),0,('03_Сеть'!R43-R41)*IF(РоялтиПоГруппам="Да",MeanMinAge21+R10*SUMIF(ThresholdAge21,"&lt;"&amp;R10,WeightedRevAge21)-SUMIF(ThresholdAge21,"&lt;"&amp;R10,WeightedMinAge21),MAX(CapacityAge21*АбонементНовых*R10,MeanMinAge21)))</f>
        <v/>
      </c>
      <c r="S95" s="87">
        <f>IF(OR(('03_Сеть'!S43-S41)=0,21&lt;=КаникулыРоялти),0,('03_Сеть'!S43-S41)*IF(РоялтиПоГруппам="Да",MeanMinAge21+S10*SUMIF(ThresholdAge21,"&lt;"&amp;S10,WeightedRevAge21)-SUMIF(ThresholdAge21,"&lt;"&amp;S10,WeightedMinAge21),MAX(CapacityAge21*АбонементНовых*S10,MeanMinAge21)))</f>
        <v/>
      </c>
      <c r="T95" s="87">
        <f>IF(OR(('03_Сеть'!T43-T41)=0,21&lt;=КаникулыРоялти),0,('03_Сеть'!T43-T41)*IF(РоялтиПоГруппам="Да",MeanMinAge21+T10*SUMIF(ThresholdAge21,"&lt;"&amp;T10,WeightedRevAge21)-SUMIF(ThresholdAge21,"&lt;"&amp;T10,WeightedMinAge21),MAX(CapacityAge21*АбонементНовых*T10,MeanMinAge21)))</f>
        <v/>
      </c>
      <c r="U95" s="87">
        <f>IF(OR(('03_Сеть'!U43-U41)=0,21&lt;=КаникулыРоялти),0,('03_Сеть'!U43-U41)*IF(РоялтиПоГруппам="Да",MeanMinAge21+U10*SUMIF(ThresholdAge21,"&lt;"&amp;U10,WeightedRevAge21)-SUMIF(ThresholdAge21,"&lt;"&amp;U10,WeightedMinAge21),MAX(CapacityAge21*АбонементНовых*U10,MeanMinAge21)))</f>
        <v/>
      </c>
      <c r="V95" s="87">
        <f>IF(OR(('03_Сеть'!V43-V41)=0,21&lt;=КаникулыРоялти),0,('03_Сеть'!V43-V41)*IF(РоялтиПоГруппам="Да",MeanMinAge21+V10*SUMIF(ThresholdAge21,"&lt;"&amp;V10,WeightedRevAge21)-SUMIF(ThresholdAge21,"&lt;"&amp;V10,WeightedMinAge21),MAX(CapacityAge21*АбонементНовых*V10,MeanMinAge21)))</f>
        <v/>
      </c>
      <c r="W95" s="87">
        <f>IF(OR(('03_Сеть'!W43-W41)=0,21&lt;=КаникулыРоялти),0,('03_Сеть'!W43-W41)*IF(РоялтиПоГруппам="Да",MeanMinAge21+W10*SUMIF(ThresholdAge21,"&lt;"&amp;W10,WeightedRevAge21)-SUMIF(ThresholdAge21,"&lt;"&amp;W10,WeightedMinAge21),MAX(CapacityAge21*АбонементНовых*W10,MeanMinAge21)))</f>
        <v/>
      </c>
      <c r="X95" s="87">
        <f>IF(OR(('03_Сеть'!X43-X41)=0,21&lt;=КаникулыРоялти),0,('03_Сеть'!X43-X41)*IF(РоялтиПоГруппам="Да",MeanMinAge21+X10*SUMIF(ThresholdAge21,"&lt;"&amp;X10,WeightedRevAge21)-SUMIF(ThresholdAge21,"&lt;"&amp;X10,WeightedMinAge21),MAX(CapacityAge21*АбонементНовых*X10,MeanMinAge21)))</f>
        <v/>
      </c>
      <c r="Y95" s="87">
        <f>IF(OR(('03_Сеть'!Y43-Y41)=0,21&lt;=КаникулыРоялти),0,('03_Сеть'!Y43-Y41)*IF(РоялтиПоГруппам="Да",MeanMinAge21+Y10*SUMIF(ThresholdAge21,"&lt;"&amp;Y10,WeightedRevAge21)-SUMIF(ThresholdAge21,"&lt;"&amp;Y10,WeightedMinAge21),MAX(CapacityAge21*АбонементНовых*Y10,MeanMinAge21)))</f>
        <v/>
      </c>
      <c r="Z95" s="87">
        <f>IF(OR(('03_Сеть'!Z43-Z41)=0,21&lt;=КаникулыРоялти),0,('03_Сеть'!Z43-Z41)*IF(РоялтиПоГруппам="Да",MeanMinAge21+Z10*SUMIF(ThresholdAge21,"&lt;"&amp;Z10,WeightedRevAge21)-SUMIF(ThresholdAge21,"&lt;"&amp;Z10,WeightedMinAge21),MAX(CapacityAge21*АбонементНовых*Z10,MeanMinAge21)))</f>
        <v/>
      </c>
      <c r="AA95" s="87">
        <f>IF(OR(('03_Сеть'!AA43-AA41)=0,21&lt;=КаникулыРоялти),0,('03_Сеть'!AA43-AA41)*IF(РоялтиПоГруппам="Да",MeanMinAge21+AA10*SUMIF(ThresholdAge21,"&lt;"&amp;AA10,WeightedRevAge21)-SUMIF(ThresholdAge21,"&lt;"&amp;AA10,WeightedMinAge21),MAX(CapacityAge21*АбонементНовых*AA10,MeanMinAge21)))</f>
        <v/>
      </c>
      <c r="AB95" s="87">
        <f>IF(OR(('03_Сеть'!AB43-AB41)=0,21&lt;=КаникулыРоялти),0,('03_Сеть'!AB43-AB41)*IF(РоялтиПоГруппам="Да",MeanMinAge21+AB10*SUMIF(ThresholdAge21,"&lt;"&amp;AB10,WeightedRevAge21)-SUMIF(ThresholdAge21,"&lt;"&amp;AB10,WeightedMinAge21),MAX(CapacityAge21*АбонементНовых*AB10,MeanMinAge21)))</f>
        <v/>
      </c>
      <c r="AC95" s="87">
        <f>IF(OR(('03_Сеть'!AC43-AC41)=0,21&lt;=КаникулыРоялти),0,('03_Сеть'!AC43-AC41)*IF(РоялтиПоГруппам="Да",MeanMinAge21+AC10*SUMIF(ThresholdAge21,"&lt;"&amp;AC10,WeightedRevAge21)-SUMIF(ThresholdAge21,"&lt;"&amp;AC10,WeightedMinAge21),MAX(CapacityAge21*АбонементНовых*AC10,MeanMinAge21)))</f>
        <v/>
      </c>
      <c r="AD95" s="87">
        <f>IF(OR(('03_Сеть'!AD43-AD41)=0,21&lt;=КаникулыРоялти),0,('03_Сеть'!AD43-AD41)*IF(РоялтиПоГруппам="Да",MeanMinAge21+AD10*SUMIF(ThresholdAge21,"&lt;"&amp;AD10,WeightedRevAge21)-SUMIF(ThresholdAge21,"&lt;"&amp;AD10,WeightedMinAge21),MAX(CapacityAge21*АбонементНовых*AD10,MeanMinAge21)))</f>
        <v/>
      </c>
      <c r="AE95" s="87">
        <f>IF(OR(('03_Сеть'!AE43-AE41)=0,21&lt;=КаникулыРоялти),0,('03_Сеть'!AE43-AE41)*IF(РоялтиПоГруппам="Да",MeanMinAge21+AE10*SUMIF(ThresholdAge21,"&lt;"&amp;AE10,WeightedRevAge21)-SUMIF(ThresholdAge21,"&lt;"&amp;AE10,WeightedMinAge21),MAX(CapacityAge21*АбонементНовых*AE10,MeanMinAge21)))</f>
        <v/>
      </c>
      <c r="AF95" s="87">
        <f>IF(OR(('03_Сеть'!AF43-AF41)=0,21&lt;=КаникулыРоялти),0,('03_Сеть'!AF43-AF41)*IF(РоялтиПоГруппам="Да",MeanMinAge21+AF10*SUMIF(ThresholdAge21,"&lt;"&amp;AF10,WeightedRevAge21)-SUMIF(ThresholdAge21,"&lt;"&amp;AF10,WeightedMinAge21),MAX(CapacityAge21*АбонементНовых*AF10,MeanMinAge21)))</f>
        <v/>
      </c>
      <c r="AG95" s="87">
        <f>IF(OR(('03_Сеть'!AG43-AG41)=0,21&lt;=КаникулыРоялти),0,('03_Сеть'!AG43-AG41)*IF(РоялтиПоГруппам="Да",MeanMinAge21+AG10*SUMIF(ThresholdAge21,"&lt;"&amp;AG10,WeightedRevAge21)-SUMIF(ThresholdAge21,"&lt;"&amp;AG10,WeightedMinAge21),MAX(CapacityAge21*АбонементНовых*AG10,MeanMinAge21)))</f>
        <v/>
      </c>
      <c r="AH95" s="87">
        <f>IF(OR(('03_Сеть'!AH43-AH41)=0,21&lt;=КаникулыРоялти),0,('03_Сеть'!AH43-AH41)*IF(РоялтиПоГруппам="Да",MeanMinAge21+AH10*SUMIF(ThresholdAge21,"&lt;"&amp;AH10,WeightedRevAge21)-SUMIF(ThresholdAge21,"&lt;"&amp;AH10,WeightedMinAge21),MAX(CapacityAge21*АбонементНовых*AH10,MeanMinAge21)))</f>
        <v/>
      </c>
      <c r="AI95" s="87">
        <f>IF(OR(('03_Сеть'!AI43-AI41)=0,21&lt;=КаникулыРоялти),0,('03_Сеть'!AI43-AI41)*IF(РоялтиПоГруппам="Да",MeanMinAge21+AI10*SUMIF(ThresholdAge21,"&lt;"&amp;AI10,WeightedRevAge21)-SUMIF(ThresholdAge21,"&lt;"&amp;AI10,WeightedMinAge21),MAX(CapacityAge21*АбонементНовых*AI10,MeanMinAge21)))</f>
        <v/>
      </c>
      <c r="AJ95" s="87">
        <f>IF(OR(('03_Сеть'!AJ43-AJ41)=0,21&lt;=КаникулыРоялти),0,('03_Сеть'!AJ43-AJ41)*IF(РоялтиПоГруппам="Да",MeanMinAge21+AJ10*SUMIF(ThresholdAge21,"&lt;"&amp;AJ10,WeightedRevAge21)-SUMIF(ThresholdAge21,"&lt;"&amp;AJ10,WeightedMinAge21),MAX(CapacityAge21*АбонементНовых*AJ10,MeanMinAge21)))</f>
        <v/>
      </c>
      <c r="AK95" s="87">
        <f>IF(OR(('03_Сеть'!AK43-AK41)=0,21&lt;=КаникулыРоялти),0,('03_Сеть'!AK43-AK41)*IF(РоялтиПоГруппам="Да",MeanMinAge21+AK10*SUMIF(ThresholdAge21,"&lt;"&amp;AK10,WeightedRevAge21)-SUMIF(ThresholdAge21,"&lt;"&amp;AK10,WeightedMinAge21),MAX(CapacityAge21*АбонементНовых*AK10,MeanMinAge21)))</f>
        <v/>
      </c>
      <c r="AL95" s="87">
        <f>IF(OR(('03_Сеть'!AL43-AL41)=0,21&lt;=КаникулыРоялти),0,('03_Сеть'!AL43-AL41)*IF(РоялтиПоГруппам="Да",MeanMinAge21+AL10*SUMIF(ThresholdAge21,"&lt;"&amp;AL10,WeightedRevAge21)-SUMIF(ThresholdAge21,"&lt;"&amp;AL10,WeightedMinAge21),MAX(CapacityAge21*АбонементНовых*AL10,MeanMinAge21)))</f>
        <v/>
      </c>
      <c r="AM95" s="87">
        <f>IF(OR(('03_Сеть'!AM43-AM41)=0,21&lt;=КаникулыРоялти),0,('03_Сеть'!AM43-AM41)*IF(РоялтиПоГруппам="Да",MeanMinAge21+AM10*SUMIF(ThresholdAge21,"&lt;"&amp;AM10,WeightedRevAge21)-SUMIF(ThresholdAge21,"&lt;"&amp;AM10,WeightedMinAge21),MAX(CapacityAge21*АбонементНовых*AM10,MeanMinAge21)))</f>
        <v/>
      </c>
      <c r="AN95" s="87">
        <f>IF(OR(('03_Сеть'!AN43-AN41)=0,21&lt;=КаникулыРоялти),0,('03_Сеть'!AN43-AN41)*IF(РоялтиПоГруппам="Да",MeanMinAge21+AN10*SUMIF(ThresholdAge21,"&lt;"&amp;AN10,WeightedRevAge21)-SUMIF(ThresholdAge21,"&lt;"&amp;AN10,WeightedMinAge21),MAX(CapacityAge21*АбонементНовых*AN10,MeanMinAge21)))</f>
        <v/>
      </c>
      <c r="AO95" s="87">
        <f>IF(OR(('03_Сеть'!AO43-AO41)=0,21&lt;=КаникулыРоялти),0,('03_Сеть'!AO43-AO41)*IF(РоялтиПоГруппам="Да",MeanMinAge21+AO10*SUMIF(ThresholdAge21,"&lt;"&amp;AO10,WeightedRevAge21)-SUMIF(ThresholdAge21,"&lt;"&amp;AO10,WeightedMinAge21),MAX(CapacityAge21*АбонементНовых*AO10,MeanMinAge21)))</f>
        <v/>
      </c>
      <c r="AP95" s="87">
        <f>IF(OR(('03_Сеть'!AP43-AP41)=0,21&lt;=КаникулыРоялти),0,('03_Сеть'!AP43-AP41)*IF(РоялтиПоГруппам="Да",MeanMinAge21+AP10*SUMIF(ThresholdAge21,"&lt;"&amp;AP10,WeightedRevAge21)-SUMIF(ThresholdAge21,"&lt;"&amp;AP10,WeightedMinAge21),MAX(CapacityAge21*АбонементНовых*AP10,MeanMinAge21)))</f>
        <v/>
      </c>
      <c r="AQ95" s="87">
        <f>IF(OR(('03_Сеть'!AQ43-AQ41)=0,21&lt;=КаникулыРоялти),0,('03_Сеть'!AQ43-AQ41)*IF(РоялтиПоГруппам="Да",MeanMinAge21+AQ10*SUMIF(ThresholdAge21,"&lt;"&amp;AQ10,WeightedRevAge21)-SUMIF(ThresholdAge21,"&lt;"&amp;AQ10,WeightedMinAge21),MAX(CapacityAge21*АбонементНовых*AQ10,MeanMinAge21)))</f>
        <v/>
      </c>
      <c r="AR95" s="87">
        <f>IF(OR(('03_Сеть'!AR43-AR41)=0,21&lt;=КаникулыРоялти),0,('03_Сеть'!AR43-AR41)*IF(РоялтиПоГруппам="Да",MeanMinAge21+AR10*SUMIF(ThresholdAge21,"&lt;"&amp;AR10,WeightedRevAge21)-SUMIF(ThresholdAge21,"&lt;"&amp;AR10,WeightedMinAge21),MAX(CapacityAge21*АбонементНовых*AR10,MeanMinAge21)))</f>
        <v/>
      </c>
      <c r="AS95" s="87">
        <f>IF(OR(('03_Сеть'!AS43-AS41)=0,21&lt;=КаникулыРоялти),0,('03_Сеть'!AS43-AS41)*IF(РоялтиПоГруппам="Да",MeanMinAge21+AS10*SUMIF(ThresholdAge21,"&lt;"&amp;AS10,WeightedRevAge21)-SUMIF(ThresholdAge21,"&lt;"&amp;AS10,WeightedMinAge21),MAX(CapacityAge21*АбонементНовых*AS10,MeanMinAge21)))</f>
        <v/>
      </c>
      <c r="AT95" s="87">
        <f>IF(OR(('03_Сеть'!AT43-AT41)=0,21&lt;=КаникулыРоялти),0,('03_Сеть'!AT43-AT41)*IF(РоялтиПоГруппам="Да",MeanMinAge21+AT10*SUMIF(ThresholdAge21,"&lt;"&amp;AT10,WeightedRevAge21)-SUMIF(ThresholdAge21,"&lt;"&amp;AT10,WeightedMinAge21),MAX(CapacityAge21*АбонементНовых*AT10,MeanMinAge21)))</f>
        <v/>
      </c>
      <c r="AU95" s="87">
        <f>IF(OR(('03_Сеть'!AU43-AU41)=0,21&lt;=КаникулыРоялти),0,('03_Сеть'!AU43-AU41)*IF(РоялтиПоГруппам="Да",MeanMinAge21+AU10*SUMIF(ThresholdAge21,"&lt;"&amp;AU10,WeightedRevAge21)-SUMIF(ThresholdAge21,"&lt;"&amp;AU10,WeightedMinAge21),MAX(CapacityAge21*АбонементНовых*AU10,MeanMinAge21)))</f>
        <v/>
      </c>
      <c r="AV95" s="87">
        <f>IF(OR(('03_Сеть'!AV43-AV41)=0,21&lt;=КаникулыРоялти),0,('03_Сеть'!AV43-AV41)*IF(РоялтиПоГруппам="Да",MeanMinAge21+AV10*SUMIF(ThresholdAge21,"&lt;"&amp;AV10,WeightedRevAge21)-SUMIF(ThresholdAge21,"&lt;"&amp;AV10,WeightedMinAge21),MAX(CapacityAge21*АбонементНовых*AV10,MeanMinAge21)))</f>
        <v/>
      </c>
      <c r="AW95" s="87">
        <f>IF(OR(('03_Сеть'!AW43-AW41)=0,21&lt;=КаникулыРоялти),0,('03_Сеть'!AW43-AW41)*IF(РоялтиПоГруппам="Да",MeanMinAge21+AW10*SUMIF(ThresholdAge21,"&lt;"&amp;AW10,WeightedRevAge21)-SUMIF(ThresholdAge21,"&lt;"&amp;AW10,WeightedMinAge21),MAX(CapacityAge21*АбонементНовых*AW10,MeanMinAge21)))</f>
        <v/>
      </c>
      <c r="AX95" s="87">
        <f>IF(OR(('03_Сеть'!AX43-AX41)=0,21&lt;=КаникулыРоялти),0,('03_Сеть'!AX43-AX41)*IF(РоялтиПоГруппам="Да",MeanMinAge21+AX10*SUMIF(ThresholdAge21,"&lt;"&amp;AX10,WeightedRevAge21)-SUMIF(ThresholdAge21,"&lt;"&amp;AX10,WeightedMinAge21),MAX(CapacityAge21*АбонементНовых*AX10,MeanMinAge21)))</f>
        <v/>
      </c>
      <c r="AY95" s="87">
        <f>IF(OR(('03_Сеть'!AY43-AY41)=0,21&lt;=КаникулыРоялти),0,('03_Сеть'!AY43-AY41)*IF(РоялтиПоГруппам="Да",MeanMinAge21+AY10*SUMIF(ThresholdAge21,"&lt;"&amp;AY10,WeightedRevAge21)-SUMIF(ThresholdAge21,"&lt;"&amp;AY10,WeightedMinAge21),MAX(CapacityAge21*АбонементНовых*AY10,MeanMinAge21)))</f>
        <v/>
      </c>
      <c r="AZ95" s="87">
        <f>IF(OR(('03_Сеть'!AZ43-AZ41)=0,21&lt;=КаникулыРоялти),0,('03_Сеть'!AZ43-AZ41)*IF(РоялтиПоГруппам="Да",MeanMinAge21+AZ10*SUMIF(ThresholdAge21,"&lt;"&amp;AZ10,WeightedRevAge21)-SUMIF(ThresholdAge21,"&lt;"&amp;AZ10,WeightedMinAge21),MAX(CapacityAge21*АбонементНовых*AZ10,MeanMinAge21)))</f>
        <v/>
      </c>
      <c r="BA95" s="87">
        <f>IF(OR(('03_Сеть'!BA43-BA41)=0,21&lt;=КаникулыРоялти),0,('03_Сеть'!BA43-BA41)*IF(РоялтиПоГруппам="Да",MeanMinAge21+BA10*SUMIF(ThresholdAge21,"&lt;"&amp;BA10,WeightedRevAge21)-SUMIF(ThresholdAge21,"&lt;"&amp;BA10,WeightedMinAge21),MAX(CapacityAge21*АбонементНовых*BA10,MeanMinAge21)))</f>
        <v/>
      </c>
      <c r="BB95" s="87">
        <f>IF(OR(('03_Сеть'!BB43-BB41)=0,21&lt;=КаникулыРоялти),0,('03_Сеть'!BB43-BB41)*IF(РоялтиПоГруппам="Да",MeanMinAge21+BB10*SUMIF(ThresholdAge21,"&lt;"&amp;BB10,WeightedRevAge21)-SUMIF(ThresholdAge21,"&lt;"&amp;BB10,WeightedMinAge21),MAX(CapacityAge21*АбонементНовых*BB10,MeanMinAge21)))</f>
        <v/>
      </c>
      <c r="BC95" s="87">
        <f>IF(OR(('03_Сеть'!BC43-BC41)=0,21&lt;=КаникулыРоялти),0,('03_Сеть'!BC43-BC41)*IF(РоялтиПоГруппам="Да",MeanMinAge21+BC10*SUMIF(ThresholdAge21,"&lt;"&amp;BC10,WeightedRevAge21)-SUMIF(ThresholdAge21,"&lt;"&amp;BC10,WeightedMinAge21),MAX(CapacityAge21*АбонементНовых*BC10,MeanMinAge21)))</f>
        <v/>
      </c>
      <c r="BD95" s="87">
        <f>IF(OR(('03_Сеть'!BD43-BD41)=0,21&lt;=КаникулыРоялти),0,('03_Сеть'!BD43-BD41)*IF(РоялтиПоГруппам="Да",MeanMinAge21+BD10*SUMIF(ThresholdAge21,"&lt;"&amp;BD10,WeightedRevAge21)-SUMIF(ThresholdAge21,"&lt;"&amp;BD10,WeightedMinAge21),MAX(CapacityAge21*АбонементНовых*BD10,MeanMinAge21)))</f>
        <v/>
      </c>
      <c r="BE95" s="87">
        <f>IF(OR(('03_Сеть'!BE43-BE41)=0,21&lt;=КаникулыРоялти),0,('03_Сеть'!BE43-BE41)*IF(РоялтиПоГруппам="Да",MeanMinAge21+BE10*SUMIF(ThresholdAge21,"&lt;"&amp;BE10,WeightedRevAge21)-SUMIF(ThresholdAge21,"&lt;"&amp;BE10,WeightedMinAge21),MAX(CapacityAge21*АбонементНовых*BE10,MeanMinAge21)))</f>
        <v/>
      </c>
      <c r="BF95" s="87">
        <f>IF(OR(('03_Сеть'!BF43-BF41)=0,21&lt;=КаникулыРоялти),0,('03_Сеть'!BF43-BF41)*IF(РоялтиПоГруппам="Да",MeanMinAge21+BF10*SUMIF(ThresholdAge21,"&lt;"&amp;BF10,WeightedRevAge21)-SUMIF(ThresholdAge21,"&lt;"&amp;BF10,WeightedMinAge21),MAX(CapacityAge21*АбонементНовых*BF10,MeanMinAge21)))</f>
        <v/>
      </c>
      <c r="BG95" s="87">
        <f>IF(OR(('03_Сеть'!BG43-BG41)=0,21&lt;=КаникулыРоялти),0,('03_Сеть'!BG43-BG41)*IF(РоялтиПоГруппам="Да",MeanMinAge21+BG10*SUMIF(ThresholdAge21,"&lt;"&amp;BG10,WeightedRevAge21)-SUMIF(ThresholdAge21,"&lt;"&amp;BG10,WeightedMinAge21),MAX(CapacityAge21*АбонементНовых*BG10,MeanMinAge21)))</f>
        <v/>
      </c>
      <c r="BH95" s="87">
        <f>IF(OR(('03_Сеть'!BH43-BH41)=0,21&lt;=КаникулыРоялти),0,('03_Сеть'!BH43-BH41)*IF(РоялтиПоГруппам="Да",MeanMinAge21+BH10*SUMIF(ThresholdAge21,"&lt;"&amp;BH10,WeightedRevAge21)-SUMIF(ThresholdAge21,"&lt;"&amp;BH10,WeightedMinAge21),MAX(CapacityAge21*АбонементНовых*BH10,MeanMinAge21)))</f>
        <v/>
      </c>
      <c r="BI95" s="87">
        <f>IF(OR(('03_Сеть'!BI43-BI41)=0,21&lt;=КаникулыРоялти),0,('03_Сеть'!BI43-BI41)*IF(РоялтиПоГруппам="Да",MeanMinAge21+BI10*SUMIF(ThresholdAge21,"&lt;"&amp;BI10,WeightedRevAge21)-SUMIF(ThresholdAge21,"&lt;"&amp;BI10,WeightedMinAge21),MAX(CapacityAge21*АбонементНовых*BI10,MeanMinAge21)))</f>
        <v/>
      </c>
      <c r="BJ95" s="87">
        <f>IF(OR(('03_Сеть'!BJ43-BJ41)=0,21&lt;=КаникулыРоялти),0,('03_Сеть'!BJ43-BJ41)*IF(РоялтиПоГруппам="Да",MeanMinAge21+BJ10*SUMIF(ThresholdAge21,"&lt;"&amp;BJ10,WeightedRevAge21)-SUMIF(ThresholdAge21,"&lt;"&amp;BJ10,WeightedMinAge21),MAX(CapacityAge21*АбонементНовых*BJ10,MeanMinAge21)))</f>
        <v/>
      </c>
      <c r="BK95" s="87">
        <f>IF(OR(('03_Сеть'!BK43-BK41)=0,21&lt;=КаникулыРоялти),0,('03_Сеть'!BK43-BK41)*IF(РоялтиПоГруппам="Да",MeanMinAge21+BK10*SUMIF(ThresholdAge21,"&lt;"&amp;BK10,WeightedRevAge21)-SUMIF(ThresholdAge21,"&lt;"&amp;BK10,WeightedMinAge21),MAX(CapacityAge21*АбонементНовых*BK10,MeanMinAge21)))</f>
        <v/>
      </c>
      <c r="BL95" s="87">
        <f>IF(OR(('03_Сеть'!BL43-BL41)=0,21&lt;=КаникулыРоялти),0,('03_Сеть'!BL43-BL41)*IF(РоялтиПоГруппам="Да",MeanMinAge21+BL10*SUMIF(ThresholdAge21,"&lt;"&amp;BL10,WeightedRevAge21)-SUMIF(ThresholdAge21,"&lt;"&amp;BL10,WeightedMinAge21),MAX(CapacityAge21*АбонементНовых*BL10,MeanMinAge21)))</f>
        <v/>
      </c>
      <c r="BM95" s="87">
        <f>IF(OR(('03_Сеть'!BM43-BM41)=0,21&lt;=КаникулыРоялти),0,('03_Сеть'!BM43-BM41)*IF(РоялтиПоГруппам="Да",MeanMinAge21+BM10*SUMIF(ThresholdAge21,"&lt;"&amp;BM10,WeightedRevAge21)-SUMIF(ThresholdAge21,"&lt;"&amp;BM10,WeightedMinAge21),MAX(CapacityAge21*АбонементНовых*BM10,MeanMinAge21)))</f>
        <v/>
      </c>
      <c r="BN95" s="87">
        <f>IF(OR(('03_Сеть'!BN43-BN41)=0,21&lt;=КаникулыРоялти),0,('03_Сеть'!BN43-BN41)*IF(РоялтиПоГруппам="Да",MeanMinAge21+BN10*SUMIF(ThresholdAge21,"&lt;"&amp;BN10,WeightedRevAge21)-SUMIF(ThresholdAge21,"&lt;"&amp;BN10,WeightedMinAge21),MAX(CapacityAge21*АбонементНовых*BN10,MeanMinAge21)))</f>
        <v/>
      </c>
      <c r="BO95" s="87">
        <f>IF(OR(('03_Сеть'!BO43-BO41)=0,21&lt;=КаникулыРоялти),0,('03_Сеть'!BO43-BO41)*IF(РоялтиПоГруппам="Да",MeanMinAge21+BO10*SUMIF(ThresholdAge21,"&lt;"&amp;BO10,WeightedRevAge21)-SUMIF(ThresholdAge21,"&lt;"&amp;BO10,WeightedMinAge21),MAX(CapacityAge21*АбонементНовых*BO10,MeanMinAge21)))</f>
        <v/>
      </c>
      <c r="BP95" s="87">
        <f>IF(OR(('03_Сеть'!BP43-BP41)=0,21&lt;=КаникулыРоялти),0,('03_Сеть'!BP43-BP41)*IF(РоялтиПоГруппам="Да",MeanMinAge21+BP10*SUMIF(ThresholdAge21,"&lt;"&amp;BP10,WeightedRevAge21)-SUMIF(ThresholdAge21,"&lt;"&amp;BP10,WeightedMinAge21),MAX(CapacityAge21*АбонементНовых*BP10,MeanMinAge21)))</f>
        <v/>
      </c>
      <c r="BQ95" s="87">
        <f>IF(OR(('03_Сеть'!BQ43-BQ41)=0,21&lt;=КаникулыРоялти),0,('03_Сеть'!BQ43-BQ41)*IF(РоялтиПоГруппам="Да",MeanMinAge21+BQ10*SUMIF(ThresholdAge21,"&lt;"&amp;BQ10,WeightedRevAge21)-SUMIF(ThresholdAge21,"&lt;"&amp;BQ10,WeightedMinAge21),MAX(CapacityAge21*АбонементНовых*BQ10,MeanMinAge21)))</f>
        <v/>
      </c>
      <c r="BR95" s="87">
        <f>IF(OR(('03_Сеть'!BR43-BR41)=0,21&lt;=КаникулыРоялти),0,('03_Сеть'!BR43-BR41)*IF(РоялтиПоГруппам="Да",MeanMinAge21+BR10*SUMIF(ThresholdAge21,"&lt;"&amp;BR10,WeightedRevAge21)-SUMIF(ThresholdAge21,"&lt;"&amp;BR10,WeightedMinAge21),MAX(CapacityAge21*АбонементНовых*BR10,MeanMinAge21)))</f>
        <v/>
      </c>
      <c r="BS95" s="87">
        <f>IF(OR(('03_Сеть'!BS43-BS41)=0,21&lt;=КаникулыРоялти),0,('03_Сеть'!BS43-BS41)*IF(РоялтиПоГруппам="Да",MeanMinAge21+BS10*SUMIF(ThresholdAge21,"&lt;"&amp;BS10,WeightedRevAge21)-SUMIF(ThresholdAge21,"&lt;"&amp;BS10,WeightedMinAge21),MAX(CapacityAge21*АбонементНовых*BS10,MeanMinAge21)))</f>
        <v/>
      </c>
      <c r="BT95" s="87">
        <f>IF(OR(('03_Сеть'!BT43-BT41)=0,21&lt;=КаникулыРоялти),0,('03_Сеть'!BT43-BT41)*IF(РоялтиПоГруппам="Да",MeanMinAge21+BT10*SUMIF(ThresholdAge21,"&lt;"&amp;BT10,WeightedRevAge21)-SUMIF(ThresholdAge21,"&lt;"&amp;BT10,WeightedMinAge21),MAX(CapacityAge21*АбонементНовых*BT10,MeanMinAge21)))</f>
        <v/>
      </c>
      <c r="BU95" s="87">
        <f>IF(OR(('03_Сеть'!BU43-BU41)=0,21&lt;=КаникулыРоялти),0,('03_Сеть'!BU43-BU41)*IF(РоялтиПоГруппам="Да",MeanMinAge21+BU10*SUMIF(ThresholdAge21,"&lt;"&amp;BU10,WeightedRevAge21)-SUMIF(ThresholdAge21,"&lt;"&amp;BU10,WeightedMinAge21),MAX(CapacityAge21*АбонементНовых*BU10,MeanMinAge21)))</f>
        <v/>
      </c>
      <c r="BV95" s="87">
        <f>IF(OR(('03_Сеть'!BV43-BV41)=0,21&lt;=КаникулыРоялти),0,('03_Сеть'!BV43-BV41)*IF(РоялтиПоГруппам="Да",MeanMinAge21+BV10*SUMIF(ThresholdAge21,"&lt;"&amp;BV10,WeightedRevAge21)-SUMIF(ThresholdAge21,"&lt;"&amp;BV10,WeightedMinAge21),MAX(CapacityAge21*АбонементНовых*BV10,MeanMinAge21)))</f>
        <v/>
      </c>
      <c r="BW95" s="87">
        <f>IF(OR(('03_Сеть'!BW43-BW41)=0,21&lt;=КаникулыРоялти),0,('03_Сеть'!BW43-BW41)*IF(РоялтиПоГруппам="Да",MeanMinAge21+BW10*SUMIF(ThresholdAge21,"&lt;"&amp;BW10,WeightedRevAge21)-SUMIF(ThresholdAge21,"&lt;"&amp;BW10,WeightedMinAge21),MAX(CapacityAge21*АбонементНовых*BW10,MeanMinAge21)))</f>
        <v/>
      </c>
      <c r="BX95" s="87">
        <f>IF(OR(('03_Сеть'!BX43-BX41)=0,21&lt;=КаникулыРоялти),0,('03_Сеть'!BX43-BX41)*IF(РоялтиПоГруппам="Да",MeanMinAge21+BX10*SUMIF(ThresholdAge21,"&lt;"&amp;BX10,WeightedRevAge21)-SUMIF(ThresholdAge21,"&lt;"&amp;BX10,WeightedMinAge21),MAX(CapacityAge21*АбонементНовых*BX10,MeanMinAge21)))</f>
        <v/>
      </c>
      <c r="BY95" s="87">
        <f>IF(OR(('03_Сеть'!BY43-BY41)=0,21&lt;=КаникулыРоялти),0,('03_Сеть'!BY43-BY41)*IF(РоялтиПоГруппам="Да",MeanMinAge21+BY10*SUMIF(ThresholdAge21,"&lt;"&amp;BY10,WeightedRevAge21)-SUMIF(ThresholdAge21,"&lt;"&amp;BY10,WeightedMinAge21),MAX(CapacityAge21*АбонементНовых*BY10,MeanMinAge21)))</f>
        <v/>
      </c>
    </row>
    <row r="96" ht="15.75" customHeight="1" s="194">
      <c r="B96" s="56" t="inlineStr">
        <is>
          <t>22 мес.</t>
        </is>
      </c>
      <c r="C96" s="56" t="inlineStr">
        <is>
          <t>₽</t>
        </is>
      </c>
      <c r="D96" s="57" t="n"/>
      <c r="E96" s="85">
        <f>SUM(L96:W96)</f>
        <v/>
      </c>
      <c r="F96" s="85">
        <f>SUM(X96:AI96)</f>
        <v/>
      </c>
      <c r="G96" s="85">
        <f>SUM(AJ96:AU96)</f>
        <v/>
      </c>
      <c r="H96" s="85">
        <f>SUM(AV96:BG96)</f>
        <v/>
      </c>
      <c r="I96" s="85">
        <f>SUM(BH96:BS96)</f>
        <v/>
      </c>
      <c r="J96" s="86">
        <f>SUM(L96:BS96)</f>
        <v/>
      </c>
      <c r="L96" s="87">
        <f>IF(OR(('03_Сеть'!L44-L42)=0,22&lt;=КаникулыРоялти),0,('03_Сеть'!L44-L42)*IF(РоялтиПоГруппам="Да",MeanMinAge22+L10*SUMIF(ThresholdAge22,"&lt;"&amp;L10,WeightedRevAge22)-SUMIF(ThresholdAge22,"&lt;"&amp;L10,WeightedMinAge22),MAX(CapacityAge22*АбонементНовых*L10,MeanMinAge22)))</f>
        <v/>
      </c>
      <c r="M96" s="87">
        <f>IF(OR(('03_Сеть'!M44-M42)=0,22&lt;=КаникулыРоялти),0,('03_Сеть'!M44-M42)*IF(РоялтиПоГруппам="Да",MeanMinAge22+M10*SUMIF(ThresholdAge22,"&lt;"&amp;M10,WeightedRevAge22)-SUMIF(ThresholdAge22,"&lt;"&amp;M10,WeightedMinAge22),MAX(CapacityAge22*АбонементНовых*M10,MeanMinAge22)))</f>
        <v/>
      </c>
      <c r="N96" s="87">
        <f>IF(OR(('03_Сеть'!N44-N42)=0,22&lt;=КаникулыРоялти),0,('03_Сеть'!N44-N42)*IF(РоялтиПоГруппам="Да",MeanMinAge22+N10*SUMIF(ThresholdAge22,"&lt;"&amp;N10,WeightedRevAge22)-SUMIF(ThresholdAge22,"&lt;"&amp;N10,WeightedMinAge22),MAX(CapacityAge22*АбонементНовых*N10,MeanMinAge22)))</f>
        <v/>
      </c>
      <c r="O96" s="87">
        <f>IF(OR(('03_Сеть'!O44-O42)=0,22&lt;=КаникулыРоялти),0,('03_Сеть'!O44-O42)*IF(РоялтиПоГруппам="Да",MeanMinAge22+O10*SUMIF(ThresholdAge22,"&lt;"&amp;O10,WeightedRevAge22)-SUMIF(ThresholdAge22,"&lt;"&amp;O10,WeightedMinAge22),MAX(CapacityAge22*АбонементНовых*O10,MeanMinAge22)))</f>
        <v/>
      </c>
      <c r="P96" s="87">
        <f>IF(OR(('03_Сеть'!P44-P42)=0,22&lt;=КаникулыРоялти),0,('03_Сеть'!P44-P42)*IF(РоялтиПоГруппам="Да",MeanMinAge22+P10*SUMIF(ThresholdAge22,"&lt;"&amp;P10,WeightedRevAge22)-SUMIF(ThresholdAge22,"&lt;"&amp;P10,WeightedMinAge22),MAX(CapacityAge22*АбонементНовых*P10,MeanMinAge22)))</f>
        <v/>
      </c>
      <c r="Q96" s="87">
        <f>IF(OR(('03_Сеть'!Q44-Q42)=0,22&lt;=КаникулыРоялти),0,('03_Сеть'!Q44-Q42)*IF(РоялтиПоГруппам="Да",MeanMinAge22+Q10*SUMIF(ThresholdAge22,"&lt;"&amp;Q10,WeightedRevAge22)-SUMIF(ThresholdAge22,"&lt;"&amp;Q10,WeightedMinAge22),MAX(CapacityAge22*АбонементНовых*Q10,MeanMinAge22)))</f>
        <v/>
      </c>
      <c r="R96" s="87">
        <f>IF(OR(('03_Сеть'!R44-R42)=0,22&lt;=КаникулыРоялти),0,('03_Сеть'!R44-R42)*IF(РоялтиПоГруппам="Да",MeanMinAge22+R10*SUMIF(ThresholdAge22,"&lt;"&amp;R10,WeightedRevAge22)-SUMIF(ThresholdAge22,"&lt;"&amp;R10,WeightedMinAge22),MAX(CapacityAge22*АбонементНовых*R10,MeanMinAge22)))</f>
        <v/>
      </c>
      <c r="S96" s="87">
        <f>IF(OR(('03_Сеть'!S44-S42)=0,22&lt;=КаникулыРоялти),0,('03_Сеть'!S44-S42)*IF(РоялтиПоГруппам="Да",MeanMinAge22+S10*SUMIF(ThresholdAge22,"&lt;"&amp;S10,WeightedRevAge22)-SUMIF(ThresholdAge22,"&lt;"&amp;S10,WeightedMinAge22),MAX(CapacityAge22*АбонементНовых*S10,MeanMinAge22)))</f>
        <v/>
      </c>
      <c r="T96" s="87">
        <f>IF(OR(('03_Сеть'!T44-T42)=0,22&lt;=КаникулыРоялти),0,('03_Сеть'!T44-T42)*IF(РоялтиПоГруппам="Да",MeanMinAge22+T10*SUMIF(ThresholdAge22,"&lt;"&amp;T10,WeightedRevAge22)-SUMIF(ThresholdAge22,"&lt;"&amp;T10,WeightedMinAge22),MAX(CapacityAge22*АбонементНовых*T10,MeanMinAge22)))</f>
        <v/>
      </c>
      <c r="U96" s="87">
        <f>IF(OR(('03_Сеть'!U44-U42)=0,22&lt;=КаникулыРоялти),0,('03_Сеть'!U44-U42)*IF(РоялтиПоГруппам="Да",MeanMinAge22+U10*SUMIF(ThresholdAge22,"&lt;"&amp;U10,WeightedRevAge22)-SUMIF(ThresholdAge22,"&lt;"&amp;U10,WeightedMinAge22),MAX(CapacityAge22*АбонементНовых*U10,MeanMinAge22)))</f>
        <v/>
      </c>
      <c r="V96" s="87">
        <f>IF(OR(('03_Сеть'!V44-V42)=0,22&lt;=КаникулыРоялти),0,('03_Сеть'!V44-V42)*IF(РоялтиПоГруппам="Да",MeanMinAge22+V10*SUMIF(ThresholdAge22,"&lt;"&amp;V10,WeightedRevAge22)-SUMIF(ThresholdAge22,"&lt;"&amp;V10,WeightedMinAge22),MAX(CapacityAge22*АбонементНовых*V10,MeanMinAge22)))</f>
        <v/>
      </c>
      <c r="W96" s="87">
        <f>IF(OR(('03_Сеть'!W44-W42)=0,22&lt;=КаникулыРоялти),0,('03_Сеть'!W44-W42)*IF(РоялтиПоГруппам="Да",MeanMinAge22+W10*SUMIF(ThresholdAge22,"&lt;"&amp;W10,WeightedRevAge22)-SUMIF(ThresholdAge22,"&lt;"&amp;W10,WeightedMinAge22),MAX(CapacityAge22*АбонементНовых*W10,MeanMinAge22)))</f>
        <v/>
      </c>
      <c r="X96" s="87">
        <f>IF(OR(('03_Сеть'!X44-X42)=0,22&lt;=КаникулыРоялти),0,('03_Сеть'!X44-X42)*IF(РоялтиПоГруппам="Да",MeanMinAge22+X10*SUMIF(ThresholdAge22,"&lt;"&amp;X10,WeightedRevAge22)-SUMIF(ThresholdAge22,"&lt;"&amp;X10,WeightedMinAge22),MAX(CapacityAge22*АбонементНовых*X10,MeanMinAge22)))</f>
        <v/>
      </c>
      <c r="Y96" s="87">
        <f>IF(OR(('03_Сеть'!Y44-Y42)=0,22&lt;=КаникулыРоялти),0,('03_Сеть'!Y44-Y42)*IF(РоялтиПоГруппам="Да",MeanMinAge22+Y10*SUMIF(ThresholdAge22,"&lt;"&amp;Y10,WeightedRevAge22)-SUMIF(ThresholdAge22,"&lt;"&amp;Y10,WeightedMinAge22),MAX(CapacityAge22*АбонементНовых*Y10,MeanMinAge22)))</f>
        <v/>
      </c>
      <c r="Z96" s="87">
        <f>IF(OR(('03_Сеть'!Z44-Z42)=0,22&lt;=КаникулыРоялти),0,('03_Сеть'!Z44-Z42)*IF(РоялтиПоГруппам="Да",MeanMinAge22+Z10*SUMIF(ThresholdAge22,"&lt;"&amp;Z10,WeightedRevAge22)-SUMIF(ThresholdAge22,"&lt;"&amp;Z10,WeightedMinAge22),MAX(CapacityAge22*АбонементНовых*Z10,MeanMinAge22)))</f>
        <v/>
      </c>
      <c r="AA96" s="87">
        <f>IF(OR(('03_Сеть'!AA44-AA42)=0,22&lt;=КаникулыРоялти),0,('03_Сеть'!AA44-AA42)*IF(РоялтиПоГруппам="Да",MeanMinAge22+AA10*SUMIF(ThresholdAge22,"&lt;"&amp;AA10,WeightedRevAge22)-SUMIF(ThresholdAge22,"&lt;"&amp;AA10,WeightedMinAge22),MAX(CapacityAge22*АбонементНовых*AA10,MeanMinAge22)))</f>
        <v/>
      </c>
      <c r="AB96" s="87">
        <f>IF(OR(('03_Сеть'!AB44-AB42)=0,22&lt;=КаникулыРоялти),0,('03_Сеть'!AB44-AB42)*IF(РоялтиПоГруппам="Да",MeanMinAge22+AB10*SUMIF(ThresholdAge22,"&lt;"&amp;AB10,WeightedRevAge22)-SUMIF(ThresholdAge22,"&lt;"&amp;AB10,WeightedMinAge22),MAX(CapacityAge22*АбонементНовых*AB10,MeanMinAge22)))</f>
        <v/>
      </c>
      <c r="AC96" s="87">
        <f>IF(OR(('03_Сеть'!AC44-AC42)=0,22&lt;=КаникулыРоялти),0,('03_Сеть'!AC44-AC42)*IF(РоялтиПоГруппам="Да",MeanMinAge22+AC10*SUMIF(ThresholdAge22,"&lt;"&amp;AC10,WeightedRevAge22)-SUMIF(ThresholdAge22,"&lt;"&amp;AC10,WeightedMinAge22),MAX(CapacityAge22*АбонементНовых*AC10,MeanMinAge22)))</f>
        <v/>
      </c>
      <c r="AD96" s="87">
        <f>IF(OR(('03_Сеть'!AD44-AD42)=0,22&lt;=КаникулыРоялти),0,('03_Сеть'!AD44-AD42)*IF(РоялтиПоГруппам="Да",MeanMinAge22+AD10*SUMIF(ThresholdAge22,"&lt;"&amp;AD10,WeightedRevAge22)-SUMIF(ThresholdAge22,"&lt;"&amp;AD10,WeightedMinAge22),MAX(CapacityAge22*АбонементНовых*AD10,MeanMinAge22)))</f>
        <v/>
      </c>
      <c r="AE96" s="87">
        <f>IF(OR(('03_Сеть'!AE44-AE42)=0,22&lt;=КаникулыРоялти),0,('03_Сеть'!AE44-AE42)*IF(РоялтиПоГруппам="Да",MeanMinAge22+AE10*SUMIF(ThresholdAge22,"&lt;"&amp;AE10,WeightedRevAge22)-SUMIF(ThresholdAge22,"&lt;"&amp;AE10,WeightedMinAge22),MAX(CapacityAge22*АбонементНовых*AE10,MeanMinAge22)))</f>
        <v/>
      </c>
      <c r="AF96" s="87">
        <f>IF(OR(('03_Сеть'!AF44-AF42)=0,22&lt;=КаникулыРоялти),0,('03_Сеть'!AF44-AF42)*IF(РоялтиПоГруппам="Да",MeanMinAge22+AF10*SUMIF(ThresholdAge22,"&lt;"&amp;AF10,WeightedRevAge22)-SUMIF(ThresholdAge22,"&lt;"&amp;AF10,WeightedMinAge22),MAX(CapacityAge22*АбонементНовых*AF10,MeanMinAge22)))</f>
        <v/>
      </c>
      <c r="AG96" s="87">
        <f>IF(OR(('03_Сеть'!AG44-AG42)=0,22&lt;=КаникулыРоялти),0,('03_Сеть'!AG44-AG42)*IF(РоялтиПоГруппам="Да",MeanMinAge22+AG10*SUMIF(ThresholdAge22,"&lt;"&amp;AG10,WeightedRevAge22)-SUMIF(ThresholdAge22,"&lt;"&amp;AG10,WeightedMinAge22),MAX(CapacityAge22*АбонементНовых*AG10,MeanMinAge22)))</f>
        <v/>
      </c>
      <c r="AH96" s="87">
        <f>IF(OR(('03_Сеть'!AH44-AH42)=0,22&lt;=КаникулыРоялти),0,('03_Сеть'!AH44-AH42)*IF(РоялтиПоГруппам="Да",MeanMinAge22+AH10*SUMIF(ThresholdAge22,"&lt;"&amp;AH10,WeightedRevAge22)-SUMIF(ThresholdAge22,"&lt;"&amp;AH10,WeightedMinAge22),MAX(CapacityAge22*АбонементНовых*AH10,MeanMinAge22)))</f>
        <v/>
      </c>
      <c r="AI96" s="87">
        <f>IF(OR(('03_Сеть'!AI44-AI42)=0,22&lt;=КаникулыРоялти),0,('03_Сеть'!AI44-AI42)*IF(РоялтиПоГруппам="Да",MeanMinAge22+AI10*SUMIF(ThresholdAge22,"&lt;"&amp;AI10,WeightedRevAge22)-SUMIF(ThresholdAge22,"&lt;"&amp;AI10,WeightedMinAge22),MAX(CapacityAge22*АбонементНовых*AI10,MeanMinAge22)))</f>
        <v/>
      </c>
      <c r="AJ96" s="87">
        <f>IF(OR(('03_Сеть'!AJ44-AJ42)=0,22&lt;=КаникулыРоялти),0,('03_Сеть'!AJ44-AJ42)*IF(РоялтиПоГруппам="Да",MeanMinAge22+AJ10*SUMIF(ThresholdAge22,"&lt;"&amp;AJ10,WeightedRevAge22)-SUMIF(ThresholdAge22,"&lt;"&amp;AJ10,WeightedMinAge22),MAX(CapacityAge22*АбонементНовых*AJ10,MeanMinAge22)))</f>
        <v/>
      </c>
      <c r="AK96" s="87">
        <f>IF(OR(('03_Сеть'!AK44-AK42)=0,22&lt;=КаникулыРоялти),0,('03_Сеть'!AK44-AK42)*IF(РоялтиПоГруппам="Да",MeanMinAge22+AK10*SUMIF(ThresholdAge22,"&lt;"&amp;AK10,WeightedRevAge22)-SUMIF(ThresholdAge22,"&lt;"&amp;AK10,WeightedMinAge22),MAX(CapacityAge22*АбонементНовых*AK10,MeanMinAge22)))</f>
        <v/>
      </c>
      <c r="AL96" s="87">
        <f>IF(OR(('03_Сеть'!AL44-AL42)=0,22&lt;=КаникулыРоялти),0,('03_Сеть'!AL44-AL42)*IF(РоялтиПоГруппам="Да",MeanMinAge22+AL10*SUMIF(ThresholdAge22,"&lt;"&amp;AL10,WeightedRevAge22)-SUMIF(ThresholdAge22,"&lt;"&amp;AL10,WeightedMinAge22),MAX(CapacityAge22*АбонементНовых*AL10,MeanMinAge22)))</f>
        <v/>
      </c>
      <c r="AM96" s="87">
        <f>IF(OR(('03_Сеть'!AM44-AM42)=0,22&lt;=КаникулыРоялти),0,('03_Сеть'!AM44-AM42)*IF(РоялтиПоГруппам="Да",MeanMinAge22+AM10*SUMIF(ThresholdAge22,"&lt;"&amp;AM10,WeightedRevAge22)-SUMIF(ThresholdAge22,"&lt;"&amp;AM10,WeightedMinAge22),MAX(CapacityAge22*АбонементНовых*AM10,MeanMinAge22)))</f>
        <v/>
      </c>
      <c r="AN96" s="87">
        <f>IF(OR(('03_Сеть'!AN44-AN42)=0,22&lt;=КаникулыРоялти),0,('03_Сеть'!AN44-AN42)*IF(РоялтиПоГруппам="Да",MeanMinAge22+AN10*SUMIF(ThresholdAge22,"&lt;"&amp;AN10,WeightedRevAge22)-SUMIF(ThresholdAge22,"&lt;"&amp;AN10,WeightedMinAge22),MAX(CapacityAge22*АбонементНовых*AN10,MeanMinAge22)))</f>
        <v/>
      </c>
      <c r="AO96" s="87">
        <f>IF(OR(('03_Сеть'!AO44-AO42)=0,22&lt;=КаникулыРоялти),0,('03_Сеть'!AO44-AO42)*IF(РоялтиПоГруппам="Да",MeanMinAge22+AO10*SUMIF(ThresholdAge22,"&lt;"&amp;AO10,WeightedRevAge22)-SUMIF(ThresholdAge22,"&lt;"&amp;AO10,WeightedMinAge22),MAX(CapacityAge22*АбонементНовых*AO10,MeanMinAge22)))</f>
        <v/>
      </c>
      <c r="AP96" s="87">
        <f>IF(OR(('03_Сеть'!AP44-AP42)=0,22&lt;=КаникулыРоялти),0,('03_Сеть'!AP44-AP42)*IF(РоялтиПоГруппам="Да",MeanMinAge22+AP10*SUMIF(ThresholdAge22,"&lt;"&amp;AP10,WeightedRevAge22)-SUMIF(ThresholdAge22,"&lt;"&amp;AP10,WeightedMinAge22),MAX(CapacityAge22*АбонементНовых*AP10,MeanMinAge22)))</f>
        <v/>
      </c>
      <c r="AQ96" s="87">
        <f>IF(OR(('03_Сеть'!AQ44-AQ42)=0,22&lt;=КаникулыРоялти),0,('03_Сеть'!AQ44-AQ42)*IF(РоялтиПоГруппам="Да",MeanMinAge22+AQ10*SUMIF(ThresholdAge22,"&lt;"&amp;AQ10,WeightedRevAge22)-SUMIF(ThresholdAge22,"&lt;"&amp;AQ10,WeightedMinAge22),MAX(CapacityAge22*АбонементНовых*AQ10,MeanMinAge22)))</f>
        <v/>
      </c>
      <c r="AR96" s="87">
        <f>IF(OR(('03_Сеть'!AR44-AR42)=0,22&lt;=КаникулыРоялти),0,('03_Сеть'!AR44-AR42)*IF(РоялтиПоГруппам="Да",MeanMinAge22+AR10*SUMIF(ThresholdAge22,"&lt;"&amp;AR10,WeightedRevAge22)-SUMIF(ThresholdAge22,"&lt;"&amp;AR10,WeightedMinAge22),MAX(CapacityAge22*АбонементНовых*AR10,MeanMinAge22)))</f>
        <v/>
      </c>
      <c r="AS96" s="87">
        <f>IF(OR(('03_Сеть'!AS44-AS42)=0,22&lt;=КаникулыРоялти),0,('03_Сеть'!AS44-AS42)*IF(РоялтиПоГруппам="Да",MeanMinAge22+AS10*SUMIF(ThresholdAge22,"&lt;"&amp;AS10,WeightedRevAge22)-SUMIF(ThresholdAge22,"&lt;"&amp;AS10,WeightedMinAge22),MAX(CapacityAge22*АбонементНовых*AS10,MeanMinAge22)))</f>
        <v/>
      </c>
      <c r="AT96" s="87">
        <f>IF(OR(('03_Сеть'!AT44-AT42)=0,22&lt;=КаникулыРоялти),0,('03_Сеть'!AT44-AT42)*IF(РоялтиПоГруппам="Да",MeanMinAge22+AT10*SUMIF(ThresholdAge22,"&lt;"&amp;AT10,WeightedRevAge22)-SUMIF(ThresholdAge22,"&lt;"&amp;AT10,WeightedMinAge22),MAX(CapacityAge22*АбонементНовых*AT10,MeanMinAge22)))</f>
        <v/>
      </c>
      <c r="AU96" s="87">
        <f>IF(OR(('03_Сеть'!AU44-AU42)=0,22&lt;=КаникулыРоялти),0,('03_Сеть'!AU44-AU42)*IF(РоялтиПоГруппам="Да",MeanMinAge22+AU10*SUMIF(ThresholdAge22,"&lt;"&amp;AU10,WeightedRevAge22)-SUMIF(ThresholdAge22,"&lt;"&amp;AU10,WeightedMinAge22),MAX(CapacityAge22*АбонементНовых*AU10,MeanMinAge22)))</f>
        <v/>
      </c>
      <c r="AV96" s="87">
        <f>IF(OR(('03_Сеть'!AV44-AV42)=0,22&lt;=КаникулыРоялти),0,('03_Сеть'!AV44-AV42)*IF(РоялтиПоГруппам="Да",MeanMinAge22+AV10*SUMIF(ThresholdAge22,"&lt;"&amp;AV10,WeightedRevAge22)-SUMIF(ThresholdAge22,"&lt;"&amp;AV10,WeightedMinAge22),MAX(CapacityAge22*АбонементНовых*AV10,MeanMinAge22)))</f>
        <v/>
      </c>
      <c r="AW96" s="87">
        <f>IF(OR(('03_Сеть'!AW44-AW42)=0,22&lt;=КаникулыРоялти),0,('03_Сеть'!AW44-AW42)*IF(РоялтиПоГруппам="Да",MeanMinAge22+AW10*SUMIF(ThresholdAge22,"&lt;"&amp;AW10,WeightedRevAge22)-SUMIF(ThresholdAge22,"&lt;"&amp;AW10,WeightedMinAge22),MAX(CapacityAge22*АбонементНовых*AW10,MeanMinAge22)))</f>
        <v/>
      </c>
      <c r="AX96" s="87">
        <f>IF(OR(('03_Сеть'!AX44-AX42)=0,22&lt;=КаникулыРоялти),0,('03_Сеть'!AX44-AX42)*IF(РоялтиПоГруппам="Да",MeanMinAge22+AX10*SUMIF(ThresholdAge22,"&lt;"&amp;AX10,WeightedRevAge22)-SUMIF(ThresholdAge22,"&lt;"&amp;AX10,WeightedMinAge22),MAX(CapacityAge22*АбонементНовых*AX10,MeanMinAge22)))</f>
        <v/>
      </c>
      <c r="AY96" s="87">
        <f>IF(OR(('03_Сеть'!AY44-AY42)=0,22&lt;=КаникулыРоялти),0,('03_Сеть'!AY44-AY42)*IF(РоялтиПоГруппам="Да",MeanMinAge22+AY10*SUMIF(ThresholdAge22,"&lt;"&amp;AY10,WeightedRevAge22)-SUMIF(ThresholdAge22,"&lt;"&amp;AY10,WeightedMinAge22),MAX(CapacityAge22*АбонементНовых*AY10,MeanMinAge22)))</f>
        <v/>
      </c>
      <c r="AZ96" s="87">
        <f>IF(OR(('03_Сеть'!AZ44-AZ42)=0,22&lt;=КаникулыРоялти),0,('03_Сеть'!AZ44-AZ42)*IF(РоялтиПоГруппам="Да",MeanMinAge22+AZ10*SUMIF(ThresholdAge22,"&lt;"&amp;AZ10,WeightedRevAge22)-SUMIF(ThresholdAge22,"&lt;"&amp;AZ10,WeightedMinAge22),MAX(CapacityAge22*АбонементНовых*AZ10,MeanMinAge22)))</f>
        <v/>
      </c>
      <c r="BA96" s="87">
        <f>IF(OR(('03_Сеть'!BA44-BA42)=0,22&lt;=КаникулыРоялти),0,('03_Сеть'!BA44-BA42)*IF(РоялтиПоГруппам="Да",MeanMinAge22+BA10*SUMIF(ThresholdAge22,"&lt;"&amp;BA10,WeightedRevAge22)-SUMIF(ThresholdAge22,"&lt;"&amp;BA10,WeightedMinAge22),MAX(CapacityAge22*АбонементНовых*BA10,MeanMinAge22)))</f>
        <v/>
      </c>
      <c r="BB96" s="87">
        <f>IF(OR(('03_Сеть'!BB44-BB42)=0,22&lt;=КаникулыРоялти),0,('03_Сеть'!BB44-BB42)*IF(РоялтиПоГруппам="Да",MeanMinAge22+BB10*SUMIF(ThresholdAge22,"&lt;"&amp;BB10,WeightedRevAge22)-SUMIF(ThresholdAge22,"&lt;"&amp;BB10,WeightedMinAge22),MAX(CapacityAge22*АбонементНовых*BB10,MeanMinAge22)))</f>
        <v/>
      </c>
      <c r="BC96" s="87">
        <f>IF(OR(('03_Сеть'!BC44-BC42)=0,22&lt;=КаникулыРоялти),0,('03_Сеть'!BC44-BC42)*IF(РоялтиПоГруппам="Да",MeanMinAge22+BC10*SUMIF(ThresholdAge22,"&lt;"&amp;BC10,WeightedRevAge22)-SUMIF(ThresholdAge22,"&lt;"&amp;BC10,WeightedMinAge22),MAX(CapacityAge22*АбонементНовых*BC10,MeanMinAge22)))</f>
        <v/>
      </c>
      <c r="BD96" s="87">
        <f>IF(OR(('03_Сеть'!BD44-BD42)=0,22&lt;=КаникулыРоялти),0,('03_Сеть'!BD44-BD42)*IF(РоялтиПоГруппам="Да",MeanMinAge22+BD10*SUMIF(ThresholdAge22,"&lt;"&amp;BD10,WeightedRevAge22)-SUMIF(ThresholdAge22,"&lt;"&amp;BD10,WeightedMinAge22),MAX(CapacityAge22*АбонементНовых*BD10,MeanMinAge22)))</f>
        <v/>
      </c>
      <c r="BE96" s="87">
        <f>IF(OR(('03_Сеть'!BE44-BE42)=0,22&lt;=КаникулыРоялти),0,('03_Сеть'!BE44-BE42)*IF(РоялтиПоГруппам="Да",MeanMinAge22+BE10*SUMIF(ThresholdAge22,"&lt;"&amp;BE10,WeightedRevAge22)-SUMIF(ThresholdAge22,"&lt;"&amp;BE10,WeightedMinAge22),MAX(CapacityAge22*АбонементНовых*BE10,MeanMinAge22)))</f>
        <v/>
      </c>
      <c r="BF96" s="87">
        <f>IF(OR(('03_Сеть'!BF44-BF42)=0,22&lt;=КаникулыРоялти),0,('03_Сеть'!BF44-BF42)*IF(РоялтиПоГруппам="Да",MeanMinAge22+BF10*SUMIF(ThresholdAge22,"&lt;"&amp;BF10,WeightedRevAge22)-SUMIF(ThresholdAge22,"&lt;"&amp;BF10,WeightedMinAge22),MAX(CapacityAge22*АбонементНовых*BF10,MeanMinAge22)))</f>
        <v/>
      </c>
      <c r="BG96" s="87">
        <f>IF(OR(('03_Сеть'!BG44-BG42)=0,22&lt;=КаникулыРоялти),0,('03_Сеть'!BG44-BG42)*IF(РоялтиПоГруппам="Да",MeanMinAge22+BG10*SUMIF(ThresholdAge22,"&lt;"&amp;BG10,WeightedRevAge22)-SUMIF(ThresholdAge22,"&lt;"&amp;BG10,WeightedMinAge22),MAX(CapacityAge22*АбонементНовых*BG10,MeanMinAge22)))</f>
        <v/>
      </c>
      <c r="BH96" s="87">
        <f>IF(OR(('03_Сеть'!BH44-BH42)=0,22&lt;=КаникулыРоялти),0,('03_Сеть'!BH44-BH42)*IF(РоялтиПоГруппам="Да",MeanMinAge22+BH10*SUMIF(ThresholdAge22,"&lt;"&amp;BH10,WeightedRevAge22)-SUMIF(ThresholdAge22,"&lt;"&amp;BH10,WeightedMinAge22),MAX(CapacityAge22*АбонементНовых*BH10,MeanMinAge22)))</f>
        <v/>
      </c>
      <c r="BI96" s="87">
        <f>IF(OR(('03_Сеть'!BI44-BI42)=0,22&lt;=КаникулыРоялти),0,('03_Сеть'!BI44-BI42)*IF(РоялтиПоГруппам="Да",MeanMinAge22+BI10*SUMIF(ThresholdAge22,"&lt;"&amp;BI10,WeightedRevAge22)-SUMIF(ThresholdAge22,"&lt;"&amp;BI10,WeightedMinAge22),MAX(CapacityAge22*АбонементНовых*BI10,MeanMinAge22)))</f>
        <v/>
      </c>
      <c r="BJ96" s="87">
        <f>IF(OR(('03_Сеть'!BJ44-BJ42)=0,22&lt;=КаникулыРоялти),0,('03_Сеть'!BJ44-BJ42)*IF(РоялтиПоГруппам="Да",MeanMinAge22+BJ10*SUMIF(ThresholdAge22,"&lt;"&amp;BJ10,WeightedRevAge22)-SUMIF(ThresholdAge22,"&lt;"&amp;BJ10,WeightedMinAge22),MAX(CapacityAge22*АбонементНовых*BJ10,MeanMinAge22)))</f>
        <v/>
      </c>
      <c r="BK96" s="87">
        <f>IF(OR(('03_Сеть'!BK44-BK42)=0,22&lt;=КаникулыРоялти),0,('03_Сеть'!BK44-BK42)*IF(РоялтиПоГруппам="Да",MeanMinAge22+BK10*SUMIF(ThresholdAge22,"&lt;"&amp;BK10,WeightedRevAge22)-SUMIF(ThresholdAge22,"&lt;"&amp;BK10,WeightedMinAge22),MAX(CapacityAge22*АбонементНовых*BK10,MeanMinAge22)))</f>
        <v/>
      </c>
      <c r="BL96" s="87">
        <f>IF(OR(('03_Сеть'!BL44-BL42)=0,22&lt;=КаникулыРоялти),0,('03_Сеть'!BL44-BL42)*IF(РоялтиПоГруппам="Да",MeanMinAge22+BL10*SUMIF(ThresholdAge22,"&lt;"&amp;BL10,WeightedRevAge22)-SUMIF(ThresholdAge22,"&lt;"&amp;BL10,WeightedMinAge22),MAX(CapacityAge22*АбонементНовых*BL10,MeanMinAge22)))</f>
        <v/>
      </c>
      <c r="BM96" s="87">
        <f>IF(OR(('03_Сеть'!BM44-BM42)=0,22&lt;=КаникулыРоялти),0,('03_Сеть'!BM44-BM42)*IF(РоялтиПоГруппам="Да",MeanMinAge22+BM10*SUMIF(ThresholdAge22,"&lt;"&amp;BM10,WeightedRevAge22)-SUMIF(ThresholdAge22,"&lt;"&amp;BM10,WeightedMinAge22),MAX(CapacityAge22*АбонементНовых*BM10,MeanMinAge22)))</f>
        <v/>
      </c>
      <c r="BN96" s="87">
        <f>IF(OR(('03_Сеть'!BN44-BN42)=0,22&lt;=КаникулыРоялти),0,('03_Сеть'!BN44-BN42)*IF(РоялтиПоГруппам="Да",MeanMinAge22+BN10*SUMIF(ThresholdAge22,"&lt;"&amp;BN10,WeightedRevAge22)-SUMIF(ThresholdAge22,"&lt;"&amp;BN10,WeightedMinAge22),MAX(CapacityAge22*АбонементНовых*BN10,MeanMinAge22)))</f>
        <v/>
      </c>
      <c r="BO96" s="87">
        <f>IF(OR(('03_Сеть'!BO44-BO42)=0,22&lt;=КаникулыРоялти),0,('03_Сеть'!BO44-BO42)*IF(РоялтиПоГруппам="Да",MeanMinAge22+BO10*SUMIF(ThresholdAge22,"&lt;"&amp;BO10,WeightedRevAge22)-SUMIF(ThresholdAge22,"&lt;"&amp;BO10,WeightedMinAge22),MAX(CapacityAge22*АбонементНовых*BO10,MeanMinAge22)))</f>
        <v/>
      </c>
      <c r="BP96" s="87">
        <f>IF(OR(('03_Сеть'!BP44-BP42)=0,22&lt;=КаникулыРоялти),0,('03_Сеть'!BP44-BP42)*IF(РоялтиПоГруппам="Да",MeanMinAge22+BP10*SUMIF(ThresholdAge22,"&lt;"&amp;BP10,WeightedRevAge22)-SUMIF(ThresholdAge22,"&lt;"&amp;BP10,WeightedMinAge22),MAX(CapacityAge22*АбонементНовых*BP10,MeanMinAge22)))</f>
        <v/>
      </c>
      <c r="BQ96" s="87">
        <f>IF(OR(('03_Сеть'!BQ44-BQ42)=0,22&lt;=КаникулыРоялти),0,('03_Сеть'!BQ44-BQ42)*IF(РоялтиПоГруппам="Да",MeanMinAge22+BQ10*SUMIF(ThresholdAge22,"&lt;"&amp;BQ10,WeightedRevAge22)-SUMIF(ThresholdAge22,"&lt;"&amp;BQ10,WeightedMinAge22),MAX(CapacityAge22*АбонементНовых*BQ10,MeanMinAge22)))</f>
        <v/>
      </c>
      <c r="BR96" s="87">
        <f>IF(OR(('03_Сеть'!BR44-BR42)=0,22&lt;=КаникулыРоялти),0,('03_Сеть'!BR44-BR42)*IF(РоялтиПоГруппам="Да",MeanMinAge22+BR10*SUMIF(ThresholdAge22,"&lt;"&amp;BR10,WeightedRevAge22)-SUMIF(ThresholdAge22,"&lt;"&amp;BR10,WeightedMinAge22),MAX(CapacityAge22*АбонементНовых*BR10,MeanMinAge22)))</f>
        <v/>
      </c>
      <c r="BS96" s="87">
        <f>IF(OR(('03_Сеть'!BS44-BS42)=0,22&lt;=КаникулыРоялти),0,('03_Сеть'!BS44-BS42)*IF(РоялтиПоГруппам="Да",MeanMinAge22+BS10*SUMIF(ThresholdAge22,"&lt;"&amp;BS10,WeightedRevAge22)-SUMIF(ThresholdAge22,"&lt;"&amp;BS10,WeightedMinAge22),MAX(CapacityAge22*АбонементНовых*BS10,MeanMinAge22)))</f>
        <v/>
      </c>
      <c r="BT96" s="87">
        <f>IF(OR(('03_Сеть'!BT44-BT42)=0,22&lt;=КаникулыРоялти),0,('03_Сеть'!BT44-BT42)*IF(РоялтиПоГруппам="Да",MeanMinAge22+BT10*SUMIF(ThresholdAge22,"&lt;"&amp;BT10,WeightedRevAge22)-SUMIF(ThresholdAge22,"&lt;"&amp;BT10,WeightedMinAge22),MAX(CapacityAge22*АбонементНовых*BT10,MeanMinAge22)))</f>
        <v/>
      </c>
      <c r="BU96" s="87">
        <f>IF(OR(('03_Сеть'!BU44-BU42)=0,22&lt;=КаникулыРоялти),0,('03_Сеть'!BU44-BU42)*IF(РоялтиПоГруппам="Да",MeanMinAge22+BU10*SUMIF(ThresholdAge22,"&lt;"&amp;BU10,WeightedRevAge22)-SUMIF(ThresholdAge22,"&lt;"&amp;BU10,WeightedMinAge22),MAX(CapacityAge22*АбонементНовых*BU10,MeanMinAge22)))</f>
        <v/>
      </c>
      <c r="BV96" s="87">
        <f>IF(OR(('03_Сеть'!BV44-BV42)=0,22&lt;=КаникулыРоялти),0,('03_Сеть'!BV44-BV42)*IF(РоялтиПоГруппам="Да",MeanMinAge22+BV10*SUMIF(ThresholdAge22,"&lt;"&amp;BV10,WeightedRevAge22)-SUMIF(ThresholdAge22,"&lt;"&amp;BV10,WeightedMinAge22),MAX(CapacityAge22*АбонементНовых*BV10,MeanMinAge22)))</f>
        <v/>
      </c>
      <c r="BW96" s="87">
        <f>IF(OR(('03_Сеть'!BW44-BW42)=0,22&lt;=КаникулыРоялти),0,('03_Сеть'!BW44-BW42)*IF(РоялтиПоГруппам="Да",MeanMinAge22+BW10*SUMIF(ThresholdAge22,"&lt;"&amp;BW10,WeightedRevAge22)-SUMIF(ThresholdAge22,"&lt;"&amp;BW10,WeightedMinAge22),MAX(CapacityAge22*АбонементНовых*BW10,MeanMinAge22)))</f>
        <v/>
      </c>
      <c r="BX96" s="87">
        <f>IF(OR(('03_Сеть'!BX44-BX42)=0,22&lt;=КаникулыРоялти),0,('03_Сеть'!BX44-BX42)*IF(РоялтиПоГруппам="Да",MeanMinAge22+BX10*SUMIF(ThresholdAge22,"&lt;"&amp;BX10,WeightedRevAge22)-SUMIF(ThresholdAge22,"&lt;"&amp;BX10,WeightedMinAge22),MAX(CapacityAge22*АбонементНовых*BX10,MeanMinAge22)))</f>
        <v/>
      </c>
      <c r="BY96" s="87">
        <f>IF(OR(('03_Сеть'!BY44-BY42)=0,22&lt;=КаникулыРоялти),0,('03_Сеть'!BY44-BY42)*IF(РоялтиПоГруппам="Да",MeanMinAge22+BY10*SUMIF(ThresholdAge22,"&lt;"&amp;BY10,WeightedRevAge22)-SUMIF(ThresholdAge22,"&lt;"&amp;BY10,WeightedMinAge22),MAX(CapacityAge22*АбонементНовых*BY10,MeanMinAge22)))</f>
        <v/>
      </c>
    </row>
    <row r="97" ht="15.75" customHeight="1" s="194">
      <c r="B97" s="56" t="inlineStr">
        <is>
          <t>23 мес.</t>
        </is>
      </c>
      <c r="C97" s="56" t="inlineStr">
        <is>
          <t>₽</t>
        </is>
      </c>
      <c r="D97" s="57" t="n"/>
      <c r="E97" s="85">
        <f>SUM(L97:W97)</f>
        <v/>
      </c>
      <c r="F97" s="85">
        <f>SUM(X97:AI97)</f>
        <v/>
      </c>
      <c r="G97" s="85">
        <f>SUM(AJ97:AU97)</f>
        <v/>
      </c>
      <c r="H97" s="85">
        <f>SUM(AV97:BG97)</f>
        <v/>
      </c>
      <c r="I97" s="85">
        <f>SUM(BH97:BS97)</f>
        <v/>
      </c>
      <c r="J97" s="86">
        <f>SUM(L97:BS97)</f>
        <v/>
      </c>
      <c r="L97" s="87">
        <f>IF(OR(('03_Сеть'!L45-L43)=0,23&lt;=КаникулыРоялти),0,('03_Сеть'!L45-L43)*IF(РоялтиПоГруппам="Да",MeanMinAge23+L10*SUMIF(ThresholdAge23,"&lt;"&amp;L10,WeightedRevAge23)-SUMIF(ThresholdAge23,"&lt;"&amp;L10,WeightedMinAge23),MAX(CapacityAge23*АбонементНовых*L10,MeanMinAge23)))</f>
        <v/>
      </c>
      <c r="M97" s="87">
        <f>IF(OR(('03_Сеть'!M45-M43)=0,23&lt;=КаникулыРоялти),0,('03_Сеть'!M45-M43)*IF(РоялтиПоГруппам="Да",MeanMinAge23+M10*SUMIF(ThresholdAge23,"&lt;"&amp;M10,WeightedRevAge23)-SUMIF(ThresholdAge23,"&lt;"&amp;M10,WeightedMinAge23),MAX(CapacityAge23*АбонементНовых*M10,MeanMinAge23)))</f>
        <v/>
      </c>
      <c r="N97" s="87">
        <f>IF(OR(('03_Сеть'!N45-N43)=0,23&lt;=КаникулыРоялти),0,('03_Сеть'!N45-N43)*IF(РоялтиПоГруппам="Да",MeanMinAge23+N10*SUMIF(ThresholdAge23,"&lt;"&amp;N10,WeightedRevAge23)-SUMIF(ThresholdAge23,"&lt;"&amp;N10,WeightedMinAge23),MAX(CapacityAge23*АбонементНовых*N10,MeanMinAge23)))</f>
        <v/>
      </c>
      <c r="O97" s="87">
        <f>IF(OR(('03_Сеть'!O45-O43)=0,23&lt;=КаникулыРоялти),0,('03_Сеть'!O45-O43)*IF(РоялтиПоГруппам="Да",MeanMinAge23+O10*SUMIF(ThresholdAge23,"&lt;"&amp;O10,WeightedRevAge23)-SUMIF(ThresholdAge23,"&lt;"&amp;O10,WeightedMinAge23),MAX(CapacityAge23*АбонементНовых*O10,MeanMinAge23)))</f>
        <v/>
      </c>
      <c r="P97" s="87">
        <f>IF(OR(('03_Сеть'!P45-P43)=0,23&lt;=КаникулыРоялти),0,('03_Сеть'!P45-P43)*IF(РоялтиПоГруппам="Да",MeanMinAge23+P10*SUMIF(ThresholdAge23,"&lt;"&amp;P10,WeightedRevAge23)-SUMIF(ThresholdAge23,"&lt;"&amp;P10,WeightedMinAge23),MAX(CapacityAge23*АбонементНовых*P10,MeanMinAge23)))</f>
        <v/>
      </c>
      <c r="Q97" s="87">
        <f>IF(OR(('03_Сеть'!Q45-Q43)=0,23&lt;=КаникулыРоялти),0,('03_Сеть'!Q45-Q43)*IF(РоялтиПоГруппам="Да",MeanMinAge23+Q10*SUMIF(ThresholdAge23,"&lt;"&amp;Q10,WeightedRevAge23)-SUMIF(ThresholdAge23,"&lt;"&amp;Q10,WeightedMinAge23),MAX(CapacityAge23*АбонементНовых*Q10,MeanMinAge23)))</f>
        <v/>
      </c>
      <c r="R97" s="87">
        <f>IF(OR(('03_Сеть'!R45-R43)=0,23&lt;=КаникулыРоялти),0,('03_Сеть'!R45-R43)*IF(РоялтиПоГруппам="Да",MeanMinAge23+R10*SUMIF(ThresholdAge23,"&lt;"&amp;R10,WeightedRevAge23)-SUMIF(ThresholdAge23,"&lt;"&amp;R10,WeightedMinAge23),MAX(CapacityAge23*АбонементНовых*R10,MeanMinAge23)))</f>
        <v/>
      </c>
      <c r="S97" s="87">
        <f>IF(OR(('03_Сеть'!S45-S43)=0,23&lt;=КаникулыРоялти),0,('03_Сеть'!S45-S43)*IF(РоялтиПоГруппам="Да",MeanMinAge23+S10*SUMIF(ThresholdAge23,"&lt;"&amp;S10,WeightedRevAge23)-SUMIF(ThresholdAge23,"&lt;"&amp;S10,WeightedMinAge23),MAX(CapacityAge23*АбонементНовых*S10,MeanMinAge23)))</f>
        <v/>
      </c>
      <c r="T97" s="87">
        <f>IF(OR(('03_Сеть'!T45-T43)=0,23&lt;=КаникулыРоялти),0,('03_Сеть'!T45-T43)*IF(РоялтиПоГруппам="Да",MeanMinAge23+T10*SUMIF(ThresholdAge23,"&lt;"&amp;T10,WeightedRevAge23)-SUMIF(ThresholdAge23,"&lt;"&amp;T10,WeightedMinAge23),MAX(CapacityAge23*АбонементНовых*T10,MeanMinAge23)))</f>
        <v/>
      </c>
      <c r="U97" s="87">
        <f>IF(OR(('03_Сеть'!U45-U43)=0,23&lt;=КаникулыРоялти),0,('03_Сеть'!U45-U43)*IF(РоялтиПоГруппам="Да",MeanMinAge23+U10*SUMIF(ThresholdAge23,"&lt;"&amp;U10,WeightedRevAge23)-SUMIF(ThresholdAge23,"&lt;"&amp;U10,WeightedMinAge23),MAX(CapacityAge23*АбонементНовых*U10,MeanMinAge23)))</f>
        <v/>
      </c>
      <c r="V97" s="87">
        <f>IF(OR(('03_Сеть'!V45-V43)=0,23&lt;=КаникулыРоялти),0,('03_Сеть'!V45-V43)*IF(РоялтиПоГруппам="Да",MeanMinAge23+V10*SUMIF(ThresholdAge23,"&lt;"&amp;V10,WeightedRevAge23)-SUMIF(ThresholdAge23,"&lt;"&amp;V10,WeightedMinAge23),MAX(CapacityAge23*АбонементНовых*V10,MeanMinAge23)))</f>
        <v/>
      </c>
      <c r="W97" s="87">
        <f>IF(OR(('03_Сеть'!W45-W43)=0,23&lt;=КаникулыРоялти),0,('03_Сеть'!W45-W43)*IF(РоялтиПоГруппам="Да",MeanMinAge23+W10*SUMIF(ThresholdAge23,"&lt;"&amp;W10,WeightedRevAge23)-SUMIF(ThresholdAge23,"&lt;"&amp;W10,WeightedMinAge23),MAX(CapacityAge23*АбонементНовых*W10,MeanMinAge23)))</f>
        <v/>
      </c>
      <c r="X97" s="87">
        <f>IF(OR(('03_Сеть'!X45-X43)=0,23&lt;=КаникулыРоялти),0,('03_Сеть'!X45-X43)*IF(РоялтиПоГруппам="Да",MeanMinAge23+X10*SUMIF(ThresholdAge23,"&lt;"&amp;X10,WeightedRevAge23)-SUMIF(ThresholdAge23,"&lt;"&amp;X10,WeightedMinAge23),MAX(CapacityAge23*АбонементНовых*X10,MeanMinAge23)))</f>
        <v/>
      </c>
      <c r="Y97" s="87">
        <f>IF(OR(('03_Сеть'!Y45-Y43)=0,23&lt;=КаникулыРоялти),0,('03_Сеть'!Y45-Y43)*IF(РоялтиПоГруппам="Да",MeanMinAge23+Y10*SUMIF(ThresholdAge23,"&lt;"&amp;Y10,WeightedRevAge23)-SUMIF(ThresholdAge23,"&lt;"&amp;Y10,WeightedMinAge23),MAX(CapacityAge23*АбонементНовых*Y10,MeanMinAge23)))</f>
        <v/>
      </c>
      <c r="Z97" s="87">
        <f>IF(OR(('03_Сеть'!Z45-Z43)=0,23&lt;=КаникулыРоялти),0,('03_Сеть'!Z45-Z43)*IF(РоялтиПоГруппам="Да",MeanMinAge23+Z10*SUMIF(ThresholdAge23,"&lt;"&amp;Z10,WeightedRevAge23)-SUMIF(ThresholdAge23,"&lt;"&amp;Z10,WeightedMinAge23),MAX(CapacityAge23*АбонементНовых*Z10,MeanMinAge23)))</f>
        <v/>
      </c>
      <c r="AA97" s="87">
        <f>IF(OR(('03_Сеть'!AA45-AA43)=0,23&lt;=КаникулыРоялти),0,('03_Сеть'!AA45-AA43)*IF(РоялтиПоГруппам="Да",MeanMinAge23+AA10*SUMIF(ThresholdAge23,"&lt;"&amp;AA10,WeightedRevAge23)-SUMIF(ThresholdAge23,"&lt;"&amp;AA10,WeightedMinAge23),MAX(CapacityAge23*АбонементНовых*AA10,MeanMinAge23)))</f>
        <v/>
      </c>
      <c r="AB97" s="87">
        <f>IF(OR(('03_Сеть'!AB45-AB43)=0,23&lt;=КаникулыРоялти),0,('03_Сеть'!AB45-AB43)*IF(РоялтиПоГруппам="Да",MeanMinAge23+AB10*SUMIF(ThresholdAge23,"&lt;"&amp;AB10,WeightedRevAge23)-SUMIF(ThresholdAge23,"&lt;"&amp;AB10,WeightedMinAge23),MAX(CapacityAge23*АбонементНовых*AB10,MeanMinAge23)))</f>
        <v/>
      </c>
      <c r="AC97" s="87">
        <f>IF(OR(('03_Сеть'!AC45-AC43)=0,23&lt;=КаникулыРоялти),0,('03_Сеть'!AC45-AC43)*IF(РоялтиПоГруппам="Да",MeanMinAge23+AC10*SUMIF(ThresholdAge23,"&lt;"&amp;AC10,WeightedRevAge23)-SUMIF(ThresholdAge23,"&lt;"&amp;AC10,WeightedMinAge23),MAX(CapacityAge23*АбонементНовых*AC10,MeanMinAge23)))</f>
        <v/>
      </c>
      <c r="AD97" s="87">
        <f>IF(OR(('03_Сеть'!AD45-AD43)=0,23&lt;=КаникулыРоялти),0,('03_Сеть'!AD45-AD43)*IF(РоялтиПоГруппам="Да",MeanMinAge23+AD10*SUMIF(ThresholdAge23,"&lt;"&amp;AD10,WeightedRevAge23)-SUMIF(ThresholdAge23,"&lt;"&amp;AD10,WeightedMinAge23),MAX(CapacityAge23*АбонементНовых*AD10,MeanMinAge23)))</f>
        <v/>
      </c>
      <c r="AE97" s="87">
        <f>IF(OR(('03_Сеть'!AE45-AE43)=0,23&lt;=КаникулыРоялти),0,('03_Сеть'!AE45-AE43)*IF(РоялтиПоГруппам="Да",MeanMinAge23+AE10*SUMIF(ThresholdAge23,"&lt;"&amp;AE10,WeightedRevAge23)-SUMIF(ThresholdAge23,"&lt;"&amp;AE10,WeightedMinAge23),MAX(CapacityAge23*АбонементНовых*AE10,MeanMinAge23)))</f>
        <v/>
      </c>
      <c r="AF97" s="87">
        <f>IF(OR(('03_Сеть'!AF45-AF43)=0,23&lt;=КаникулыРоялти),0,('03_Сеть'!AF45-AF43)*IF(РоялтиПоГруппам="Да",MeanMinAge23+AF10*SUMIF(ThresholdAge23,"&lt;"&amp;AF10,WeightedRevAge23)-SUMIF(ThresholdAge23,"&lt;"&amp;AF10,WeightedMinAge23),MAX(CapacityAge23*АбонементНовых*AF10,MeanMinAge23)))</f>
        <v/>
      </c>
      <c r="AG97" s="87">
        <f>IF(OR(('03_Сеть'!AG45-AG43)=0,23&lt;=КаникулыРоялти),0,('03_Сеть'!AG45-AG43)*IF(РоялтиПоГруппам="Да",MeanMinAge23+AG10*SUMIF(ThresholdAge23,"&lt;"&amp;AG10,WeightedRevAge23)-SUMIF(ThresholdAge23,"&lt;"&amp;AG10,WeightedMinAge23),MAX(CapacityAge23*АбонементНовых*AG10,MeanMinAge23)))</f>
        <v/>
      </c>
      <c r="AH97" s="87">
        <f>IF(OR(('03_Сеть'!AH45-AH43)=0,23&lt;=КаникулыРоялти),0,('03_Сеть'!AH45-AH43)*IF(РоялтиПоГруппам="Да",MeanMinAge23+AH10*SUMIF(ThresholdAge23,"&lt;"&amp;AH10,WeightedRevAge23)-SUMIF(ThresholdAge23,"&lt;"&amp;AH10,WeightedMinAge23),MAX(CapacityAge23*АбонементНовых*AH10,MeanMinAge23)))</f>
        <v/>
      </c>
      <c r="AI97" s="87">
        <f>IF(OR(('03_Сеть'!AI45-AI43)=0,23&lt;=КаникулыРоялти),0,('03_Сеть'!AI45-AI43)*IF(РоялтиПоГруппам="Да",MeanMinAge23+AI10*SUMIF(ThresholdAge23,"&lt;"&amp;AI10,WeightedRevAge23)-SUMIF(ThresholdAge23,"&lt;"&amp;AI10,WeightedMinAge23),MAX(CapacityAge23*АбонементНовых*AI10,MeanMinAge23)))</f>
        <v/>
      </c>
      <c r="AJ97" s="87">
        <f>IF(OR(('03_Сеть'!AJ45-AJ43)=0,23&lt;=КаникулыРоялти),0,('03_Сеть'!AJ45-AJ43)*IF(РоялтиПоГруппам="Да",MeanMinAge23+AJ10*SUMIF(ThresholdAge23,"&lt;"&amp;AJ10,WeightedRevAge23)-SUMIF(ThresholdAge23,"&lt;"&amp;AJ10,WeightedMinAge23),MAX(CapacityAge23*АбонементНовых*AJ10,MeanMinAge23)))</f>
        <v/>
      </c>
      <c r="AK97" s="87">
        <f>IF(OR(('03_Сеть'!AK45-AK43)=0,23&lt;=КаникулыРоялти),0,('03_Сеть'!AK45-AK43)*IF(РоялтиПоГруппам="Да",MeanMinAge23+AK10*SUMIF(ThresholdAge23,"&lt;"&amp;AK10,WeightedRevAge23)-SUMIF(ThresholdAge23,"&lt;"&amp;AK10,WeightedMinAge23),MAX(CapacityAge23*АбонементНовых*AK10,MeanMinAge23)))</f>
        <v/>
      </c>
      <c r="AL97" s="87">
        <f>IF(OR(('03_Сеть'!AL45-AL43)=0,23&lt;=КаникулыРоялти),0,('03_Сеть'!AL45-AL43)*IF(РоялтиПоГруппам="Да",MeanMinAge23+AL10*SUMIF(ThresholdAge23,"&lt;"&amp;AL10,WeightedRevAge23)-SUMIF(ThresholdAge23,"&lt;"&amp;AL10,WeightedMinAge23),MAX(CapacityAge23*АбонементНовых*AL10,MeanMinAge23)))</f>
        <v/>
      </c>
      <c r="AM97" s="87">
        <f>IF(OR(('03_Сеть'!AM45-AM43)=0,23&lt;=КаникулыРоялти),0,('03_Сеть'!AM45-AM43)*IF(РоялтиПоГруппам="Да",MeanMinAge23+AM10*SUMIF(ThresholdAge23,"&lt;"&amp;AM10,WeightedRevAge23)-SUMIF(ThresholdAge23,"&lt;"&amp;AM10,WeightedMinAge23),MAX(CapacityAge23*АбонементНовых*AM10,MeanMinAge23)))</f>
        <v/>
      </c>
      <c r="AN97" s="87">
        <f>IF(OR(('03_Сеть'!AN45-AN43)=0,23&lt;=КаникулыРоялти),0,('03_Сеть'!AN45-AN43)*IF(РоялтиПоГруппам="Да",MeanMinAge23+AN10*SUMIF(ThresholdAge23,"&lt;"&amp;AN10,WeightedRevAge23)-SUMIF(ThresholdAge23,"&lt;"&amp;AN10,WeightedMinAge23),MAX(CapacityAge23*АбонементНовых*AN10,MeanMinAge23)))</f>
        <v/>
      </c>
      <c r="AO97" s="87">
        <f>IF(OR(('03_Сеть'!AO45-AO43)=0,23&lt;=КаникулыРоялти),0,('03_Сеть'!AO45-AO43)*IF(РоялтиПоГруппам="Да",MeanMinAge23+AO10*SUMIF(ThresholdAge23,"&lt;"&amp;AO10,WeightedRevAge23)-SUMIF(ThresholdAge23,"&lt;"&amp;AO10,WeightedMinAge23),MAX(CapacityAge23*АбонементНовых*AO10,MeanMinAge23)))</f>
        <v/>
      </c>
      <c r="AP97" s="87">
        <f>IF(OR(('03_Сеть'!AP45-AP43)=0,23&lt;=КаникулыРоялти),0,('03_Сеть'!AP45-AP43)*IF(РоялтиПоГруппам="Да",MeanMinAge23+AP10*SUMIF(ThresholdAge23,"&lt;"&amp;AP10,WeightedRevAge23)-SUMIF(ThresholdAge23,"&lt;"&amp;AP10,WeightedMinAge23),MAX(CapacityAge23*АбонементНовых*AP10,MeanMinAge23)))</f>
        <v/>
      </c>
      <c r="AQ97" s="87">
        <f>IF(OR(('03_Сеть'!AQ45-AQ43)=0,23&lt;=КаникулыРоялти),0,('03_Сеть'!AQ45-AQ43)*IF(РоялтиПоГруппам="Да",MeanMinAge23+AQ10*SUMIF(ThresholdAge23,"&lt;"&amp;AQ10,WeightedRevAge23)-SUMIF(ThresholdAge23,"&lt;"&amp;AQ10,WeightedMinAge23),MAX(CapacityAge23*АбонементНовых*AQ10,MeanMinAge23)))</f>
        <v/>
      </c>
      <c r="AR97" s="87">
        <f>IF(OR(('03_Сеть'!AR45-AR43)=0,23&lt;=КаникулыРоялти),0,('03_Сеть'!AR45-AR43)*IF(РоялтиПоГруппам="Да",MeanMinAge23+AR10*SUMIF(ThresholdAge23,"&lt;"&amp;AR10,WeightedRevAge23)-SUMIF(ThresholdAge23,"&lt;"&amp;AR10,WeightedMinAge23),MAX(CapacityAge23*АбонементНовых*AR10,MeanMinAge23)))</f>
        <v/>
      </c>
      <c r="AS97" s="87">
        <f>IF(OR(('03_Сеть'!AS45-AS43)=0,23&lt;=КаникулыРоялти),0,('03_Сеть'!AS45-AS43)*IF(РоялтиПоГруппам="Да",MeanMinAge23+AS10*SUMIF(ThresholdAge23,"&lt;"&amp;AS10,WeightedRevAge23)-SUMIF(ThresholdAge23,"&lt;"&amp;AS10,WeightedMinAge23),MAX(CapacityAge23*АбонементНовых*AS10,MeanMinAge23)))</f>
        <v/>
      </c>
      <c r="AT97" s="87">
        <f>IF(OR(('03_Сеть'!AT45-AT43)=0,23&lt;=КаникулыРоялти),0,('03_Сеть'!AT45-AT43)*IF(РоялтиПоГруппам="Да",MeanMinAge23+AT10*SUMIF(ThresholdAge23,"&lt;"&amp;AT10,WeightedRevAge23)-SUMIF(ThresholdAge23,"&lt;"&amp;AT10,WeightedMinAge23),MAX(CapacityAge23*АбонементНовых*AT10,MeanMinAge23)))</f>
        <v/>
      </c>
      <c r="AU97" s="87">
        <f>IF(OR(('03_Сеть'!AU45-AU43)=0,23&lt;=КаникулыРоялти),0,('03_Сеть'!AU45-AU43)*IF(РоялтиПоГруппам="Да",MeanMinAge23+AU10*SUMIF(ThresholdAge23,"&lt;"&amp;AU10,WeightedRevAge23)-SUMIF(ThresholdAge23,"&lt;"&amp;AU10,WeightedMinAge23),MAX(CapacityAge23*АбонементНовых*AU10,MeanMinAge23)))</f>
        <v/>
      </c>
      <c r="AV97" s="87">
        <f>IF(OR(('03_Сеть'!AV45-AV43)=0,23&lt;=КаникулыРоялти),0,('03_Сеть'!AV45-AV43)*IF(РоялтиПоГруппам="Да",MeanMinAge23+AV10*SUMIF(ThresholdAge23,"&lt;"&amp;AV10,WeightedRevAge23)-SUMIF(ThresholdAge23,"&lt;"&amp;AV10,WeightedMinAge23),MAX(CapacityAge23*АбонементНовых*AV10,MeanMinAge23)))</f>
        <v/>
      </c>
      <c r="AW97" s="87">
        <f>IF(OR(('03_Сеть'!AW45-AW43)=0,23&lt;=КаникулыРоялти),0,('03_Сеть'!AW45-AW43)*IF(РоялтиПоГруппам="Да",MeanMinAge23+AW10*SUMIF(ThresholdAge23,"&lt;"&amp;AW10,WeightedRevAge23)-SUMIF(ThresholdAge23,"&lt;"&amp;AW10,WeightedMinAge23),MAX(CapacityAge23*АбонементНовых*AW10,MeanMinAge23)))</f>
        <v/>
      </c>
      <c r="AX97" s="87">
        <f>IF(OR(('03_Сеть'!AX45-AX43)=0,23&lt;=КаникулыРоялти),0,('03_Сеть'!AX45-AX43)*IF(РоялтиПоГруппам="Да",MeanMinAge23+AX10*SUMIF(ThresholdAge23,"&lt;"&amp;AX10,WeightedRevAge23)-SUMIF(ThresholdAge23,"&lt;"&amp;AX10,WeightedMinAge23),MAX(CapacityAge23*АбонементНовых*AX10,MeanMinAge23)))</f>
        <v/>
      </c>
      <c r="AY97" s="87">
        <f>IF(OR(('03_Сеть'!AY45-AY43)=0,23&lt;=КаникулыРоялти),0,('03_Сеть'!AY45-AY43)*IF(РоялтиПоГруппам="Да",MeanMinAge23+AY10*SUMIF(ThresholdAge23,"&lt;"&amp;AY10,WeightedRevAge23)-SUMIF(ThresholdAge23,"&lt;"&amp;AY10,WeightedMinAge23),MAX(CapacityAge23*АбонементНовых*AY10,MeanMinAge23)))</f>
        <v/>
      </c>
      <c r="AZ97" s="87">
        <f>IF(OR(('03_Сеть'!AZ45-AZ43)=0,23&lt;=КаникулыРоялти),0,('03_Сеть'!AZ45-AZ43)*IF(РоялтиПоГруппам="Да",MeanMinAge23+AZ10*SUMIF(ThresholdAge23,"&lt;"&amp;AZ10,WeightedRevAge23)-SUMIF(ThresholdAge23,"&lt;"&amp;AZ10,WeightedMinAge23),MAX(CapacityAge23*АбонементНовых*AZ10,MeanMinAge23)))</f>
        <v/>
      </c>
      <c r="BA97" s="87">
        <f>IF(OR(('03_Сеть'!BA45-BA43)=0,23&lt;=КаникулыРоялти),0,('03_Сеть'!BA45-BA43)*IF(РоялтиПоГруппам="Да",MeanMinAge23+BA10*SUMIF(ThresholdAge23,"&lt;"&amp;BA10,WeightedRevAge23)-SUMIF(ThresholdAge23,"&lt;"&amp;BA10,WeightedMinAge23),MAX(CapacityAge23*АбонементНовых*BA10,MeanMinAge23)))</f>
        <v/>
      </c>
      <c r="BB97" s="87">
        <f>IF(OR(('03_Сеть'!BB45-BB43)=0,23&lt;=КаникулыРоялти),0,('03_Сеть'!BB45-BB43)*IF(РоялтиПоГруппам="Да",MeanMinAge23+BB10*SUMIF(ThresholdAge23,"&lt;"&amp;BB10,WeightedRevAge23)-SUMIF(ThresholdAge23,"&lt;"&amp;BB10,WeightedMinAge23),MAX(CapacityAge23*АбонементНовых*BB10,MeanMinAge23)))</f>
        <v/>
      </c>
      <c r="BC97" s="87">
        <f>IF(OR(('03_Сеть'!BC45-BC43)=0,23&lt;=КаникулыРоялти),0,('03_Сеть'!BC45-BC43)*IF(РоялтиПоГруппам="Да",MeanMinAge23+BC10*SUMIF(ThresholdAge23,"&lt;"&amp;BC10,WeightedRevAge23)-SUMIF(ThresholdAge23,"&lt;"&amp;BC10,WeightedMinAge23),MAX(CapacityAge23*АбонементНовых*BC10,MeanMinAge23)))</f>
        <v/>
      </c>
      <c r="BD97" s="87">
        <f>IF(OR(('03_Сеть'!BD45-BD43)=0,23&lt;=КаникулыРоялти),0,('03_Сеть'!BD45-BD43)*IF(РоялтиПоГруппам="Да",MeanMinAge23+BD10*SUMIF(ThresholdAge23,"&lt;"&amp;BD10,WeightedRevAge23)-SUMIF(ThresholdAge23,"&lt;"&amp;BD10,WeightedMinAge23),MAX(CapacityAge23*АбонементНовых*BD10,MeanMinAge23)))</f>
        <v/>
      </c>
      <c r="BE97" s="87">
        <f>IF(OR(('03_Сеть'!BE45-BE43)=0,23&lt;=КаникулыРоялти),0,('03_Сеть'!BE45-BE43)*IF(РоялтиПоГруппам="Да",MeanMinAge23+BE10*SUMIF(ThresholdAge23,"&lt;"&amp;BE10,WeightedRevAge23)-SUMIF(ThresholdAge23,"&lt;"&amp;BE10,WeightedMinAge23),MAX(CapacityAge23*АбонементНовых*BE10,MeanMinAge23)))</f>
        <v/>
      </c>
      <c r="BF97" s="87">
        <f>IF(OR(('03_Сеть'!BF45-BF43)=0,23&lt;=КаникулыРоялти),0,('03_Сеть'!BF45-BF43)*IF(РоялтиПоГруппам="Да",MeanMinAge23+BF10*SUMIF(ThresholdAge23,"&lt;"&amp;BF10,WeightedRevAge23)-SUMIF(ThresholdAge23,"&lt;"&amp;BF10,WeightedMinAge23),MAX(CapacityAge23*АбонементНовых*BF10,MeanMinAge23)))</f>
        <v/>
      </c>
      <c r="BG97" s="87">
        <f>IF(OR(('03_Сеть'!BG45-BG43)=0,23&lt;=КаникулыРоялти),0,('03_Сеть'!BG45-BG43)*IF(РоялтиПоГруппам="Да",MeanMinAge23+BG10*SUMIF(ThresholdAge23,"&lt;"&amp;BG10,WeightedRevAge23)-SUMIF(ThresholdAge23,"&lt;"&amp;BG10,WeightedMinAge23),MAX(CapacityAge23*АбонементНовых*BG10,MeanMinAge23)))</f>
        <v/>
      </c>
      <c r="BH97" s="87">
        <f>IF(OR(('03_Сеть'!BH45-BH43)=0,23&lt;=КаникулыРоялти),0,('03_Сеть'!BH45-BH43)*IF(РоялтиПоГруппам="Да",MeanMinAge23+BH10*SUMIF(ThresholdAge23,"&lt;"&amp;BH10,WeightedRevAge23)-SUMIF(ThresholdAge23,"&lt;"&amp;BH10,WeightedMinAge23),MAX(CapacityAge23*АбонементНовых*BH10,MeanMinAge23)))</f>
        <v/>
      </c>
      <c r="BI97" s="87">
        <f>IF(OR(('03_Сеть'!BI45-BI43)=0,23&lt;=КаникулыРоялти),0,('03_Сеть'!BI45-BI43)*IF(РоялтиПоГруппам="Да",MeanMinAge23+BI10*SUMIF(ThresholdAge23,"&lt;"&amp;BI10,WeightedRevAge23)-SUMIF(ThresholdAge23,"&lt;"&amp;BI10,WeightedMinAge23),MAX(CapacityAge23*АбонементНовых*BI10,MeanMinAge23)))</f>
        <v/>
      </c>
      <c r="BJ97" s="87">
        <f>IF(OR(('03_Сеть'!BJ45-BJ43)=0,23&lt;=КаникулыРоялти),0,('03_Сеть'!BJ45-BJ43)*IF(РоялтиПоГруппам="Да",MeanMinAge23+BJ10*SUMIF(ThresholdAge23,"&lt;"&amp;BJ10,WeightedRevAge23)-SUMIF(ThresholdAge23,"&lt;"&amp;BJ10,WeightedMinAge23),MAX(CapacityAge23*АбонементНовых*BJ10,MeanMinAge23)))</f>
        <v/>
      </c>
      <c r="BK97" s="87">
        <f>IF(OR(('03_Сеть'!BK45-BK43)=0,23&lt;=КаникулыРоялти),0,('03_Сеть'!BK45-BK43)*IF(РоялтиПоГруппам="Да",MeanMinAge23+BK10*SUMIF(ThresholdAge23,"&lt;"&amp;BK10,WeightedRevAge23)-SUMIF(ThresholdAge23,"&lt;"&amp;BK10,WeightedMinAge23),MAX(CapacityAge23*АбонементНовых*BK10,MeanMinAge23)))</f>
        <v/>
      </c>
      <c r="BL97" s="87">
        <f>IF(OR(('03_Сеть'!BL45-BL43)=0,23&lt;=КаникулыРоялти),0,('03_Сеть'!BL45-BL43)*IF(РоялтиПоГруппам="Да",MeanMinAge23+BL10*SUMIF(ThresholdAge23,"&lt;"&amp;BL10,WeightedRevAge23)-SUMIF(ThresholdAge23,"&lt;"&amp;BL10,WeightedMinAge23),MAX(CapacityAge23*АбонементНовых*BL10,MeanMinAge23)))</f>
        <v/>
      </c>
      <c r="BM97" s="87">
        <f>IF(OR(('03_Сеть'!BM45-BM43)=0,23&lt;=КаникулыРоялти),0,('03_Сеть'!BM45-BM43)*IF(РоялтиПоГруппам="Да",MeanMinAge23+BM10*SUMIF(ThresholdAge23,"&lt;"&amp;BM10,WeightedRevAge23)-SUMIF(ThresholdAge23,"&lt;"&amp;BM10,WeightedMinAge23),MAX(CapacityAge23*АбонементНовых*BM10,MeanMinAge23)))</f>
        <v/>
      </c>
      <c r="BN97" s="87">
        <f>IF(OR(('03_Сеть'!BN45-BN43)=0,23&lt;=КаникулыРоялти),0,('03_Сеть'!BN45-BN43)*IF(РоялтиПоГруппам="Да",MeanMinAge23+BN10*SUMIF(ThresholdAge23,"&lt;"&amp;BN10,WeightedRevAge23)-SUMIF(ThresholdAge23,"&lt;"&amp;BN10,WeightedMinAge23),MAX(CapacityAge23*АбонементНовых*BN10,MeanMinAge23)))</f>
        <v/>
      </c>
      <c r="BO97" s="87">
        <f>IF(OR(('03_Сеть'!BO45-BO43)=0,23&lt;=КаникулыРоялти),0,('03_Сеть'!BO45-BO43)*IF(РоялтиПоГруппам="Да",MeanMinAge23+BO10*SUMIF(ThresholdAge23,"&lt;"&amp;BO10,WeightedRevAge23)-SUMIF(ThresholdAge23,"&lt;"&amp;BO10,WeightedMinAge23),MAX(CapacityAge23*АбонементНовых*BO10,MeanMinAge23)))</f>
        <v/>
      </c>
      <c r="BP97" s="87">
        <f>IF(OR(('03_Сеть'!BP45-BP43)=0,23&lt;=КаникулыРоялти),0,('03_Сеть'!BP45-BP43)*IF(РоялтиПоГруппам="Да",MeanMinAge23+BP10*SUMIF(ThresholdAge23,"&lt;"&amp;BP10,WeightedRevAge23)-SUMIF(ThresholdAge23,"&lt;"&amp;BP10,WeightedMinAge23),MAX(CapacityAge23*АбонементНовых*BP10,MeanMinAge23)))</f>
        <v/>
      </c>
      <c r="BQ97" s="87">
        <f>IF(OR(('03_Сеть'!BQ45-BQ43)=0,23&lt;=КаникулыРоялти),0,('03_Сеть'!BQ45-BQ43)*IF(РоялтиПоГруппам="Да",MeanMinAge23+BQ10*SUMIF(ThresholdAge23,"&lt;"&amp;BQ10,WeightedRevAge23)-SUMIF(ThresholdAge23,"&lt;"&amp;BQ10,WeightedMinAge23),MAX(CapacityAge23*АбонементНовых*BQ10,MeanMinAge23)))</f>
        <v/>
      </c>
      <c r="BR97" s="87">
        <f>IF(OR(('03_Сеть'!BR45-BR43)=0,23&lt;=КаникулыРоялти),0,('03_Сеть'!BR45-BR43)*IF(РоялтиПоГруппам="Да",MeanMinAge23+BR10*SUMIF(ThresholdAge23,"&lt;"&amp;BR10,WeightedRevAge23)-SUMIF(ThresholdAge23,"&lt;"&amp;BR10,WeightedMinAge23),MAX(CapacityAge23*АбонементНовых*BR10,MeanMinAge23)))</f>
        <v/>
      </c>
      <c r="BS97" s="87">
        <f>IF(OR(('03_Сеть'!BS45-BS43)=0,23&lt;=КаникулыРоялти),0,('03_Сеть'!BS45-BS43)*IF(РоялтиПоГруппам="Да",MeanMinAge23+BS10*SUMIF(ThresholdAge23,"&lt;"&amp;BS10,WeightedRevAge23)-SUMIF(ThresholdAge23,"&lt;"&amp;BS10,WeightedMinAge23),MAX(CapacityAge23*АбонементНовых*BS10,MeanMinAge23)))</f>
        <v/>
      </c>
      <c r="BT97" s="87">
        <f>IF(OR(('03_Сеть'!BT45-BT43)=0,23&lt;=КаникулыРоялти),0,('03_Сеть'!BT45-BT43)*IF(РоялтиПоГруппам="Да",MeanMinAge23+BT10*SUMIF(ThresholdAge23,"&lt;"&amp;BT10,WeightedRevAge23)-SUMIF(ThresholdAge23,"&lt;"&amp;BT10,WeightedMinAge23),MAX(CapacityAge23*АбонементНовых*BT10,MeanMinAge23)))</f>
        <v/>
      </c>
      <c r="BU97" s="87">
        <f>IF(OR(('03_Сеть'!BU45-BU43)=0,23&lt;=КаникулыРоялти),0,('03_Сеть'!BU45-BU43)*IF(РоялтиПоГруппам="Да",MeanMinAge23+BU10*SUMIF(ThresholdAge23,"&lt;"&amp;BU10,WeightedRevAge23)-SUMIF(ThresholdAge23,"&lt;"&amp;BU10,WeightedMinAge23),MAX(CapacityAge23*АбонементНовых*BU10,MeanMinAge23)))</f>
        <v/>
      </c>
      <c r="BV97" s="87">
        <f>IF(OR(('03_Сеть'!BV45-BV43)=0,23&lt;=КаникулыРоялти),0,('03_Сеть'!BV45-BV43)*IF(РоялтиПоГруппам="Да",MeanMinAge23+BV10*SUMIF(ThresholdAge23,"&lt;"&amp;BV10,WeightedRevAge23)-SUMIF(ThresholdAge23,"&lt;"&amp;BV10,WeightedMinAge23),MAX(CapacityAge23*АбонементНовых*BV10,MeanMinAge23)))</f>
        <v/>
      </c>
      <c r="BW97" s="87">
        <f>IF(OR(('03_Сеть'!BW45-BW43)=0,23&lt;=КаникулыРоялти),0,('03_Сеть'!BW45-BW43)*IF(РоялтиПоГруппам="Да",MeanMinAge23+BW10*SUMIF(ThresholdAge23,"&lt;"&amp;BW10,WeightedRevAge23)-SUMIF(ThresholdAge23,"&lt;"&amp;BW10,WeightedMinAge23),MAX(CapacityAge23*АбонементНовых*BW10,MeanMinAge23)))</f>
        <v/>
      </c>
      <c r="BX97" s="87">
        <f>IF(OR(('03_Сеть'!BX45-BX43)=0,23&lt;=КаникулыРоялти),0,('03_Сеть'!BX45-BX43)*IF(РоялтиПоГруппам="Да",MeanMinAge23+BX10*SUMIF(ThresholdAge23,"&lt;"&amp;BX10,WeightedRevAge23)-SUMIF(ThresholdAge23,"&lt;"&amp;BX10,WeightedMinAge23),MAX(CapacityAge23*АбонементНовых*BX10,MeanMinAge23)))</f>
        <v/>
      </c>
      <c r="BY97" s="87">
        <f>IF(OR(('03_Сеть'!BY45-BY43)=0,23&lt;=КаникулыРоялти),0,('03_Сеть'!BY45-BY43)*IF(РоялтиПоГруппам="Да",MeanMinAge23+BY10*SUMIF(ThresholdAge23,"&lt;"&amp;BY10,WeightedRevAge23)-SUMIF(ThresholdAge23,"&lt;"&amp;BY10,WeightedMinAge23),MAX(CapacityAge23*АбонементНовых*BY10,MeanMinAge23)))</f>
        <v/>
      </c>
    </row>
    <row r="98" ht="15.75" customHeight="1" s="194">
      <c r="B98" s="56" t="inlineStr">
        <is>
          <t>24 мес.</t>
        </is>
      </c>
      <c r="C98" s="56" t="inlineStr">
        <is>
          <t>₽</t>
        </is>
      </c>
      <c r="D98" s="57" t="n"/>
      <c r="E98" s="85">
        <f>SUM(L98:W98)</f>
        <v/>
      </c>
      <c r="F98" s="85">
        <f>SUM(X98:AI98)</f>
        <v/>
      </c>
      <c r="G98" s="85">
        <f>SUM(AJ98:AU98)</f>
        <v/>
      </c>
      <c r="H98" s="85">
        <f>SUM(AV98:BG98)</f>
        <v/>
      </c>
      <c r="I98" s="85">
        <f>SUM(BH98:BS98)</f>
        <v/>
      </c>
      <c r="J98" s="86">
        <f>SUM(L98:BS98)</f>
        <v/>
      </c>
      <c r="L98" s="87">
        <f>IF(OR(('03_Сеть'!L46-L44)=0,24&lt;=КаникулыРоялти),0,('03_Сеть'!L46-L44)*IF(РоялтиПоГруппам="Да",MeanMinAge24+L10*SUMIF(ThresholdAge24,"&lt;"&amp;L10,WeightedRevAge24)-SUMIF(ThresholdAge24,"&lt;"&amp;L10,WeightedMinAge24),MAX(CapacityAge24*АбонементНовых*L10,MeanMinAge24)))</f>
        <v/>
      </c>
      <c r="M98" s="87">
        <f>IF(OR(('03_Сеть'!M46-M44)=0,24&lt;=КаникулыРоялти),0,('03_Сеть'!M46-M44)*IF(РоялтиПоГруппам="Да",MeanMinAge24+M10*SUMIF(ThresholdAge24,"&lt;"&amp;M10,WeightedRevAge24)-SUMIF(ThresholdAge24,"&lt;"&amp;M10,WeightedMinAge24),MAX(CapacityAge24*АбонементНовых*M10,MeanMinAge24)))</f>
        <v/>
      </c>
      <c r="N98" s="87">
        <f>IF(OR(('03_Сеть'!N46-N44)=0,24&lt;=КаникулыРоялти),0,('03_Сеть'!N46-N44)*IF(РоялтиПоГруппам="Да",MeanMinAge24+N10*SUMIF(ThresholdAge24,"&lt;"&amp;N10,WeightedRevAge24)-SUMIF(ThresholdAge24,"&lt;"&amp;N10,WeightedMinAge24),MAX(CapacityAge24*АбонементНовых*N10,MeanMinAge24)))</f>
        <v/>
      </c>
      <c r="O98" s="87">
        <f>IF(OR(('03_Сеть'!O46-O44)=0,24&lt;=КаникулыРоялти),0,('03_Сеть'!O46-O44)*IF(РоялтиПоГруппам="Да",MeanMinAge24+O10*SUMIF(ThresholdAge24,"&lt;"&amp;O10,WeightedRevAge24)-SUMIF(ThresholdAge24,"&lt;"&amp;O10,WeightedMinAge24),MAX(CapacityAge24*АбонементНовых*O10,MeanMinAge24)))</f>
        <v/>
      </c>
      <c r="P98" s="87">
        <f>IF(OR(('03_Сеть'!P46-P44)=0,24&lt;=КаникулыРоялти),0,('03_Сеть'!P46-P44)*IF(РоялтиПоГруппам="Да",MeanMinAge24+P10*SUMIF(ThresholdAge24,"&lt;"&amp;P10,WeightedRevAge24)-SUMIF(ThresholdAge24,"&lt;"&amp;P10,WeightedMinAge24),MAX(CapacityAge24*АбонементНовых*P10,MeanMinAge24)))</f>
        <v/>
      </c>
      <c r="Q98" s="87">
        <f>IF(OR(('03_Сеть'!Q46-Q44)=0,24&lt;=КаникулыРоялти),0,('03_Сеть'!Q46-Q44)*IF(РоялтиПоГруппам="Да",MeanMinAge24+Q10*SUMIF(ThresholdAge24,"&lt;"&amp;Q10,WeightedRevAge24)-SUMIF(ThresholdAge24,"&lt;"&amp;Q10,WeightedMinAge24),MAX(CapacityAge24*АбонементНовых*Q10,MeanMinAge24)))</f>
        <v/>
      </c>
      <c r="R98" s="87">
        <f>IF(OR(('03_Сеть'!R46-R44)=0,24&lt;=КаникулыРоялти),0,('03_Сеть'!R46-R44)*IF(РоялтиПоГруппам="Да",MeanMinAge24+R10*SUMIF(ThresholdAge24,"&lt;"&amp;R10,WeightedRevAge24)-SUMIF(ThresholdAge24,"&lt;"&amp;R10,WeightedMinAge24),MAX(CapacityAge24*АбонементНовых*R10,MeanMinAge24)))</f>
        <v/>
      </c>
      <c r="S98" s="87">
        <f>IF(OR(('03_Сеть'!S46-S44)=0,24&lt;=КаникулыРоялти),0,('03_Сеть'!S46-S44)*IF(РоялтиПоГруппам="Да",MeanMinAge24+S10*SUMIF(ThresholdAge24,"&lt;"&amp;S10,WeightedRevAge24)-SUMIF(ThresholdAge24,"&lt;"&amp;S10,WeightedMinAge24),MAX(CapacityAge24*АбонементНовых*S10,MeanMinAge24)))</f>
        <v/>
      </c>
      <c r="T98" s="87">
        <f>IF(OR(('03_Сеть'!T46-T44)=0,24&lt;=КаникулыРоялти),0,('03_Сеть'!T46-T44)*IF(РоялтиПоГруппам="Да",MeanMinAge24+T10*SUMIF(ThresholdAge24,"&lt;"&amp;T10,WeightedRevAge24)-SUMIF(ThresholdAge24,"&lt;"&amp;T10,WeightedMinAge24),MAX(CapacityAge24*АбонементНовых*T10,MeanMinAge24)))</f>
        <v/>
      </c>
      <c r="U98" s="87">
        <f>IF(OR(('03_Сеть'!U46-U44)=0,24&lt;=КаникулыРоялти),0,('03_Сеть'!U46-U44)*IF(РоялтиПоГруппам="Да",MeanMinAge24+U10*SUMIF(ThresholdAge24,"&lt;"&amp;U10,WeightedRevAge24)-SUMIF(ThresholdAge24,"&lt;"&amp;U10,WeightedMinAge24),MAX(CapacityAge24*АбонементНовых*U10,MeanMinAge24)))</f>
        <v/>
      </c>
      <c r="V98" s="87">
        <f>IF(OR(('03_Сеть'!V46-V44)=0,24&lt;=КаникулыРоялти),0,('03_Сеть'!V46-V44)*IF(РоялтиПоГруппам="Да",MeanMinAge24+V10*SUMIF(ThresholdAge24,"&lt;"&amp;V10,WeightedRevAge24)-SUMIF(ThresholdAge24,"&lt;"&amp;V10,WeightedMinAge24),MAX(CapacityAge24*АбонементНовых*V10,MeanMinAge24)))</f>
        <v/>
      </c>
      <c r="W98" s="87">
        <f>IF(OR(('03_Сеть'!W46-W44)=0,24&lt;=КаникулыРоялти),0,('03_Сеть'!W46-W44)*IF(РоялтиПоГруппам="Да",MeanMinAge24+W10*SUMIF(ThresholdAge24,"&lt;"&amp;W10,WeightedRevAge24)-SUMIF(ThresholdAge24,"&lt;"&amp;W10,WeightedMinAge24),MAX(CapacityAge24*АбонементНовых*W10,MeanMinAge24)))</f>
        <v/>
      </c>
      <c r="X98" s="87">
        <f>IF(OR(('03_Сеть'!X46-X44)=0,24&lt;=КаникулыРоялти),0,('03_Сеть'!X46-X44)*IF(РоялтиПоГруппам="Да",MeanMinAge24+X10*SUMIF(ThresholdAge24,"&lt;"&amp;X10,WeightedRevAge24)-SUMIF(ThresholdAge24,"&lt;"&amp;X10,WeightedMinAge24),MAX(CapacityAge24*АбонементНовых*X10,MeanMinAge24)))</f>
        <v/>
      </c>
      <c r="Y98" s="87">
        <f>IF(OR(('03_Сеть'!Y46-Y44)=0,24&lt;=КаникулыРоялти),0,('03_Сеть'!Y46-Y44)*IF(РоялтиПоГруппам="Да",MeanMinAge24+Y10*SUMIF(ThresholdAge24,"&lt;"&amp;Y10,WeightedRevAge24)-SUMIF(ThresholdAge24,"&lt;"&amp;Y10,WeightedMinAge24),MAX(CapacityAge24*АбонементНовых*Y10,MeanMinAge24)))</f>
        <v/>
      </c>
      <c r="Z98" s="87">
        <f>IF(OR(('03_Сеть'!Z46-Z44)=0,24&lt;=КаникулыРоялти),0,('03_Сеть'!Z46-Z44)*IF(РоялтиПоГруппам="Да",MeanMinAge24+Z10*SUMIF(ThresholdAge24,"&lt;"&amp;Z10,WeightedRevAge24)-SUMIF(ThresholdAge24,"&lt;"&amp;Z10,WeightedMinAge24),MAX(CapacityAge24*АбонементНовых*Z10,MeanMinAge24)))</f>
        <v/>
      </c>
      <c r="AA98" s="87">
        <f>IF(OR(('03_Сеть'!AA46-AA44)=0,24&lt;=КаникулыРоялти),0,('03_Сеть'!AA46-AA44)*IF(РоялтиПоГруппам="Да",MeanMinAge24+AA10*SUMIF(ThresholdAge24,"&lt;"&amp;AA10,WeightedRevAge24)-SUMIF(ThresholdAge24,"&lt;"&amp;AA10,WeightedMinAge24),MAX(CapacityAge24*АбонементНовых*AA10,MeanMinAge24)))</f>
        <v/>
      </c>
      <c r="AB98" s="87">
        <f>IF(OR(('03_Сеть'!AB46-AB44)=0,24&lt;=КаникулыРоялти),0,('03_Сеть'!AB46-AB44)*IF(РоялтиПоГруппам="Да",MeanMinAge24+AB10*SUMIF(ThresholdAge24,"&lt;"&amp;AB10,WeightedRevAge24)-SUMIF(ThresholdAge24,"&lt;"&amp;AB10,WeightedMinAge24),MAX(CapacityAge24*АбонементНовых*AB10,MeanMinAge24)))</f>
        <v/>
      </c>
      <c r="AC98" s="87">
        <f>IF(OR(('03_Сеть'!AC46-AC44)=0,24&lt;=КаникулыРоялти),0,('03_Сеть'!AC46-AC44)*IF(РоялтиПоГруппам="Да",MeanMinAge24+AC10*SUMIF(ThresholdAge24,"&lt;"&amp;AC10,WeightedRevAge24)-SUMIF(ThresholdAge24,"&lt;"&amp;AC10,WeightedMinAge24),MAX(CapacityAge24*АбонементНовых*AC10,MeanMinAge24)))</f>
        <v/>
      </c>
      <c r="AD98" s="87">
        <f>IF(OR(('03_Сеть'!AD46-AD44)=0,24&lt;=КаникулыРоялти),0,('03_Сеть'!AD46-AD44)*IF(РоялтиПоГруппам="Да",MeanMinAge24+AD10*SUMIF(ThresholdAge24,"&lt;"&amp;AD10,WeightedRevAge24)-SUMIF(ThresholdAge24,"&lt;"&amp;AD10,WeightedMinAge24),MAX(CapacityAge24*АбонементНовых*AD10,MeanMinAge24)))</f>
        <v/>
      </c>
      <c r="AE98" s="87">
        <f>IF(OR(('03_Сеть'!AE46-AE44)=0,24&lt;=КаникулыРоялти),0,('03_Сеть'!AE46-AE44)*IF(РоялтиПоГруппам="Да",MeanMinAge24+AE10*SUMIF(ThresholdAge24,"&lt;"&amp;AE10,WeightedRevAge24)-SUMIF(ThresholdAge24,"&lt;"&amp;AE10,WeightedMinAge24),MAX(CapacityAge24*АбонементНовых*AE10,MeanMinAge24)))</f>
        <v/>
      </c>
      <c r="AF98" s="87">
        <f>IF(OR(('03_Сеть'!AF46-AF44)=0,24&lt;=КаникулыРоялти),0,('03_Сеть'!AF46-AF44)*IF(РоялтиПоГруппам="Да",MeanMinAge24+AF10*SUMIF(ThresholdAge24,"&lt;"&amp;AF10,WeightedRevAge24)-SUMIF(ThresholdAge24,"&lt;"&amp;AF10,WeightedMinAge24),MAX(CapacityAge24*АбонементНовых*AF10,MeanMinAge24)))</f>
        <v/>
      </c>
      <c r="AG98" s="87">
        <f>IF(OR(('03_Сеть'!AG46-AG44)=0,24&lt;=КаникулыРоялти),0,('03_Сеть'!AG46-AG44)*IF(РоялтиПоГруппам="Да",MeanMinAge24+AG10*SUMIF(ThresholdAge24,"&lt;"&amp;AG10,WeightedRevAge24)-SUMIF(ThresholdAge24,"&lt;"&amp;AG10,WeightedMinAge24),MAX(CapacityAge24*АбонементНовых*AG10,MeanMinAge24)))</f>
        <v/>
      </c>
      <c r="AH98" s="87">
        <f>IF(OR(('03_Сеть'!AH46-AH44)=0,24&lt;=КаникулыРоялти),0,('03_Сеть'!AH46-AH44)*IF(РоялтиПоГруппам="Да",MeanMinAge24+AH10*SUMIF(ThresholdAge24,"&lt;"&amp;AH10,WeightedRevAge24)-SUMIF(ThresholdAge24,"&lt;"&amp;AH10,WeightedMinAge24),MAX(CapacityAge24*АбонементНовых*AH10,MeanMinAge24)))</f>
        <v/>
      </c>
      <c r="AI98" s="87">
        <f>IF(OR(('03_Сеть'!AI46-AI44)=0,24&lt;=КаникулыРоялти),0,('03_Сеть'!AI46-AI44)*IF(РоялтиПоГруппам="Да",MeanMinAge24+AI10*SUMIF(ThresholdAge24,"&lt;"&amp;AI10,WeightedRevAge24)-SUMIF(ThresholdAge24,"&lt;"&amp;AI10,WeightedMinAge24),MAX(CapacityAge24*АбонементНовых*AI10,MeanMinAge24)))</f>
        <v/>
      </c>
      <c r="AJ98" s="87">
        <f>IF(OR(('03_Сеть'!AJ46-AJ44)=0,24&lt;=КаникулыРоялти),0,('03_Сеть'!AJ46-AJ44)*IF(РоялтиПоГруппам="Да",MeanMinAge24+AJ10*SUMIF(ThresholdAge24,"&lt;"&amp;AJ10,WeightedRevAge24)-SUMIF(ThresholdAge24,"&lt;"&amp;AJ10,WeightedMinAge24),MAX(CapacityAge24*АбонементНовых*AJ10,MeanMinAge24)))</f>
        <v/>
      </c>
      <c r="AK98" s="87">
        <f>IF(OR(('03_Сеть'!AK46-AK44)=0,24&lt;=КаникулыРоялти),0,('03_Сеть'!AK46-AK44)*IF(РоялтиПоГруппам="Да",MeanMinAge24+AK10*SUMIF(ThresholdAge24,"&lt;"&amp;AK10,WeightedRevAge24)-SUMIF(ThresholdAge24,"&lt;"&amp;AK10,WeightedMinAge24),MAX(CapacityAge24*АбонементНовых*AK10,MeanMinAge24)))</f>
        <v/>
      </c>
      <c r="AL98" s="87">
        <f>IF(OR(('03_Сеть'!AL46-AL44)=0,24&lt;=КаникулыРоялти),0,('03_Сеть'!AL46-AL44)*IF(РоялтиПоГруппам="Да",MeanMinAge24+AL10*SUMIF(ThresholdAge24,"&lt;"&amp;AL10,WeightedRevAge24)-SUMIF(ThresholdAge24,"&lt;"&amp;AL10,WeightedMinAge24),MAX(CapacityAge24*АбонементНовых*AL10,MeanMinAge24)))</f>
        <v/>
      </c>
      <c r="AM98" s="87">
        <f>IF(OR(('03_Сеть'!AM46-AM44)=0,24&lt;=КаникулыРоялти),0,('03_Сеть'!AM46-AM44)*IF(РоялтиПоГруппам="Да",MeanMinAge24+AM10*SUMIF(ThresholdAge24,"&lt;"&amp;AM10,WeightedRevAge24)-SUMIF(ThresholdAge24,"&lt;"&amp;AM10,WeightedMinAge24),MAX(CapacityAge24*АбонементНовых*AM10,MeanMinAge24)))</f>
        <v/>
      </c>
      <c r="AN98" s="87">
        <f>IF(OR(('03_Сеть'!AN46-AN44)=0,24&lt;=КаникулыРоялти),0,('03_Сеть'!AN46-AN44)*IF(РоялтиПоГруппам="Да",MeanMinAge24+AN10*SUMIF(ThresholdAge24,"&lt;"&amp;AN10,WeightedRevAge24)-SUMIF(ThresholdAge24,"&lt;"&amp;AN10,WeightedMinAge24),MAX(CapacityAge24*АбонементНовых*AN10,MeanMinAge24)))</f>
        <v/>
      </c>
      <c r="AO98" s="87">
        <f>IF(OR(('03_Сеть'!AO46-AO44)=0,24&lt;=КаникулыРоялти),0,('03_Сеть'!AO46-AO44)*IF(РоялтиПоГруппам="Да",MeanMinAge24+AO10*SUMIF(ThresholdAge24,"&lt;"&amp;AO10,WeightedRevAge24)-SUMIF(ThresholdAge24,"&lt;"&amp;AO10,WeightedMinAge24),MAX(CapacityAge24*АбонементНовых*AO10,MeanMinAge24)))</f>
        <v/>
      </c>
      <c r="AP98" s="87">
        <f>IF(OR(('03_Сеть'!AP46-AP44)=0,24&lt;=КаникулыРоялти),0,('03_Сеть'!AP46-AP44)*IF(РоялтиПоГруппам="Да",MeanMinAge24+AP10*SUMIF(ThresholdAge24,"&lt;"&amp;AP10,WeightedRevAge24)-SUMIF(ThresholdAge24,"&lt;"&amp;AP10,WeightedMinAge24),MAX(CapacityAge24*АбонементНовых*AP10,MeanMinAge24)))</f>
        <v/>
      </c>
      <c r="AQ98" s="87">
        <f>IF(OR(('03_Сеть'!AQ46-AQ44)=0,24&lt;=КаникулыРоялти),0,('03_Сеть'!AQ46-AQ44)*IF(РоялтиПоГруппам="Да",MeanMinAge24+AQ10*SUMIF(ThresholdAge24,"&lt;"&amp;AQ10,WeightedRevAge24)-SUMIF(ThresholdAge24,"&lt;"&amp;AQ10,WeightedMinAge24),MAX(CapacityAge24*АбонементНовых*AQ10,MeanMinAge24)))</f>
        <v/>
      </c>
      <c r="AR98" s="87">
        <f>IF(OR(('03_Сеть'!AR46-AR44)=0,24&lt;=КаникулыРоялти),0,('03_Сеть'!AR46-AR44)*IF(РоялтиПоГруппам="Да",MeanMinAge24+AR10*SUMIF(ThresholdAge24,"&lt;"&amp;AR10,WeightedRevAge24)-SUMIF(ThresholdAge24,"&lt;"&amp;AR10,WeightedMinAge24),MAX(CapacityAge24*АбонементНовых*AR10,MeanMinAge24)))</f>
        <v/>
      </c>
      <c r="AS98" s="87">
        <f>IF(OR(('03_Сеть'!AS46-AS44)=0,24&lt;=КаникулыРоялти),0,('03_Сеть'!AS46-AS44)*IF(РоялтиПоГруппам="Да",MeanMinAge24+AS10*SUMIF(ThresholdAge24,"&lt;"&amp;AS10,WeightedRevAge24)-SUMIF(ThresholdAge24,"&lt;"&amp;AS10,WeightedMinAge24),MAX(CapacityAge24*АбонементНовых*AS10,MeanMinAge24)))</f>
        <v/>
      </c>
      <c r="AT98" s="87">
        <f>IF(OR(('03_Сеть'!AT46-AT44)=0,24&lt;=КаникулыРоялти),0,('03_Сеть'!AT46-AT44)*IF(РоялтиПоГруппам="Да",MeanMinAge24+AT10*SUMIF(ThresholdAge24,"&lt;"&amp;AT10,WeightedRevAge24)-SUMIF(ThresholdAge24,"&lt;"&amp;AT10,WeightedMinAge24),MAX(CapacityAge24*АбонементНовых*AT10,MeanMinAge24)))</f>
        <v/>
      </c>
      <c r="AU98" s="87">
        <f>IF(OR(('03_Сеть'!AU46-AU44)=0,24&lt;=КаникулыРоялти),0,('03_Сеть'!AU46-AU44)*IF(РоялтиПоГруппам="Да",MeanMinAge24+AU10*SUMIF(ThresholdAge24,"&lt;"&amp;AU10,WeightedRevAge24)-SUMIF(ThresholdAge24,"&lt;"&amp;AU10,WeightedMinAge24),MAX(CapacityAge24*АбонементНовых*AU10,MeanMinAge24)))</f>
        <v/>
      </c>
      <c r="AV98" s="87">
        <f>IF(OR(('03_Сеть'!AV46-AV44)=0,24&lt;=КаникулыРоялти),0,('03_Сеть'!AV46-AV44)*IF(РоялтиПоГруппам="Да",MeanMinAge24+AV10*SUMIF(ThresholdAge24,"&lt;"&amp;AV10,WeightedRevAge24)-SUMIF(ThresholdAge24,"&lt;"&amp;AV10,WeightedMinAge24),MAX(CapacityAge24*АбонементНовых*AV10,MeanMinAge24)))</f>
        <v/>
      </c>
      <c r="AW98" s="87">
        <f>IF(OR(('03_Сеть'!AW46-AW44)=0,24&lt;=КаникулыРоялти),0,('03_Сеть'!AW46-AW44)*IF(РоялтиПоГруппам="Да",MeanMinAge24+AW10*SUMIF(ThresholdAge24,"&lt;"&amp;AW10,WeightedRevAge24)-SUMIF(ThresholdAge24,"&lt;"&amp;AW10,WeightedMinAge24),MAX(CapacityAge24*АбонементНовых*AW10,MeanMinAge24)))</f>
        <v/>
      </c>
      <c r="AX98" s="87">
        <f>IF(OR(('03_Сеть'!AX46-AX44)=0,24&lt;=КаникулыРоялти),0,('03_Сеть'!AX46-AX44)*IF(РоялтиПоГруппам="Да",MeanMinAge24+AX10*SUMIF(ThresholdAge24,"&lt;"&amp;AX10,WeightedRevAge24)-SUMIF(ThresholdAge24,"&lt;"&amp;AX10,WeightedMinAge24),MAX(CapacityAge24*АбонементНовых*AX10,MeanMinAge24)))</f>
        <v/>
      </c>
      <c r="AY98" s="87">
        <f>IF(OR(('03_Сеть'!AY46-AY44)=0,24&lt;=КаникулыРоялти),0,('03_Сеть'!AY46-AY44)*IF(РоялтиПоГруппам="Да",MeanMinAge24+AY10*SUMIF(ThresholdAge24,"&lt;"&amp;AY10,WeightedRevAge24)-SUMIF(ThresholdAge24,"&lt;"&amp;AY10,WeightedMinAge24),MAX(CapacityAge24*АбонементНовых*AY10,MeanMinAge24)))</f>
        <v/>
      </c>
      <c r="AZ98" s="87">
        <f>IF(OR(('03_Сеть'!AZ46-AZ44)=0,24&lt;=КаникулыРоялти),0,('03_Сеть'!AZ46-AZ44)*IF(РоялтиПоГруппам="Да",MeanMinAge24+AZ10*SUMIF(ThresholdAge24,"&lt;"&amp;AZ10,WeightedRevAge24)-SUMIF(ThresholdAge24,"&lt;"&amp;AZ10,WeightedMinAge24),MAX(CapacityAge24*АбонементНовых*AZ10,MeanMinAge24)))</f>
        <v/>
      </c>
      <c r="BA98" s="87">
        <f>IF(OR(('03_Сеть'!BA46-BA44)=0,24&lt;=КаникулыРоялти),0,('03_Сеть'!BA46-BA44)*IF(РоялтиПоГруппам="Да",MeanMinAge24+BA10*SUMIF(ThresholdAge24,"&lt;"&amp;BA10,WeightedRevAge24)-SUMIF(ThresholdAge24,"&lt;"&amp;BA10,WeightedMinAge24),MAX(CapacityAge24*АбонементНовых*BA10,MeanMinAge24)))</f>
        <v/>
      </c>
      <c r="BB98" s="87">
        <f>IF(OR(('03_Сеть'!BB46-BB44)=0,24&lt;=КаникулыРоялти),0,('03_Сеть'!BB46-BB44)*IF(РоялтиПоГруппам="Да",MeanMinAge24+BB10*SUMIF(ThresholdAge24,"&lt;"&amp;BB10,WeightedRevAge24)-SUMIF(ThresholdAge24,"&lt;"&amp;BB10,WeightedMinAge24),MAX(CapacityAge24*АбонементНовых*BB10,MeanMinAge24)))</f>
        <v/>
      </c>
      <c r="BC98" s="87">
        <f>IF(OR(('03_Сеть'!BC46-BC44)=0,24&lt;=КаникулыРоялти),0,('03_Сеть'!BC46-BC44)*IF(РоялтиПоГруппам="Да",MeanMinAge24+BC10*SUMIF(ThresholdAge24,"&lt;"&amp;BC10,WeightedRevAge24)-SUMIF(ThresholdAge24,"&lt;"&amp;BC10,WeightedMinAge24),MAX(CapacityAge24*АбонементНовых*BC10,MeanMinAge24)))</f>
        <v/>
      </c>
      <c r="BD98" s="87">
        <f>IF(OR(('03_Сеть'!BD46-BD44)=0,24&lt;=КаникулыРоялти),0,('03_Сеть'!BD46-BD44)*IF(РоялтиПоГруппам="Да",MeanMinAge24+BD10*SUMIF(ThresholdAge24,"&lt;"&amp;BD10,WeightedRevAge24)-SUMIF(ThresholdAge24,"&lt;"&amp;BD10,WeightedMinAge24),MAX(CapacityAge24*АбонементНовых*BD10,MeanMinAge24)))</f>
        <v/>
      </c>
      <c r="BE98" s="87">
        <f>IF(OR(('03_Сеть'!BE46-BE44)=0,24&lt;=КаникулыРоялти),0,('03_Сеть'!BE46-BE44)*IF(РоялтиПоГруппам="Да",MeanMinAge24+BE10*SUMIF(ThresholdAge24,"&lt;"&amp;BE10,WeightedRevAge24)-SUMIF(ThresholdAge24,"&lt;"&amp;BE10,WeightedMinAge24),MAX(CapacityAge24*АбонементНовых*BE10,MeanMinAge24)))</f>
        <v/>
      </c>
      <c r="BF98" s="87">
        <f>IF(OR(('03_Сеть'!BF46-BF44)=0,24&lt;=КаникулыРоялти),0,('03_Сеть'!BF46-BF44)*IF(РоялтиПоГруппам="Да",MeanMinAge24+BF10*SUMIF(ThresholdAge24,"&lt;"&amp;BF10,WeightedRevAge24)-SUMIF(ThresholdAge24,"&lt;"&amp;BF10,WeightedMinAge24),MAX(CapacityAge24*АбонементНовых*BF10,MeanMinAge24)))</f>
        <v/>
      </c>
      <c r="BG98" s="87">
        <f>IF(OR(('03_Сеть'!BG46-BG44)=0,24&lt;=КаникулыРоялти),0,('03_Сеть'!BG46-BG44)*IF(РоялтиПоГруппам="Да",MeanMinAge24+BG10*SUMIF(ThresholdAge24,"&lt;"&amp;BG10,WeightedRevAge24)-SUMIF(ThresholdAge24,"&lt;"&amp;BG10,WeightedMinAge24),MAX(CapacityAge24*АбонементНовых*BG10,MeanMinAge24)))</f>
        <v/>
      </c>
      <c r="BH98" s="87">
        <f>IF(OR(('03_Сеть'!BH46-BH44)=0,24&lt;=КаникулыРоялти),0,('03_Сеть'!BH46-BH44)*IF(РоялтиПоГруппам="Да",MeanMinAge24+BH10*SUMIF(ThresholdAge24,"&lt;"&amp;BH10,WeightedRevAge24)-SUMIF(ThresholdAge24,"&lt;"&amp;BH10,WeightedMinAge24),MAX(CapacityAge24*АбонементНовых*BH10,MeanMinAge24)))</f>
        <v/>
      </c>
      <c r="BI98" s="87">
        <f>IF(OR(('03_Сеть'!BI46-BI44)=0,24&lt;=КаникулыРоялти),0,('03_Сеть'!BI46-BI44)*IF(РоялтиПоГруппам="Да",MeanMinAge24+BI10*SUMIF(ThresholdAge24,"&lt;"&amp;BI10,WeightedRevAge24)-SUMIF(ThresholdAge24,"&lt;"&amp;BI10,WeightedMinAge24),MAX(CapacityAge24*АбонементНовых*BI10,MeanMinAge24)))</f>
        <v/>
      </c>
      <c r="BJ98" s="87">
        <f>IF(OR(('03_Сеть'!BJ46-BJ44)=0,24&lt;=КаникулыРоялти),0,('03_Сеть'!BJ46-BJ44)*IF(РоялтиПоГруппам="Да",MeanMinAge24+BJ10*SUMIF(ThresholdAge24,"&lt;"&amp;BJ10,WeightedRevAge24)-SUMIF(ThresholdAge24,"&lt;"&amp;BJ10,WeightedMinAge24),MAX(CapacityAge24*АбонементНовых*BJ10,MeanMinAge24)))</f>
        <v/>
      </c>
      <c r="BK98" s="87">
        <f>IF(OR(('03_Сеть'!BK46-BK44)=0,24&lt;=КаникулыРоялти),0,('03_Сеть'!BK46-BK44)*IF(РоялтиПоГруппам="Да",MeanMinAge24+BK10*SUMIF(ThresholdAge24,"&lt;"&amp;BK10,WeightedRevAge24)-SUMIF(ThresholdAge24,"&lt;"&amp;BK10,WeightedMinAge24),MAX(CapacityAge24*АбонементНовых*BK10,MeanMinAge24)))</f>
        <v/>
      </c>
      <c r="BL98" s="87">
        <f>IF(OR(('03_Сеть'!BL46-BL44)=0,24&lt;=КаникулыРоялти),0,('03_Сеть'!BL46-BL44)*IF(РоялтиПоГруппам="Да",MeanMinAge24+BL10*SUMIF(ThresholdAge24,"&lt;"&amp;BL10,WeightedRevAge24)-SUMIF(ThresholdAge24,"&lt;"&amp;BL10,WeightedMinAge24),MAX(CapacityAge24*АбонементНовых*BL10,MeanMinAge24)))</f>
        <v/>
      </c>
      <c r="BM98" s="87">
        <f>IF(OR(('03_Сеть'!BM46-BM44)=0,24&lt;=КаникулыРоялти),0,('03_Сеть'!BM46-BM44)*IF(РоялтиПоГруппам="Да",MeanMinAge24+BM10*SUMIF(ThresholdAge24,"&lt;"&amp;BM10,WeightedRevAge24)-SUMIF(ThresholdAge24,"&lt;"&amp;BM10,WeightedMinAge24),MAX(CapacityAge24*АбонементНовых*BM10,MeanMinAge24)))</f>
        <v/>
      </c>
      <c r="BN98" s="87">
        <f>IF(OR(('03_Сеть'!BN46-BN44)=0,24&lt;=КаникулыРоялти),0,('03_Сеть'!BN46-BN44)*IF(РоялтиПоГруппам="Да",MeanMinAge24+BN10*SUMIF(ThresholdAge24,"&lt;"&amp;BN10,WeightedRevAge24)-SUMIF(ThresholdAge24,"&lt;"&amp;BN10,WeightedMinAge24),MAX(CapacityAge24*АбонементНовых*BN10,MeanMinAge24)))</f>
        <v/>
      </c>
      <c r="BO98" s="87">
        <f>IF(OR(('03_Сеть'!BO46-BO44)=0,24&lt;=КаникулыРоялти),0,('03_Сеть'!BO46-BO44)*IF(РоялтиПоГруппам="Да",MeanMinAge24+BO10*SUMIF(ThresholdAge24,"&lt;"&amp;BO10,WeightedRevAge24)-SUMIF(ThresholdAge24,"&lt;"&amp;BO10,WeightedMinAge24),MAX(CapacityAge24*АбонементНовых*BO10,MeanMinAge24)))</f>
        <v/>
      </c>
      <c r="BP98" s="87">
        <f>IF(OR(('03_Сеть'!BP46-BP44)=0,24&lt;=КаникулыРоялти),0,('03_Сеть'!BP46-BP44)*IF(РоялтиПоГруппам="Да",MeanMinAge24+BP10*SUMIF(ThresholdAge24,"&lt;"&amp;BP10,WeightedRevAge24)-SUMIF(ThresholdAge24,"&lt;"&amp;BP10,WeightedMinAge24),MAX(CapacityAge24*АбонементНовых*BP10,MeanMinAge24)))</f>
        <v/>
      </c>
      <c r="BQ98" s="87">
        <f>IF(OR(('03_Сеть'!BQ46-BQ44)=0,24&lt;=КаникулыРоялти),0,('03_Сеть'!BQ46-BQ44)*IF(РоялтиПоГруппам="Да",MeanMinAge24+BQ10*SUMIF(ThresholdAge24,"&lt;"&amp;BQ10,WeightedRevAge24)-SUMIF(ThresholdAge24,"&lt;"&amp;BQ10,WeightedMinAge24),MAX(CapacityAge24*АбонементНовых*BQ10,MeanMinAge24)))</f>
        <v/>
      </c>
      <c r="BR98" s="87">
        <f>IF(OR(('03_Сеть'!BR46-BR44)=0,24&lt;=КаникулыРоялти),0,('03_Сеть'!BR46-BR44)*IF(РоялтиПоГруппам="Да",MeanMinAge24+BR10*SUMIF(ThresholdAge24,"&lt;"&amp;BR10,WeightedRevAge24)-SUMIF(ThresholdAge24,"&lt;"&amp;BR10,WeightedMinAge24),MAX(CapacityAge24*АбонементНовых*BR10,MeanMinAge24)))</f>
        <v/>
      </c>
      <c r="BS98" s="87">
        <f>IF(OR(('03_Сеть'!BS46-BS44)=0,24&lt;=КаникулыРоялти),0,('03_Сеть'!BS46-BS44)*IF(РоялтиПоГруппам="Да",MeanMinAge24+BS10*SUMIF(ThresholdAge24,"&lt;"&amp;BS10,WeightedRevAge24)-SUMIF(ThresholdAge24,"&lt;"&amp;BS10,WeightedMinAge24),MAX(CapacityAge24*АбонементНовых*BS10,MeanMinAge24)))</f>
        <v/>
      </c>
      <c r="BT98" s="87">
        <f>IF(OR(('03_Сеть'!BT46-BT44)=0,24&lt;=КаникулыРоялти),0,('03_Сеть'!BT46-BT44)*IF(РоялтиПоГруппам="Да",MeanMinAge24+BT10*SUMIF(ThresholdAge24,"&lt;"&amp;BT10,WeightedRevAge24)-SUMIF(ThresholdAge24,"&lt;"&amp;BT10,WeightedMinAge24),MAX(CapacityAge24*АбонементНовых*BT10,MeanMinAge24)))</f>
        <v/>
      </c>
      <c r="BU98" s="87">
        <f>IF(OR(('03_Сеть'!BU46-BU44)=0,24&lt;=КаникулыРоялти),0,('03_Сеть'!BU46-BU44)*IF(РоялтиПоГруппам="Да",MeanMinAge24+BU10*SUMIF(ThresholdAge24,"&lt;"&amp;BU10,WeightedRevAge24)-SUMIF(ThresholdAge24,"&lt;"&amp;BU10,WeightedMinAge24),MAX(CapacityAge24*АбонементНовых*BU10,MeanMinAge24)))</f>
        <v/>
      </c>
      <c r="BV98" s="87">
        <f>IF(OR(('03_Сеть'!BV46-BV44)=0,24&lt;=КаникулыРоялти),0,('03_Сеть'!BV46-BV44)*IF(РоялтиПоГруппам="Да",MeanMinAge24+BV10*SUMIF(ThresholdAge24,"&lt;"&amp;BV10,WeightedRevAge24)-SUMIF(ThresholdAge24,"&lt;"&amp;BV10,WeightedMinAge24),MAX(CapacityAge24*АбонементНовых*BV10,MeanMinAge24)))</f>
        <v/>
      </c>
      <c r="BW98" s="87">
        <f>IF(OR(('03_Сеть'!BW46-BW44)=0,24&lt;=КаникулыРоялти),0,('03_Сеть'!BW46-BW44)*IF(РоялтиПоГруппам="Да",MeanMinAge24+BW10*SUMIF(ThresholdAge24,"&lt;"&amp;BW10,WeightedRevAge24)-SUMIF(ThresholdAge24,"&lt;"&amp;BW10,WeightedMinAge24),MAX(CapacityAge24*АбонементНовых*BW10,MeanMinAge24)))</f>
        <v/>
      </c>
      <c r="BX98" s="87">
        <f>IF(OR(('03_Сеть'!BX46-BX44)=0,24&lt;=КаникулыРоялти),0,('03_Сеть'!BX46-BX44)*IF(РоялтиПоГруппам="Да",MeanMinAge24+BX10*SUMIF(ThresholdAge24,"&lt;"&amp;BX10,WeightedRevAge24)-SUMIF(ThresholdAge24,"&lt;"&amp;BX10,WeightedMinAge24),MAX(CapacityAge24*АбонементНовых*BX10,MeanMinAge24)))</f>
        <v/>
      </c>
      <c r="BY98" s="87">
        <f>IF(OR(('03_Сеть'!BY46-BY44)=0,24&lt;=КаникулыРоялти),0,('03_Сеть'!BY46-BY44)*IF(РоялтиПоГруппам="Да",MeanMinAge24+BY10*SUMIF(ThresholdAge24,"&lt;"&amp;BY10,WeightedRevAge24)-SUMIF(ThresholdAge24,"&lt;"&amp;BY10,WeightedMinAge24),MAX(CapacityAge24*АбонементНовых*BY10,MeanMinAge24)))</f>
        <v/>
      </c>
    </row>
    <row r="99" ht="15.75" customHeight="1" s="194">
      <c r="B99" s="56" t="inlineStr">
        <is>
          <t>25+ мес.</t>
        </is>
      </c>
      <c r="C99" s="56" t="inlineStr">
        <is>
          <t>₽</t>
        </is>
      </c>
      <c r="D99" s="57" t="n"/>
      <c r="E99" s="85">
        <f>SUM(L99:W99)</f>
        <v/>
      </c>
      <c r="F99" s="85">
        <f>SUM(X99:AI99)</f>
        <v/>
      </c>
      <c r="G99" s="85">
        <f>SUM(AJ99:AU99)</f>
        <v/>
      </c>
      <c r="H99" s="85">
        <f>SUM(AV99:BG99)</f>
        <v/>
      </c>
      <c r="I99" s="85">
        <f>SUM(BH99:BS99)</f>
        <v/>
      </c>
      <c r="J99" s="86">
        <f>SUM(L99:BS99)</f>
        <v/>
      </c>
      <c r="L99" s="87">
        <f>IF(OR(('03_Сеть'!L47-L45)=0,25&lt;=КаникулыРоялти),0,('03_Сеть'!L47-L45)*IF(РоялтиПоГруппам="Да",MeanMinAge25+L10*SUMIF(ThresholdAge25,"&lt;"&amp;L10,WeightedRevAge25)-SUMIF(ThresholdAge25,"&lt;"&amp;L10,WeightedMinAge25),MAX(CapacityAge25*АбонементНовых*L10,MeanMinAge25)))</f>
        <v/>
      </c>
      <c r="M99" s="87">
        <f>IF(OR(('03_Сеть'!M47-M45)=0,25&lt;=КаникулыРоялти),0,('03_Сеть'!M47-M45)*IF(РоялтиПоГруппам="Да",MeanMinAge25+M10*SUMIF(ThresholdAge25,"&lt;"&amp;M10,WeightedRevAge25)-SUMIF(ThresholdAge25,"&lt;"&amp;M10,WeightedMinAge25),MAX(CapacityAge25*АбонементНовых*M10,MeanMinAge25)))</f>
        <v/>
      </c>
      <c r="N99" s="87">
        <f>IF(OR(('03_Сеть'!N47-N45)=0,25&lt;=КаникулыРоялти),0,('03_Сеть'!N47-N45)*IF(РоялтиПоГруппам="Да",MeanMinAge25+N10*SUMIF(ThresholdAge25,"&lt;"&amp;N10,WeightedRevAge25)-SUMIF(ThresholdAge25,"&lt;"&amp;N10,WeightedMinAge25),MAX(CapacityAge25*АбонементНовых*N10,MeanMinAge25)))</f>
        <v/>
      </c>
      <c r="O99" s="87">
        <f>IF(OR(('03_Сеть'!O47-O45)=0,25&lt;=КаникулыРоялти),0,('03_Сеть'!O47-O45)*IF(РоялтиПоГруппам="Да",MeanMinAge25+O10*SUMIF(ThresholdAge25,"&lt;"&amp;O10,WeightedRevAge25)-SUMIF(ThresholdAge25,"&lt;"&amp;O10,WeightedMinAge25),MAX(CapacityAge25*АбонементНовых*O10,MeanMinAge25)))</f>
        <v/>
      </c>
      <c r="P99" s="87">
        <f>IF(OR(('03_Сеть'!P47-P45)=0,25&lt;=КаникулыРоялти),0,('03_Сеть'!P47-P45)*IF(РоялтиПоГруппам="Да",MeanMinAge25+P10*SUMIF(ThresholdAge25,"&lt;"&amp;P10,WeightedRevAge25)-SUMIF(ThresholdAge25,"&lt;"&amp;P10,WeightedMinAge25),MAX(CapacityAge25*АбонементНовых*P10,MeanMinAge25)))</f>
        <v/>
      </c>
      <c r="Q99" s="87">
        <f>IF(OR(('03_Сеть'!Q47-Q45)=0,25&lt;=КаникулыРоялти),0,('03_Сеть'!Q47-Q45)*IF(РоялтиПоГруппам="Да",MeanMinAge25+Q10*SUMIF(ThresholdAge25,"&lt;"&amp;Q10,WeightedRevAge25)-SUMIF(ThresholdAge25,"&lt;"&amp;Q10,WeightedMinAge25),MAX(CapacityAge25*АбонементНовых*Q10,MeanMinAge25)))</f>
        <v/>
      </c>
      <c r="R99" s="87">
        <f>IF(OR(('03_Сеть'!R47-R45)=0,25&lt;=КаникулыРоялти),0,('03_Сеть'!R47-R45)*IF(РоялтиПоГруппам="Да",MeanMinAge25+R10*SUMIF(ThresholdAge25,"&lt;"&amp;R10,WeightedRevAge25)-SUMIF(ThresholdAge25,"&lt;"&amp;R10,WeightedMinAge25),MAX(CapacityAge25*АбонементНовых*R10,MeanMinAge25)))</f>
        <v/>
      </c>
      <c r="S99" s="87">
        <f>IF(OR(('03_Сеть'!S47-S45)=0,25&lt;=КаникулыРоялти),0,('03_Сеть'!S47-S45)*IF(РоялтиПоГруппам="Да",MeanMinAge25+S10*SUMIF(ThresholdAge25,"&lt;"&amp;S10,WeightedRevAge25)-SUMIF(ThresholdAge25,"&lt;"&amp;S10,WeightedMinAge25),MAX(CapacityAge25*АбонементНовых*S10,MeanMinAge25)))</f>
        <v/>
      </c>
      <c r="T99" s="87">
        <f>IF(OR(('03_Сеть'!T47-T45)=0,25&lt;=КаникулыРоялти),0,('03_Сеть'!T47-T45)*IF(РоялтиПоГруппам="Да",MeanMinAge25+T10*SUMIF(ThresholdAge25,"&lt;"&amp;T10,WeightedRevAge25)-SUMIF(ThresholdAge25,"&lt;"&amp;T10,WeightedMinAge25),MAX(CapacityAge25*АбонементНовых*T10,MeanMinAge25)))</f>
        <v/>
      </c>
      <c r="U99" s="87">
        <f>IF(OR(('03_Сеть'!U47-U45)=0,25&lt;=КаникулыРоялти),0,('03_Сеть'!U47-U45)*IF(РоялтиПоГруппам="Да",MeanMinAge25+U10*SUMIF(ThresholdAge25,"&lt;"&amp;U10,WeightedRevAge25)-SUMIF(ThresholdAge25,"&lt;"&amp;U10,WeightedMinAge25),MAX(CapacityAge25*АбонементНовых*U10,MeanMinAge25)))</f>
        <v/>
      </c>
      <c r="V99" s="87">
        <f>IF(OR(('03_Сеть'!V47-V45)=0,25&lt;=КаникулыРоялти),0,('03_Сеть'!V47-V45)*IF(РоялтиПоГруппам="Да",MeanMinAge25+V10*SUMIF(ThresholdAge25,"&lt;"&amp;V10,WeightedRevAge25)-SUMIF(ThresholdAge25,"&lt;"&amp;V10,WeightedMinAge25),MAX(CapacityAge25*АбонементНовых*V10,MeanMinAge25)))</f>
        <v/>
      </c>
      <c r="W99" s="87">
        <f>IF(OR(('03_Сеть'!W47-W45)=0,25&lt;=КаникулыРоялти),0,('03_Сеть'!W47-W45)*IF(РоялтиПоГруппам="Да",MeanMinAge25+W10*SUMIF(ThresholdAge25,"&lt;"&amp;W10,WeightedRevAge25)-SUMIF(ThresholdAge25,"&lt;"&amp;W10,WeightedMinAge25),MAX(CapacityAge25*АбонементНовых*W10,MeanMinAge25)))</f>
        <v/>
      </c>
      <c r="X99" s="87">
        <f>IF(OR(('03_Сеть'!X47-X45)=0,25&lt;=КаникулыРоялти),0,('03_Сеть'!X47-X45)*IF(РоялтиПоГруппам="Да",MeanMinAge25+X10*SUMIF(ThresholdAge25,"&lt;"&amp;X10,WeightedRevAge25)-SUMIF(ThresholdAge25,"&lt;"&amp;X10,WeightedMinAge25),MAX(CapacityAge25*АбонементНовых*X10,MeanMinAge25)))</f>
        <v/>
      </c>
      <c r="Y99" s="87">
        <f>IF(OR(('03_Сеть'!Y47-Y45)=0,25&lt;=КаникулыРоялти),0,('03_Сеть'!Y47-Y45)*IF(РоялтиПоГруппам="Да",MeanMinAge25+Y10*SUMIF(ThresholdAge25,"&lt;"&amp;Y10,WeightedRevAge25)-SUMIF(ThresholdAge25,"&lt;"&amp;Y10,WeightedMinAge25),MAX(CapacityAge25*АбонементНовых*Y10,MeanMinAge25)))</f>
        <v/>
      </c>
      <c r="Z99" s="87">
        <f>IF(OR(('03_Сеть'!Z47-Z45)=0,25&lt;=КаникулыРоялти),0,('03_Сеть'!Z47-Z45)*IF(РоялтиПоГруппам="Да",MeanMinAge25+Z10*SUMIF(ThresholdAge25,"&lt;"&amp;Z10,WeightedRevAge25)-SUMIF(ThresholdAge25,"&lt;"&amp;Z10,WeightedMinAge25),MAX(CapacityAge25*АбонементНовых*Z10,MeanMinAge25)))</f>
        <v/>
      </c>
      <c r="AA99" s="87">
        <f>IF(OR(('03_Сеть'!AA47-AA45)=0,25&lt;=КаникулыРоялти),0,('03_Сеть'!AA47-AA45)*IF(РоялтиПоГруппам="Да",MeanMinAge25+AA10*SUMIF(ThresholdAge25,"&lt;"&amp;AA10,WeightedRevAge25)-SUMIF(ThresholdAge25,"&lt;"&amp;AA10,WeightedMinAge25),MAX(CapacityAge25*АбонементНовых*AA10,MeanMinAge25)))</f>
        <v/>
      </c>
      <c r="AB99" s="87">
        <f>IF(OR(('03_Сеть'!AB47-AB45)=0,25&lt;=КаникулыРоялти),0,('03_Сеть'!AB47-AB45)*IF(РоялтиПоГруппам="Да",MeanMinAge25+AB10*SUMIF(ThresholdAge25,"&lt;"&amp;AB10,WeightedRevAge25)-SUMIF(ThresholdAge25,"&lt;"&amp;AB10,WeightedMinAge25),MAX(CapacityAge25*АбонементНовых*AB10,MeanMinAge25)))</f>
        <v/>
      </c>
      <c r="AC99" s="87">
        <f>IF(OR(('03_Сеть'!AC47-AC45)=0,25&lt;=КаникулыРоялти),0,('03_Сеть'!AC47-AC45)*IF(РоялтиПоГруппам="Да",MeanMinAge25+AC10*SUMIF(ThresholdAge25,"&lt;"&amp;AC10,WeightedRevAge25)-SUMIF(ThresholdAge25,"&lt;"&amp;AC10,WeightedMinAge25),MAX(CapacityAge25*АбонементНовых*AC10,MeanMinAge25)))</f>
        <v/>
      </c>
      <c r="AD99" s="87">
        <f>IF(OR(('03_Сеть'!AD47-AD45)=0,25&lt;=КаникулыРоялти),0,('03_Сеть'!AD47-AD45)*IF(РоялтиПоГруппам="Да",MeanMinAge25+AD10*SUMIF(ThresholdAge25,"&lt;"&amp;AD10,WeightedRevAge25)-SUMIF(ThresholdAge25,"&lt;"&amp;AD10,WeightedMinAge25),MAX(CapacityAge25*АбонементНовых*AD10,MeanMinAge25)))</f>
        <v/>
      </c>
      <c r="AE99" s="87">
        <f>IF(OR(('03_Сеть'!AE47-AE45)=0,25&lt;=КаникулыРоялти),0,('03_Сеть'!AE47-AE45)*IF(РоялтиПоГруппам="Да",MeanMinAge25+AE10*SUMIF(ThresholdAge25,"&lt;"&amp;AE10,WeightedRevAge25)-SUMIF(ThresholdAge25,"&lt;"&amp;AE10,WeightedMinAge25),MAX(CapacityAge25*АбонементНовых*AE10,MeanMinAge25)))</f>
        <v/>
      </c>
      <c r="AF99" s="87">
        <f>IF(OR(('03_Сеть'!AF47-AF45)=0,25&lt;=КаникулыРоялти),0,('03_Сеть'!AF47-AF45)*IF(РоялтиПоГруппам="Да",MeanMinAge25+AF10*SUMIF(ThresholdAge25,"&lt;"&amp;AF10,WeightedRevAge25)-SUMIF(ThresholdAge25,"&lt;"&amp;AF10,WeightedMinAge25),MAX(CapacityAge25*АбонементНовых*AF10,MeanMinAge25)))</f>
        <v/>
      </c>
      <c r="AG99" s="87">
        <f>IF(OR(('03_Сеть'!AG47-AG45)=0,25&lt;=КаникулыРоялти),0,('03_Сеть'!AG47-AG45)*IF(РоялтиПоГруппам="Да",MeanMinAge25+AG10*SUMIF(ThresholdAge25,"&lt;"&amp;AG10,WeightedRevAge25)-SUMIF(ThresholdAge25,"&lt;"&amp;AG10,WeightedMinAge25),MAX(CapacityAge25*АбонементНовых*AG10,MeanMinAge25)))</f>
        <v/>
      </c>
      <c r="AH99" s="87">
        <f>IF(OR(('03_Сеть'!AH47-AH45)=0,25&lt;=КаникулыРоялти),0,('03_Сеть'!AH47-AH45)*IF(РоялтиПоГруппам="Да",MeanMinAge25+AH10*SUMIF(ThresholdAge25,"&lt;"&amp;AH10,WeightedRevAge25)-SUMIF(ThresholdAge25,"&lt;"&amp;AH10,WeightedMinAge25),MAX(CapacityAge25*АбонементНовых*AH10,MeanMinAge25)))</f>
        <v/>
      </c>
      <c r="AI99" s="87">
        <f>IF(OR(('03_Сеть'!AI47-AI45)=0,25&lt;=КаникулыРоялти),0,('03_Сеть'!AI47-AI45)*IF(РоялтиПоГруппам="Да",MeanMinAge25+AI10*SUMIF(ThresholdAge25,"&lt;"&amp;AI10,WeightedRevAge25)-SUMIF(ThresholdAge25,"&lt;"&amp;AI10,WeightedMinAge25),MAX(CapacityAge25*АбонементНовых*AI10,MeanMinAge25)))</f>
        <v/>
      </c>
      <c r="AJ99" s="87">
        <f>IF(OR(('03_Сеть'!AJ47-AJ45)=0,25&lt;=КаникулыРоялти),0,('03_Сеть'!AJ47-AJ45)*IF(РоялтиПоГруппам="Да",MeanMinAge25+AJ10*SUMIF(ThresholdAge25,"&lt;"&amp;AJ10,WeightedRevAge25)-SUMIF(ThresholdAge25,"&lt;"&amp;AJ10,WeightedMinAge25),MAX(CapacityAge25*АбонементНовых*AJ10,MeanMinAge25)))</f>
        <v/>
      </c>
      <c r="AK99" s="87">
        <f>IF(OR(('03_Сеть'!AK47-AK45)=0,25&lt;=КаникулыРоялти),0,('03_Сеть'!AK47-AK45)*IF(РоялтиПоГруппам="Да",MeanMinAge25+AK10*SUMIF(ThresholdAge25,"&lt;"&amp;AK10,WeightedRevAge25)-SUMIF(ThresholdAge25,"&lt;"&amp;AK10,WeightedMinAge25),MAX(CapacityAge25*АбонементНовых*AK10,MeanMinAge25)))</f>
        <v/>
      </c>
      <c r="AL99" s="87">
        <f>IF(OR(('03_Сеть'!AL47-AL45)=0,25&lt;=КаникулыРоялти),0,('03_Сеть'!AL47-AL45)*IF(РоялтиПоГруппам="Да",MeanMinAge25+AL10*SUMIF(ThresholdAge25,"&lt;"&amp;AL10,WeightedRevAge25)-SUMIF(ThresholdAge25,"&lt;"&amp;AL10,WeightedMinAge25),MAX(CapacityAge25*АбонементНовых*AL10,MeanMinAge25)))</f>
        <v/>
      </c>
      <c r="AM99" s="87">
        <f>IF(OR(('03_Сеть'!AM47-AM45)=0,25&lt;=КаникулыРоялти),0,('03_Сеть'!AM47-AM45)*IF(РоялтиПоГруппам="Да",MeanMinAge25+AM10*SUMIF(ThresholdAge25,"&lt;"&amp;AM10,WeightedRevAge25)-SUMIF(ThresholdAge25,"&lt;"&amp;AM10,WeightedMinAge25),MAX(CapacityAge25*АбонементНовых*AM10,MeanMinAge25)))</f>
        <v/>
      </c>
      <c r="AN99" s="87">
        <f>IF(OR(('03_Сеть'!AN47-AN45)=0,25&lt;=КаникулыРоялти),0,('03_Сеть'!AN47-AN45)*IF(РоялтиПоГруппам="Да",MeanMinAge25+AN10*SUMIF(ThresholdAge25,"&lt;"&amp;AN10,WeightedRevAge25)-SUMIF(ThresholdAge25,"&lt;"&amp;AN10,WeightedMinAge25),MAX(CapacityAge25*АбонементНовых*AN10,MeanMinAge25)))</f>
        <v/>
      </c>
      <c r="AO99" s="87">
        <f>IF(OR(('03_Сеть'!AO47-AO45)=0,25&lt;=КаникулыРоялти),0,('03_Сеть'!AO47-AO45)*IF(РоялтиПоГруппам="Да",MeanMinAge25+AO10*SUMIF(ThresholdAge25,"&lt;"&amp;AO10,WeightedRevAge25)-SUMIF(ThresholdAge25,"&lt;"&amp;AO10,WeightedMinAge25),MAX(CapacityAge25*АбонементНовых*AO10,MeanMinAge25)))</f>
        <v/>
      </c>
      <c r="AP99" s="87">
        <f>IF(OR(('03_Сеть'!AP47-AP45)=0,25&lt;=КаникулыРоялти),0,('03_Сеть'!AP47-AP45)*IF(РоялтиПоГруппам="Да",MeanMinAge25+AP10*SUMIF(ThresholdAge25,"&lt;"&amp;AP10,WeightedRevAge25)-SUMIF(ThresholdAge25,"&lt;"&amp;AP10,WeightedMinAge25),MAX(CapacityAge25*АбонементНовых*AP10,MeanMinAge25)))</f>
        <v/>
      </c>
      <c r="AQ99" s="87">
        <f>IF(OR(('03_Сеть'!AQ47-AQ45)=0,25&lt;=КаникулыРоялти),0,('03_Сеть'!AQ47-AQ45)*IF(РоялтиПоГруппам="Да",MeanMinAge25+AQ10*SUMIF(ThresholdAge25,"&lt;"&amp;AQ10,WeightedRevAge25)-SUMIF(ThresholdAge25,"&lt;"&amp;AQ10,WeightedMinAge25),MAX(CapacityAge25*АбонементНовых*AQ10,MeanMinAge25)))</f>
        <v/>
      </c>
      <c r="AR99" s="87">
        <f>IF(OR(('03_Сеть'!AR47-AR45)=0,25&lt;=КаникулыРоялти),0,('03_Сеть'!AR47-AR45)*IF(РоялтиПоГруппам="Да",MeanMinAge25+AR10*SUMIF(ThresholdAge25,"&lt;"&amp;AR10,WeightedRevAge25)-SUMIF(ThresholdAge25,"&lt;"&amp;AR10,WeightedMinAge25),MAX(CapacityAge25*АбонементНовых*AR10,MeanMinAge25)))</f>
        <v/>
      </c>
      <c r="AS99" s="87">
        <f>IF(OR(('03_Сеть'!AS47-AS45)=0,25&lt;=КаникулыРоялти),0,('03_Сеть'!AS47-AS45)*IF(РоялтиПоГруппам="Да",MeanMinAge25+AS10*SUMIF(ThresholdAge25,"&lt;"&amp;AS10,WeightedRevAge25)-SUMIF(ThresholdAge25,"&lt;"&amp;AS10,WeightedMinAge25),MAX(CapacityAge25*АбонементНовых*AS10,MeanMinAge25)))</f>
        <v/>
      </c>
      <c r="AT99" s="87">
        <f>IF(OR(('03_Сеть'!AT47-AT45)=0,25&lt;=КаникулыРоялти),0,('03_Сеть'!AT47-AT45)*IF(РоялтиПоГруппам="Да",MeanMinAge25+AT10*SUMIF(ThresholdAge25,"&lt;"&amp;AT10,WeightedRevAge25)-SUMIF(ThresholdAge25,"&lt;"&amp;AT10,WeightedMinAge25),MAX(CapacityAge25*АбонементНовых*AT10,MeanMinAge25)))</f>
        <v/>
      </c>
      <c r="AU99" s="87">
        <f>IF(OR(('03_Сеть'!AU47-AU45)=0,25&lt;=КаникулыРоялти),0,('03_Сеть'!AU47-AU45)*IF(РоялтиПоГруппам="Да",MeanMinAge25+AU10*SUMIF(ThresholdAge25,"&lt;"&amp;AU10,WeightedRevAge25)-SUMIF(ThresholdAge25,"&lt;"&amp;AU10,WeightedMinAge25),MAX(CapacityAge25*АбонементНовых*AU10,MeanMinAge25)))</f>
        <v/>
      </c>
      <c r="AV99" s="87">
        <f>IF(OR(('03_Сеть'!AV47-AV45)=0,25&lt;=КаникулыРоялти),0,('03_Сеть'!AV47-AV45)*IF(РоялтиПоГруппам="Да",MeanMinAge25+AV10*SUMIF(ThresholdAge25,"&lt;"&amp;AV10,WeightedRevAge25)-SUMIF(ThresholdAge25,"&lt;"&amp;AV10,WeightedMinAge25),MAX(CapacityAge25*АбонементНовых*AV10,MeanMinAge25)))</f>
        <v/>
      </c>
      <c r="AW99" s="87">
        <f>IF(OR(('03_Сеть'!AW47-AW45)=0,25&lt;=КаникулыРоялти),0,('03_Сеть'!AW47-AW45)*IF(РоялтиПоГруппам="Да",MeanMinAge25+AW10*SUMIF(ThresholdAge25,"&lt;"&amp;AW10,WeightedRevAge25)-SUMIF(ThresholdAge25,"&lt;"&amp;AW10,WeightedMinAge25),MAX(CapacityAge25*АбонементНовых*AW10,MeanMinAge25)))</f>
        <v/>
      </c>
      <c r="AX99" s="87">
        <f>IF(OR(('03_Сеть'!AX47-AX45)=0,25&lt;=КаникулыРоялти),0,('03_Сеть'!AX47-AX45)*IF(РоялтиПоГруппам="Да",MeanMinAge25+AX10*SUMIF(ThresholdAge25,"&lt;"&amp;AX10,WeightedRevAge25)-SUMIF(ThresholdAge25,"&lt;"&amp;AX10,WeightedMinAge25),MAX(CapacityAge25*АбонементНовых*AX10,MeanMinAge25)))</f>
        <v/>
      </c>
      <c r="AY99" s="87">
        <f>IF(OR(('03_Сеть'!AY47-AY45)=0,25&lt;=КаникулыРоялти),0,('03_Сеть'!AY47-AY45)*IF(РоялтиПоГруппам="Да",MeanMinAge25+AY10*SUMIF(ThresholdAge25,"&lt;"&amp;AY10,WeightedRevAge25)-SUMIF(ThresholdAge25,"&lt;"&amp;AY10,WeightedMinAge25),MAX(CapacityAge25*АбонементНовых*AY10,MeanMinAge25)))</f>
        <v/>
      </c>
      <c r="AZ99" s="87">
        <f>IF(OR(('03_Сеть'!AZ47-AZ45)=0,25&lt;=КаникулыРоялти),0,('03_Сеть'!AZ47-AZ45)*IF(РоялтиПоГруппам="Да",MeanMinAge25+AZ10*SUMIF(ThresholdAge25,"&lt;"&amp;AZ10,WeightedRevAge25)-SUMIF(ThresholdAge25,"&lt;"&amp;AZ10,WeightedMinAge25),MAX(CapacityAge25*АбонементНовых*AZ10,MeanMinAge25)))</f>
        <v/>
      </c>
      <c r="BA99" s="87">
        <f>IF(OR(('03_Сеть'!BA47-BA45)=0,25&lt;=КаникулыРоялти),0,('03_Сеть'!BA47-BA45)*IF(РоялтиПоГруппам="Да",MeanMinAge25+BA10*SUMIF(ThresholdAge25,"&lt;"&amp;BA10,WeightedRevAge25)-SUMIF(ThresholdAge25,"&lt;"&amp;BA10,WeightedMinAge25),MAX(CapacityAge25*АбонементНовых*BA10,MeanMinAge25)))</f>
        <v/>
      </c>
      <c r="BB99" s="87">
        <f>IF(OR(('03_Сеть'!BB47-BB45)=0,25&lt;=КаникулыРоялти),0,('03_Сеть'!BB47-BB45)*IF(РоялтиПоГруппам="Да",MeanMinAge25+BB10*SUMIF(ThresholdAge25,"&lt;"&amp;BB10,WeightedRevAge25)-SUMIF(ThresholdAge25,"&lt;"&amp;BB10,WeightedMinAge25),MAX(CapacityAge25*АбонементНовых*BB10,MeanMinAge25)))</f>
        <v/>
      </c>
      <c r="BC99" s="87">
        <f>IF(OR(('03_Сеть'!BC47-BC45)=0,25&lt;=КаникулыРоялти),0,('03_Сеть'!BC47-BC45)*IF(РоялтиПоГруппам="Да",MeanMinAge25+BC10*SUMIF(ThresholdAge25,"&lt;"&amp;BC10,WeightedRevAge25)-SUMIF(ThresholdAge25,"&lt;"&amp;BC10,WeightedMinAge25),MAX(CapacityAge25*АбонементНовых*BC10,MeanMinAge25)))</f>
        <v/>
      </c>
      <c r="BD99" s="87">
        <f>IF(OR(('03_Сеть'!BD47-BD45)=0,25&lt;=КаникулыРоялти),0,('03_Сеть'!BD47-BD45)*IF(РоялтиПоГруппам="Да",MeanMinAge25+BD10*SUMIF(ThresholdAge25,"&lt;"&amp;BD10,WeightedRevAge25)-SUMIF(ThresholdAge25,"&lt;"&amp;BD10,WeightedMinAge25),MAX(CapacityAge25*АбонементНовых*BD10,MeanMinAge25)))</f>
        <v/>
      </c>
      <c r="BE99" s="87">
        <f>IF(OR(('03_Сеть'!BE47-BE45)=0,25&lt;=КаникулыРоялти),0,('03_Сеть'!BE47-BE45)*IF(РоялтиПоГруппам="Да",MeanMinAge25+BE10*SUMIF(ThresholdAge25,"&lt;"&amp;BE10,WeightedRevAge25)-SUMIF(ThresholdAge25,"&lt;"&amp;BE10,WeightedMinAge25),MAX(CapacityAge25*АбонементНовых*BE10,MeanMinAge25)))</f>
        <v/>
      </c>
      <c r="BF99" s="87">
        <f>IF(OR(('03_Сеть'!BF47-BF45)=0,25&lt;=КаникулыРоялти),0,('03_Сеть'!BF47-BF45)*IF(РоялтиПоГруппам="Да",MeanMinAge25+BF10*SUMIF(ThresholdAge25,"&lt;"&amp;BF10,WeightedRevAge25)-SUMIF(ThresholdAge25,"&lt;"&amp;BF10,WeightedMinAge25),MAX(CapacityAge25*АбонементНовых*BF10,MeanMinAge25)))</f>
        <v/>
      </c>
      <c r="BG99" s="87">
        <f>IF(OR(('03_Сеть'!BG47-BG45)=0,25&lt;=КаникулыРоялти),0,('03_Сеть'!BG47-BG45)*IF(РоялтиПоГруппам="Да",MeanMinAge25+BG10*SUMIF(ThresholdAge25,"&lt;"&amp;BG10,WeightedRevAge25)-SUMIF(ThresholdAge25,"&lt;"&amp;BG10,WeightedMinAge25),MAX(CapacityAge25*АбонементНовых*BG10,MeanMinAge25)))</f>
        <v/>
      </c>
      <c r="BH99" s="87">
        <f>IF(OR(('03_Сеть'!BH47-BH45)=0,25&lt;=КаникулыРоялти),0,('03_Сеть'!BH47-BH45)*IF(РоялтиПоГруппам="Да",MeanMinAge25+BH10*SUMIF(ThresholdAge25,"&lt;"&amp;BH10,WeightedRevAge25)-SUMIF(ThresholdAge25,"&lt;"&amp;BH10,WeightedMinAge25),MAX(CapacityAge25*АбонементНовых*BH10,MeanMinAge25)))</f>
        <v/>
      </c>
      <c r="BI99" s="87">
        <f>IF(OR(('03_Сеть'!BI47-BI45)=0,25&lt;=КаникулыРоялти),0,('03_Сеть'!BI47-BI45)*IF(РоялтиПоГруппам="Да",MeanMinAge25+BI10*SUMIF(ThresholdAge25,"&lt;"&amp;BI10,WeightedRevAge25)-SUMIF(ThresholdAge25,"&lt;"&amp;BI10,WeightedMinAge25),MAX(CapacityAge25*АбонементНовых*BI10,MeanMinAge25)))</f>
        <v/>
      </c>
      <c r="BJ99" s="87">
        <f>IF(OR(('03_Сеть'!BJ47-BJ45)=0,25&lt;=КаникулыРоялти),0,('03_Сеть'!BJ47-BJ45)*IF(РоялтиПоГруппам="Да",MeanMinAge25+BJ10*SUMIF(ThresholdAge25,"&lt;"&amp;BJ10,WeightedRevAge25)-SUMIF(ThresholdAge25,"&lt;"&amp;BJ10,WeightedMinAge25),MAX(CapacityAge25*АбонементНовых*BJ10,MeanMinAge25)))</f>
        <v/>
      </c>
      <c r="BK99" s="87">
        <f>IF(OR(('03_Сеть'!BK47-BK45)=0,25&lt;=КаникулыРоялти),0,('03_Сеть'!BK47-BK45)*IF(РоялтиПоГруппам="Да",MeanMinAge25+BK10*SUMIF(ThresholdAge25,"&lt;"&amp;BK10,WeightedRevAge25)-SUMIF(ThresholdAge25,"&lt;"&amp;BK10,WeightedMinAge25),MAX(CapacityAge25*АбонементНовых*BK10,MeanMinAge25)))</f>
        <v/>
      </c>
      <c r="BL99" s="87">
        <f>IF(OR(('03_Сеть'!BL47-BL45)=0,25&lt;=КаникулыРоялти),0,('03_Сеть'!BL47-BL45)*IF(РоялтиПоГруппам="Да",MeanMinAge25+BL10*SUMIF(ThresholdAge25,"&lt;"&amp;BL10,WeightedRevAge25)-SUMIF(ThresholdAge25,"&lt;"&amp;BL10,WeightedMinAge25),MAX(CapacityAge25*АбонементНовых*BL10,MeanMinAge25)))</f>
        <v/>
      </c>
      <c r="BM99" s="87">
        <f>IF(OR(('03_Сеть'!BM47-BM45)=0,25&lt;=КаникулыРоялти),0,('03_Сеть'!BM47-BM45)*IF(РоялтиПоГруппам="Да",MeanMinAge25+BM10*SUMIF(ThresholdAge25,"&lt;"&amp;BM10,WeightedRevAge25)-SUMIF(ThresholdAge25,"&lt;"&amp;BM10,WeightedMinAge25),MAX(CapacityAge25*АбонементНовых*BM10,MeanMinAge25)))</f>
        <v/>
      </c>
      <c r="BN99" s="87">
        <f>IF(OR(('03_Сеть'!BN47-BN45)=0,25&lt;=КаникулыРоялти),0,('03_Сеть'!BN47-BN45)*IF(РоялтиПоГруппам="Да",MeanMinAge25+BN10*SUMIF(ThresholdAge25,"&lt;"&amp;BN10,WeightedRevAge25)-SUMIF(ThresholdAge25,"&lt;"&amp;BN10,WeightedMinAge25),MAX(CapacityAge25*АбонементНовых*BN10,MeanMinAge25)))</f>
        <v/>
      </c>
      <c r="BO99" s="87">
        <f>IF(OR(('03_Сеть'!BO47-BO45)=0,25&lt;=КаникулыРоялти),0,('03_Сеть'!BO47-BO45)*IF(РоялтиПоГруппам="Да",MeanMinAge25+BO10*SUMIF(ThresholdAge25,"&lt;"&amp;BO10,WeightedRevAge25)-SUMIF(ThresholdAge25,"&lt;"&amp;BO10,WeightedMinAge25),MAX(CapacityAge25*АбонементНовых*BO10,MeanMinAge25)))</f>
        <v/>
      </c>
      <c r="BP99" s="87">
        <f>IF(OR(('03_Сеть'!BP47-BP45)=0,25&lt;=КаникулыРоялти),0,('03_Сеть'!BP47-BP45)*IF(РоялтиПоГруппам="Да",MeanMinAge25+BP10*SUMIF(ThresholdAge25,"&lt;"&amp;BP10,WeightedRevAge25)-SUMIF(ThresholdAge25,"&lt;"&amp;BP10,WeightedMinAge25),MAX(CapacityAge25*АбонементНовых*BP10,MeanMinAge25)))</f>
        <v/>
      </c>
      <c r="BQ99" s="87">
        <f>IF(OR(('03_Сеть'!BQ47-BQ45)=0,25&lt;=КаникулыРоялти),0,('03_Сеть'!BQ47-BQ45)*IF(РоялтиПоГруппам="Да",MeanMinAge25+BQ10*SUMIF(ThresholdAge25,"&lt;"&amp;BQ10,WeightedRevAge25)-SUMIF(ThresholdAge25,"&lt;"&amp;BQ10,WeightedMinAge25),MAX(CapacityAge25*АбонементНовых*BQ10,MeanMinAge25)))</f>
        <v/>
      </c>
      <c r="BR99" s="87">
        <f>IF(OR(('03_Сеть'!BR47-BR45)=0,25&lt;=КаникулыРоялти),0,('03_Сеть'!BR47-BR45)*IF(РоялтиПоГруппам="Да",MeanMinAge25+BR10*SUMIF(ThresholdAge25,"&lt;"&amp;BR10,WeightedRevAge25)-SUMIF(ThresholdAge25,"&lt;"&amp;BR10,WeightedMinAge25),MAX(CapacityAge25*АбонементНовых*BR10,MeanMinAge25)))</f>
        <v/>
      </c>
      <c r="BS99" s="87">
        <f>IF(OR(('03_Сеть'!BS47-BS45)=0,25&lt;=КаникулыРоялти),0,('03_Сеть'!BS47-BS45)*IF(РоялтиПоГруппам="Да",MeanMinAge25+BS10*SUMIF(ThresholdAge25,"&lt;"&amp;BS10,WeightedRevAge25)-SUMIF(ThresholdAge25,"&lt;"&amp;BS10,WeightedMinAge25),MAX(CapacityAge25*АбонементНовых*BS10,MeanMinAge25)))</f>
        <v/>
      </c>
      <c r="BT99" s="87">
        <f>IF(OR(('03_Сеть'!BT47-BT45)=0,25&lt;=КаникулыРоялти),0,('03_Сеть'!BT47-BT45)*IF(РоялтиПоГруппам="Да",MeanMinAge25+BT10*SUMIF(ThresholdAge25,"&lt;"&amp;BT10,WeightedRevAge25)-SUMIF(ThresholdAge25,"&lt;"&amp;BT10,WeightedMinAge25),MAX(CapacityAge25*АбонементНовых*BT10,MeanMinAge25)))</f>
        <v/>
      </c>
      <c r="BU99" s="87">
        <f>IF(OR(('03_Сеть'!BU47-BU45)=0,25&lt;=КаникулыРоялти),0,('03_Сеть'!BU47-BU45)*IF(РоялтиПоГруппам="Да",MeanMinAge25+BU10*SUMIF(ThresholdAge25,"&lt;"&amp;BU10,WeightedRevAge25)-SUMIF(ThresholdAge25,"&lt;"&amp;BU10,WeightedMinAge25),MAX(CapacityAge25*АбонементНовых*BU10,MeanMinAge25)))</f>
        <v/>
      </c>
      <c r="BV99" s="87">
        <f>IF(OR(('03_Сеть'!BV47-BV45)=0,25&lt;=КаникулыРоялти),0,('03_Сеть'!BV47-BV45)*IF(РоялтиПоГруппам="Да",MeanMinAge25+BV10*SUMIF(ThresholdAge25,"&lt;"&amp;BV10,WeightedRevAge25)-SUMIF(ThresholdAge25,"&lt;"&amp;BV10,WeightedMinAge25),MAX(CapacityAge25*АбонементНовых*BV10,MeanMinAge25)))</f>
        <v/>
      </c>
      <c r="BW99" s="87">
        <f>IF(OR(('03_Сеть'!BW47-BW45)=0,25&lt;=КаникулыРоялти),0,('03_Сеть'!BW47-BW45)*IF(РоялтиПоГруппам="Да",MeanMinAge25+BW10*SUMIF(ThresholdAge25,"&lt;"&amp;BW10,WeightedRevAge25)-SUMIF(ThresholdAge25,"&lt;"&amp;BW10,WeightedMinAge25),MAX(CapacityAge25*АбонементНовых*BW10,MeanMinAge25)))</f>
        <v/>
      </c>
      <c r="BX99" s="87">
        <f>IF(OR(('03_Сеть'!BX47-BX45)=0,25&lt;=КаникулыРоялти),0,('03_Сеть'!BX47-BX45)*IF(РоялтиПоГруппам="Да",MeanMinAge25+BX10*SUMIF(ThresholdAge25,"&lt;"&amp;BX10,WeightedRevAge25)-SUMIF(ThresholdAge25,"&lt;"&amp;BX10,WeightedMinAge25),MAX(CapacityAge25*АбонементНовых*BX10,MeanMinAge25)))</f>
        <v/>
      </c>
      <c r="BY99" s="87">
        <f>IF(OR(('03_Сеть'!BY47-BY45)=0,25&lt;=КаникулыРоялти),0,('03_Сеть'!BY47-BY45)*IF(РоялтиПоГруппам="Да",MeanMinAge25+BY10*SUMIF(ThresholdAge25,"&lt;"&amp;BY10,WeightedRevAge25)-SUMIF(ThresholdAge25,"&lt;"&amp;BY10,WeightedMinAge25),MAX(CapacityAge25*АбонементНовых*BY10,MeanMinAge25)))</f>
        <v/>
      </c>
    </row>
    <row r="100" ht="15.75" customHeight="1" s="194"/>
    <row r="101" ht="15.75" customHeight="1" s="194">
      <c r="B101" s="54" t="inlineStr">
        <is>
          <t>Итог по роялти</t>
        </is>
      </c>
      <c r="C101" s="55" t="n"/>
      <c r="D101" s="55" t="n"/>
      <c r="E101" s="55" t="n"/>
      <c r="F101" s="55" t="n"/>
      <c r="G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  <c r="S101" s="55" t="n"/>
      <c r="T101" s="55" t="n"/>
      <c r="U101" s="55" t="n"/>
      <c r="V101" s="55" t="n"/>
      <c r="W101" s="55" t="n"/>
      <c r="X101" s="55" t="n"/>
      <c r="Y101" s="55" t="n"/>
      <c r="Z101" s="55" t="n"/>
      <c r="AA101" s="55" t="n"/>
      <c r="AB101" s="55" t="n"/>
      <c r="AC101" s="55" t="n"/>
      <c r="AD101" s="55" t="n"/>
      <c r="AE101" s="55" t="n"/>
      <c r="AF101" s="55" t="n"/>
      <c r="AG101" s="55" t="n"/>
      <c r="AH101" s="55" t="n"/>
      <c r="AI101" s="55" t="n"/>
      <c r="AJ101" s="55" t="n"/>
      <c r="AK101" s="55" t="n"/>
      <c r="AL101" s="55" t="n"/>
      <c r="AM101" s="55" t="n"/>
      <c r="AN101" s="55" t="n"/>
      <c r="AO101" s="55" t="n"/>
      <c r="AP101" s="55" t="n"/>
      <c r="AQ101" s="55" t="n"/>
      <c r="AR101" s="55" t="n"/>
      <c r="AS101" s="55" t="n"/>
      <c r="AT101" s="55" t="n"/>
      <c r="AU101" s="55" t="n"/>
      <c r="AV101" s="55" t="n"/>
      <c r="AW101" s="55" t="n"/>
      <c r="AX101" s="55" t="n"/>
      <c r="AY101" s="55" t="n"/>
      <c r="AZ101" s="55" t="n"/>
      <c r="BA101" s="55" t="n"/>
      <c r="BB101" s="55" t="n"/>
      <c r="BC101" s="55" t="n"/>
      <c r="BD101" s="55" t="n"/>
      <c r="BE101" s="55" t="n"/>
      <c r="BF101" s="55" t="n"/>
      <c r="BG101" s="55" t="n"/>
      <c r="BH101" s="55" t="n"/>
      <c r="BI101" s="55" t="n"/>
      <c r="BJ101" s="55" t="n"/>
      <c r="BK101" s="55" t="n"/>
      <c r="BL101" s="55" t="n"/>
      <c r="BM101" s="55" t="n"/>
      <c r="BN101" s="55" t="n"/>
      <c r="BO101" s="55" t="n"/>
      <c r="BP101" s="55" t="n"/>
      <c r="BQ101" s="55" t="n"/>
      <c r="BR101" s="55" t="n"/>
      <c r="BS101" s="55" t="n"/>
      <c r="BT101" s="55" t="n"/>
      <c r="BU101" s="55" t="n"/>
      <c r="BV101" s="55" t="n"/>
      <c r="BW101" s="55" t="n"/>
      <c r="BX101" s="55" t="n"/>
      <c r="BY101" s="55" t="n"/>
    </row>
    <row r="102" ht="15.75" customHeight="1" s="194">
      <c r="B102" s="56" t="inlineStr">
        <is>
          <t>Роялти новых школ, с НДС</t>
        </is>
      </c>
      <c r="C102" s="56" t="inlineStr">
        <is>
          <t>₽</t>
        </is>
      </c>
      <c r="D102" s="57" t="inlineStr">
        <is>
          <t>Сумма по всем возрастам и обеим ставкам</t>
        </is>
      </c>
      <c r="E102" s="85">
        <f>SUM(L102:W102)</f>
        <v/>
      </c>
      <c r="F102" s="85">
        <f>SUM(X102:AI102)</f>
        <v/>
      </c>
      <c r="G102" s="85">
        <f>SUM(AJ102:AU102)</f>
        <v/>
      </c>
      <c r="H102" s="85">
        <f>SUM(AV102:BG102)</f>
        <v/>
      </c>
      <c r="I102" s="85">
        <f>SUM(BH102:BS102)</f>
        <v/>
      </c>
      <c r="J102" s="86">
        <f>SUM(L102:BS102)</f>
        <v/>
      </c>
      <c r="L102" s="87">
        <f>SUM(L48:L72)+SUM(L75:L99)</f>
        <v/>
      </c>
      <c r="M102" s="87">
        <f>SUM(M48:M72)+SUM(M75:M99)</f>
        <v/>
      </c>
      <c r="N102" s="87">
        <f>SUM(N48:N72)+SUM(N75:N99)</f>
        <v/>
      </c>
      <c r="O102" s="87">
        <f>SUM(O48:O72)+SUM(O75:O99)</f>
        <v/>
      </c>
      <c r="P102" s="87">
        <f>SUM(P48:P72)+SUM(P75:P99)</f>
        <v/>
      </c>
      <c r="Q102" s="87">
        <f>SUM(Q48:Q72)+SUM(Q75:Q99)</f>
        <v/>
      </c>
      <c r="R102" s="87">
        <f>SUM(R48:R72)+SUM(R75:R99)</f>
        <v/>
      </c>
      <c r="S102" s="87">
        <f>SUM(S48:S72)+SUM(S75:S99)</f>
        <v/>
      </c>
      <c r="T102" s="87">
        <f>SUM(T48:T72)+SUM(T75:T99)</f>
        <v/>
      </c>
      <c r="U102" s="87">
        <f>SUM(U48:U72)+SUM(U75:U99)</f>
        <v/>
      </c>
      <c r="V102" s="87">
        <f>SUM(V48:V72)+SUM(V75:V99)</f>
        <v/>
      </c>
      <c r="W102" s="87">
        <f>SUM(W48:W72)+SUM(W75:W99)</f>
        <v/>
      </c>
      <c r="X102" s="87">
        <f>SUM(X48:X72)+SUM(X75:X99)</f>
        <v/>
      </c>
      <c r="Y102" s="87">
        <f>SUM(Y48:Y72)+SUM(Y75:Y99)</f>
        <v/>
      </c>
      <c r="Z102" s="87">
        <f>SUM(Z48:Z72)+SUM(Z75:Z99)</f>
        <v/>
      </c>
      <c r="AA102" s="87">
        <f>SUM(AA48:AA72)+SUM(AA75:AA99)</f>
        <v/>
      </c>
      <c r="AB102" s="87">
        <f>SUM(AB48:AB72)+SUM(AB75:AB99)</f>
        <v/>
      </c>
      <c r="AC102" s="87">
        <f>SUM(AC48:AC72)+SUM(AC75:AC99)</f>
        <v/>
      </c>
      <c r="AD102" s="87">
        <f>SUM(AD48:AD72)+SUM(AD75:AD99)</f>
        <v/>
      </c>
      <c r="AE102" s="87">
        <f>SUM(AE48:AE72)+SUM(AE75:AE99)</f>
        <v/>
      </c>
      <c r="AF102" s="87">
        <f>SUM(AF48:AF72)+SUM(AF75:AF99)</f>
        <v/>
      </c>
      <c r="AG102" s="87">
        <f>SUM(AG48:AG72)+SUM(AG75:AG99)</f>
        <v/>
      </c>
      <c r="AH102" s="87">
        <f>SUM(AH48:AH72)+SUM(AH75:AH99)</f>
        <v/>
      </c>
      <c r="AI102" s="87">
        <f>SUM(AI48:AI72)+SUM(AI75:AI99)</f>
        <v/>
      </c>
      <c r="AJ102" s="87">
        <f>SUM(AJ48:AJ72)+SUM(AJ75:AJ99)</f>
        <v/>
      </c>
      <c r="AK102" s="87">
        <f>SUM(AK48:AK72)+SUM(AK75:AK99)</f>
        <v/>
      </c>
      <c r="AL102" s="87">
        <f>SUM(AL48:AL72)+SUM(AL75:AL99)</f>
        <v/>
      </c>
      <c r="AM102" s="87">
        <f>SUM(AM48:AM72)+SUM(AM75:AM99)</f>
        <v/>
      </c>
      <c r="AN102" s="87">
        <f>SUM(AN48:AN72)+SUM(AN75:AN99)</f>
        <v/>
      </c>
      <c r="AO102" s="87">
        <f>SUM(AO48:AO72)+SUM(AO75:AO99)</f>
        <v/>
      </c>
      <c r="AP102" s="87">
        <f>SUM(AP48:AP72)+SUM(AP75:AP99)</f>
        <v/>
      </c>
      <c r="AQ102" s="87">
        <f>SUM(AQ48:AQ72)+SUM(AQ75:AQ99)</f>
        <v/>
      </c>
      <c r="AR102" s="87">
        <f>SUM(AR48:AR72)+SUM(AR75:AR99)</f>
        <v/>
      </c>
      <c r="AS102" s="87">
        <f>SUM(AS48:AS72)+SUM(AS75:AS99)</f>
        <v/>
      </c>
      <c r="AT102" s="87">
        <f>SUM(AT48:AT72)+SUM(AT75:AT99)</f>
        <v/>
      </c>
      <c r="AU102" s="87">
        <f>SUM(AU48:AU72)+SUM(AU75:AU99)</f>
        <v/>
      </c>
      <c r="AV102" s="87">
        <f>SUM(AV48:AV72)+SUM(AV75:AV99)</f>
        <v/>
      </c>
      <c r="AW102" s="87">
        <f>SUM(AW48:AW72)+SUM(AW75:AW99)</f>
        <v/>
      </c>
      <c r="AX102" s="87">
        <f>SUM(AX48:AX72)+SUM(AX75:AX99)</f>
        <v/>
      </c>
      <c r="AY102" s="87">
        <f>SUM(AY48:AY72)+SUM(AY75:AY99)</f>
        <v/>
      </c>
      <c r="AZ102" s="87">
        <f>SUM(AZ48:AZ72)+SUM(AZ75:AZ99)</f>
        <v/>
      </c>
      <c r="BA102" s="87">
        <f>SUM(BA48:BA72)+SUM(BA75:BA99)</f>
        <v/>
      </c>
      <c r="BB102" s="87">
        <f>SUM(BB48:BB72)+SUM(BB75:BB99)</f>
        <v/>
      </c>
      <c r="BC102" s="87">
        <f>SUM(BC48:BC72)+SUM(BC75:BC99)</f>
        <v/>
      </c>
      <c r="BD102" s="87">
        <f>SUM(BD48:BD72)+SUM(BD75:BD99)</f>
        <v/>
      </c>
      <c r="BE102" s="87">
        <f>SUM(BE48:BE72)+SUM(BE75:BE99)</f>
        <v/>
      </c>
      <c r="BF102" s="87">
        <f>SUM(BF48:BF72)+SUM(BF75:BF99)</f>
        <v/>
      </c>
      <c r="BG102" s="87">
        <f>SUM(BG48:BG72)+SUM(BG75:BG99)</f>
        <v/>
      </c>
      <c r="BH102" s="87">
        <f>SUM(BH48:BH72)+SUM(BH75:BH99)</f>
        <v/>
      </c>
      <c r="BI102" s="87">
        <f>SUM(BI48:BI72)+SUM(BI75:BI99)</f>
        <v/>
      </c>
      <c r="BJ102" s="87">
        <f>SUM(BJ48:BJ72)+SUM(BJ75:BJ99)</f>
        <v/>
      </c>
      <c r="BK102" s="87">
        <f>SUM(BK48:BK72)+SUM(BK75:BK99)</f>
        <v/>
      </c>
      <c r="BL102" s="87">
        <f>SUM(BL48:BL72)+SUM(BL75:BL99)</f>
        <v/>
      </c>
      <c r="BM102" s="87">
        <f>SUM(BM48:BM72)+SUM(BM75:BM99)</f>
        <v/>
      </c>
      <c r="BN102" s="87">
        <f>SUM(BN48:BN72)+SUM(BN75:BN99)</f>
        <v/>
      </c>
      <c r="BO102" s="87">
        <f>SUM(BO48:BO72)+SUM(BO75:BO99)</f>
        <v/>
      </c>
      <c r="BP102" s="87">
        <f>SUM(BP48:BP72)+SUM(BP75:BP99)</f>
        <v/>
      </c>
      <c r="BQ102" s="87">
        <f>SUM(BQ48:BQ72)+SUM(BQ75:BQ99)</f>
        <v/>
      </c>
      <c r="BR102" s="87">
        <f>SUM(BR48:BR72)+SUM(BR75:BR99)</f>
        <v/>
      </c>
      <c r="BS102" s="87">
        <f>SUM(BS48:BS72)+SUM(BS75:BS99)</f>
        <v/>
      </c>
      <c r="BT102" s="87">
        <f>SUM(BT48:BT72)+SUM(BT75:BT99)</f>
        <v/>
      </c>
      <c r="BU102" s="87">
        <f>SUM(BU48:BU72)+SUM(BU75:BU99)</f>
        <v/>
      </c>
      <c r="BV102" s="87">
        <f>SUM(BV48:BV72)+SUM(BV75:BV99)</f>
        <v/>
      </c>
      <c r="BW102" s="87">
        <f>SUM(BW48:BW72)+SUM(BW75:BW99)</f>
        <v/>
      </c>
      <c r="BX102" s="87">
        <f>SUM(BX48:BX72)+SUM(BX75:BX99)</f>
        <v/>
      </c>
      <c r="BY102" s="87">
        <f>SUM(BY48:BY72)+SUM(BY75:BY99)</f>
        <v/>
      </c>
    </row>
    <row r="103" ht="15.75" customHeight="1" s="194">
      <c r="B103" s="130" t="inlineStr">
        <is>
          <t>Роялти всего, с НДС</t>
        </is>
      </c>
      <c r="C103" s="130" t="inlineStr">
        <is>
          <t>₽</t>
        </is>
      </c>
      <c r="D103" s="156" t="n"/>
      <c r="E103" s="157">
        <f>SUM(L103:W103)</f>
        <v/>
      </c>
      <c r="F103" s="157">
        <f>SUM(X103:AI103)</f>
        <v/>
      </c>
      <c r="G103" s="157">
        <f>SUM(AJ103:AU103)</f>
        <v/>
      </c>
      <c r="H103" s="157">
        <f>SUM(AV103:BG103)</f>
        <v/>
      </c>
      <c r="I103" s="157">
        <f>SUM(BH103:BS103)</f>
        <v/>
      </c>
      <c r="J103" s="134">
        <f>SUM(L103:BS103)</f>
        <v/>
      </c>
      <c r="L103" s="133">
        <f>L17+L102</f>
        <v/>
      </c>
      <c r="M103" s="133">
        <f>M17+M102</f>
        <v/>
      </c>
      <c r="N103" s="133">
        <f>N17+N102</f>
        <v/>
      </c>
      <c r="O103" s="133">
        <f>O17+O102</f>
        <v/>
      </c>
      <c r="P103" s="133">
        <f>P17+P102</f>
        <v/>
      </c>
      <c r="Q103" s="133">
        <f>Q17+Q102</f>
        <v/>
      </c>
      <c r="R103" s="133">
        <f>R17+R102</f>
        <v/>
      </c>
      <c r="S103" s="133">
        <f>S17+S102</f>
        <v/>
      </c>
      <c r="T103" s="133">
        <f>T17+T102</f>
        <v/>
      </c>
      <c r="U103" s="133">
        <f>U17+U102</f>
        <v/>
      </c>
      <c r="V103" s="133">
        <f>V17+V102</f>
        <v/>
      </c>
      <c r="W103" s="133">
        <f>W17+W102</f>
        <v/>
      </c>
      <c r="X103" s="133">
        <f>X17+X102</f>
        <v/>
      </c>
      <c r="Y103" s="133">
        <f>Y17+Y102</f>
        <v/>
      </c>
      <c r="Z103" s="133">
        <f>Z17+Z102</f>
        <v/>
      </c>
      <c r="AA103" s="133">
        <f>AA17+AA102</f>
        <v/>
      </c>
      <c r="AB103" s="133">
        <f>AB17+AB102</f>
        <v/>
      </c>
      <c r="AC103" s="133">
        <f>AC17+AC102</f>
        <v/>
      </c>
      <c r="AD103" s="133">
        <f>AD17+AD102</f>
        <v/>
      </c>
      <c r="AE103" s="133">
        <f>AE17+AE102</f>
        <v/>
      </c>
      <c r="AF103" s="133">
        <f>AF17+AF102</f>
        <v/>
      </c>
      <c r="AG103" s="133">
        <f>AG17+AG102</f>
        <v/>
      </c>
      <c r="AH103" s="133">
        <f>AH17+AH102</f>
        <v/>
      </c>
      <c r="AI103" s="133">
        <f>AI17+AI102</f>
        <v/>
      </c>
      <c r="AJ103" s="133">
        <f>AJ17+AJ102</f>
        <v/>
      </c>
      <c r="AK103" s="133">
        <f>AK17+AK102</f>
        <v/>
      </c>
      <c r="AL103" s="133">
        <f>AL17+AL102</f>
        <v/>
      </c>
      <c r="AM103" s="133">
        <f>AM17+AM102</f>
        <v/>
      </c>
      <c r="AN103" s="133">
        <f>AN17+AN102</f>
        <v/>
      </c>
      <c r="AO103" s="133">
        <f>AO17+AO102</f>
        <v/>
      </c>
      <c r="AP103" s="133">
        <f>AP17+AP102</f>
        <v/>
      </c>
      <c r="AQ103" s="133">
        <f>AQ17+AQ102</f>
        <v/>
      </c>
      <c r="AR103" s="133">
        <f>AR17+AR102</f>
        <v/>
      </c>
      <c r="AS103" s="133">
        <f>AS17+AS102</f>
        <v/>
      </c>
      <c r="AT103" s="133">
        <f>AT17+AT102</f>
        <v/>
      </c>
      <c r="AU103" s="133">
        <f>AU17+AU102</f>
        <v/>
      </c>
      <c r="AV103" s="133">
        <f>AV17+AV102</f>
        <v/>
      </c>
      <c r="AW103" s="133">
        <f>AW17+AW102</f>
        <v/>
      </c>
      <c r="AX103" s="133">
        <f>AX17+AX102</f>
        <v/>
      </c>
      <c r="AY103" s="133">
        <f>AY17+AY102</f>
        <v/>
      </c>
      <c r="AZ103" s="133">
        <f>AZ17+AZ102</f>
        <v/>
      </c>
      <c r="BA103" s="133">
        <f>BA17+BA102</f>
        <v/>
      </c>
      <c r="BB103" s="133">
        <f>BB17+BB102</f>
        <v/>
      </c>
      <c r="BC103" s="133">
        <f>BC17+BC102</f>
        <v/>
      </c>
      <c r="BD103" s="133">
        <f>BD17+BD102</f>
        <v/>
      </c>
      <c r="BE103" s="133">
        <f>BE17+BE102</f>
        <v/>
      </c>
      <c r="BF103" s="133">
        <f>BF17+BF102</f>
        <v/>
      </c>
      <c r="BG103" s="133">
        <f>BG17+BG102</f>
        <v/>
      </c>
      <c r="BH103" s="133">
        <f>BH17+BH102</f>
        <v/>
      </c>
      <c r="BI103" s="133">
        <f>BI17+BI102</f>
        <v/>
      </c>
      <c r="BJ103" s="133">
        <f>BJ17+BJ102</f>
        <v/>
      </c>
      <c r="BK103" s="133">
        <f>BK17+BK102</f>
        <v/>
      </c>
      <c r="BL103" s="133">
        <f>BL17+BL102</f>
        <v/>
      </c>
      <c r="BM103" s="133">
        <f>BM17+BM102</f>
        <v/>
      </c>
      <c r="BN103" s="133">
        <f>BN17+BN102</f>
        <v/>
      </c>
      <c r="BO103" s="133">
        <f>BO17+BO102</f>
        <v/>
      </c>
      <c r="BP103" s="133">
        <f>BP17+BP102</f>
        <v/>
      </c>
      <c r="BQ103" s="133">
        <f>BQ17+BQ102</f>
        <v/>
      </c>
      <c r="BR103" s="133">
        <f>BR17+BR102</f>
        <v/>
      </c>
      <c r="BS103" s="133">
        <f>BS17+BS102</f>
        <v/>
      </c>
      <c r="BT103" s="133">
        <f>BT17+BT102</f>
        <v/>
      </c>
      <c r="BU103" s="133">
        <f>BU17+BU102</f>
        <v/>
      </c>
      <c r="BV103" s="133">
        <f>BV17+BV102</f>
        <v/>
      </c>
      <c r="BW103" s="133">
        <f>BW17+BW102</f>
        <v/>
      </c>
      <c r="BX103" s="133">
        <f>BX17+BX102</f>
        <v/>
      </c>
      <c r="BY103" s="133">
        <f>BY17+BY102</f>
        <v/>
      </c>
    </row>
    <row r="104" ht="15.75" customHeight="1" s="194"/>
    <row r="105" ht="15.75" customHeight="1" s="194">
      <c r="B105" s="54" t="inlineStr">
        <is>
          <t>Мерч: сколько комплектов покупают</t>
        </is>
      </c>
      <c r="C105" s="55" t="n"/>
      <c r="D105" s="55" t="n"/>
      <c r="E105" s="55" t="n"/>
      <c r="F105" s="55" t="n"/>
      <c r="G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  <c r="W105" s="55" t="n"/>
      <c r="X105" s="55" t="n"/>
      <c r="Y105" s="55" t="n"/>
      <c r="Z105" s="55" t="n"/>
      <c r="AA105" s="55" t="n"/>
      <c r="AB105" s="55" t="n"/>
      <c r="AC105" s="55" t="n"/>
      <c r="AD105" s="55" t="n"/>
      <c r="AE105" s="55" t="n"/>
      <c r="AF105" s="55" t="n"/>
      <c r="AG105" s="55" t="n"/>
      <c r="AH105" s="55" t="n"/>
      <c r="AI105" s="55" t="n"/>
      <c r="AJ105" s="55" t="n"/>
      <c r="AK105" s="55" t="n"/>
      <c r="AL105" s="55" t="n"/>
      <c r="AM105" s="55" t="n"/>
      <c r="AN105" s="55" t="n"/>
      <c r="AO105" s="55" t="n"/>
      <c r="AP105" s="55" t="n"/>
      <c r="AQ105" s="55" t="n"/>
      <c r="AR105" s="55" t="n"/>
      <c r="AS105" s="55" t="n"/>
      <c r="AT105" s="55" t="n"/>
      <c r="AU105" s="55" t="n"/>
      <c r="AV105" s="55" t="n"/>
      <c r="AW105" s="55" t="n"/>
      <c r="AX105" s="55" t="n"/>
      <c r="AY105" s="55" t="n"/>
      <c r="AZ105" s="55" t="n"/>
      <c r="BA105" s="55" t="n"/>
      <c r="BB105" s="55" t="n"/>
      <c r="BC105" s="55" t="n"/>
      <c r="BD105" s="55" t="n"/>
      <c r="BE105" s="55" t="n"/>
      <c r="BF105" s="55" t="n"/>
      <c r="BG105" s="55" t="n"/>
      <c r="BH105" s="55" t="n"/>
      <c r="BI105" s="55" t="n"/>
      <c r="BJ105" s="55" t="n"/>
      <c r="BK105" s="55" t="n"/>
      <c r="BL105" s="55" t="n"/>
      <c r="BM105" s="55" t="n"/>
      <c r="BN105" s="55" t="n"/>
      <c r="BO105" s="55" t="n"/>
      <c r="BP105" s="55" t="n"/>
      <c r="BQ105" s="55" t="n"/>
      <c r="BR105" s="55" t="n"/>
      <c r="BS105" s="55" t="n"/>
      <c r="BT105" s="55" t="n"/>
      <c r="BU105" s="55" t="n"/>
      <c r="BV105" s="55" t="n"/>
      <c r="BW105" s="55" t="n"/>
      <c r="BX105" s="55" t="n"/>
      <c r="BY105" s="55" t="n"/>
    </row>
    <row r="106" ht="15.75" customHeight="1" s="194">
      <c r="B106" s="56" t="inlineStr">
        <is>
          <t>Сезонность повторных покупок</t>
        </is>
      </c>
      <c r="C106" s="56" t="inlineStr">
        <is>
          <t>%</t>
        </is>
      </c>
      <c r="D106" s="57" t="inlineStr">
        <is>
          <t>Доля годовой закупки, приходящаяся на этот месяц В колонках лет — среднее за год, в «Итого» — среднее за все 60 месяцев.</t>
        </is>
      </c>
      <c r="E106" s="135">
        <f>AVERAGE(L106:W106)</f>
        <v/>
      </c>
      <c r="F106" s="135">
        <f>AVERAGE(X106:AI106)</f>
        <v/>
      </c>
      <c r="G106" s="135">
        <f>AVERAGE(AJ106:AU106)</f>
        <v/>
      </c>
      <c r="H106" s="135">
        <f>AVERAGE(AV106:BG106)</f>
        <v/>
      </c>
      <c r="I106" s="135">
        <f>AVERAGE(BH106:BS106)</f>
        <v/>
      </c>
      <c r="J106" s="138">
        <f>AVERAGE(L106:BS106)</f>
        <v/>
      </c>
      <c r="L106" s="141">
        <f t="array" ref="L106">INDEX('01_Вводные'!$B$94:$M$94,1,MONTH('03_Сеть'!L7))</f>
        <v/>
      </c>
      <c r="M106" s="141">
        <f t="array" ref="M106">INDEX('01_Вводные'!$B$94:$M$94,1,MONTH('03_Сеть'!M7))</f>
        <v/>
      </c>
      <c r="N106" s="141">
        <f t="array" ref="N106">INDEX('01_Вводные'!$B$94:$M$94,1,MONTH('03_Сеть'!N7))</f>
        <v/>
      </c>
      <c r="O106" s="141">
        <f t="array" ref="O106">INDEX('01_Вводные'!$B$94:$M$94,1,MONTH('03_Сеть'!O7))</f>
        <v/>
      </c>
      <c r="P106" s="141">
        <f t="array" ref="P106">INDEX('01_Вводные'!$B$94:$M$94,1,MONTH('03_Сеть'!P7))</f>
        <v/>
      </c>
      <c r="Q106" s="141">
        <f t="array" ref="Q106">INDEX('01_Вводные'!$B$94:$M$94,1,MONTH('03_Сеть'!Q7))</f>
        <v/>
      </c>
      <c r="R106" s="141">
        <f t="array" ref="R106">INDEX('01_Вводные'!$B$94:$M$94,1,MONTH('03_Сеть'!R7))</f>
        <v/>
      </c>
      <c r="S106" s="141">
        <f t="array" ref="S106">INDEX('01_Вводные'!$B$94:$M$94,1,MONTH('03_Сеть'!S7))</f>
        <v/>
      </c>
      <c r="T106" s="141">
        <f t="array" ref="T106">INDEX('01_Вводные'!$B$94:$M$94,1,MONTH('03_Сеть'!T7))</f>
        <v/>
      </c>
      <c r="U106" s="141">
        <f t="array" ref="U106">INDEX('01_Вводные'!$B$94:$M$94,1,MONTH('03_Сеть'!U7))</f>
        <v/>
      </c>
      <c r="V106" s="141">
        <f t="array" ref="V106">INDEX('01_Вводные'!$B$94:$M$94,1,MONTH('03_Сеть'!V7))</f>
        <v/>
      </c>
      <c r="W106" s="141">
        <f t="array" ref="W106">INDEX('01_Вводные'!$B$94:$M$94,1,MONTH('03_Сеть'!W7))</f>
        <v/>
      </c>
      <c r="X106" s="141">
        <f t="array" ref="X106">INDEX('01_Вводные'!$B$94:$M$94,1,MONTH('03_Сеть'!X7))</f>
        <v/>
      </c>
      <c r="Y106" s="141">
        <f t="array" ref="Y106">INDEX('01_Вводные'!$B$94:$M$94,1,MONTH('03_Сеть'!Y7))</f>
        <v/>
      </c>
      <c r="Z106" s="141">
        <f t="array" ref="Z106">INDEX('01_Вводные'!$B$94:$M$94,1,MONTH('03_Сеть'!Z7))</f>
        <v/>
      </c>
      <c r="AA106" s="141">
        <f t="array" ref="AA106">INDEX('01_Вводные'!$B$94:$M$94,1,MONTH('03_Сеть'!AA7))</f>
        <v/>
      </c>
      <c r="AB106" s="141">
        <f t="array" ref="AB106">INDEX('01_Вводные'!$B$94:$M$94,1,MONTH('03_Сеть'!AB7))</f>
        <v/>
      </c>
      <c r="AC106" s="141">
        <f t="array" ref="AC106">INDEX('01_Вводные'!$B$94:$M$94,1,MONTH('03_Сеть'!AC7))</f>
        <v/>
      </c>
      <c r="AD106" s="141">
        <f t="array" ref="AD106">INDEX('01_Вводные'!$B$94:$M$94,1,MONTH('03_Сеть'!AD7))</f>
        <v/>
      </c>
      <c r="AE106" s="141">
        <f t="array" ref="AE106">INDEX('01_Вводные'!$B$94:$M$94,1,MONTH('03_Сеть'!AE7))</f>
        <v/>
      </c>
      <c r="AF106" s="141">
        <f t="array" ref="AF106">INDEX('01_Вводные'!$B$94:$M$94,1,MONTH('03_Сеть'!AF7))</f>
        <v/>
      </c>
      <c r="AG106" s="141">
        <f t="array" ref="AG106">INDEX('01_Вводные'!$B$94:$M$94,1,MONTH('03_Сеть'!AG7))</f>
        <v/>
      </c>
      <c r="AH106" s="141">
        <f t="array" ref="AH106">INDEX('01_Вводные'!$B$94:$M$94,1,MONTH('03_Сеть'!AH7))</f>
        <v/>
      </c>
      <c r="AI106" s="141">
        <f t="array" ref="AI106">INDEX('01_Вводные'!$B$94:$M$94,1,MONTH('03_Сеть'!AI7))</f>
        <v/>
      </c>
      <c r="AJ106" s="141">
        <f t="array" ref="AJ106">INDEX('01_Вводные'!$B$94:$M$94,1,MONTH('03_Сеть'!AJ7))</f>
        <v/>
      </c>
      <c r="AK106" s="141">
        <f t="array" ref="AK106">INDEX('01_Вводные'!$B$94:$M$94,1,MONTH('03_Сеть'!AK7))</f>
        <v/>
      </c>
      <c r="AL106" s="141">
        <f t="array" ref="AL106">INDEX('01_Вводные'!$B$94:$M$94,1,MONTH('03_Сеть'!AL7))</f>
        <v/>
      </c>
      <c r="AM106" s="141">
        <f t="array" ref="AM106">INDEX('01_Вводные'!$B$94:$M$94,1,MONTH('03_Сеть'!AM7))</f>
        <v/>
      </c>
      <c r="AN106" s="141">
        <f t="array" ref="AN106">INDEX('01_Вводные'!$B$94:$M$94,1,MONTH('03_Сеть'!AN7))</f>
        <v/>
      </c>
      <c r="AO106" s="141">
        <f t="array" ref="AO106">INDEX('01_Вводные'!$B$94:$M$94,1,MONTH('03_Сеть'!AO7))</f>
        <v/>
      </c>
      <c r="AP106" s="141">
        <f t="array" ref="AP106">INDEX('01_Вводные'!$B$94:$M$94,1,MONTH('03_Сеть'!AP7))</f>
        <v/>
      </c>
      <c r="AQ106" s="141">
        <f t="array" ref="AQ106">INDEX('01_Вводные'!$B$94:$M$94,1,MONTH('03_Сеть'!AQ7))</f>
        <v/>
      </c>
      <c r="AR106" s="141">
        <f t="array" ref="AR106">INDEX('01_Вводные'!$B$94:$M$94,1,MONTH('03_Сеть'!AR7))</f>
        <v/>
      </c>
      <c r="AS106" s="141">
        <f t="array" ref="AS106">INDEX('01_Вводные'!$B$94:$M$94,1,MONTH('03_Сеть'!AS7))</f>
        <v/>
      </c>
      <c r="AT106" s="141">
        <f t="array" ref="AT106">INDEX('01_Вводные'!$B$94:$M$94,1,MONTH('03_Сеть'!AT7))</f>
        <v/>
      </c>
      <c r="AU106" s="141">
        <f t="array" ref="AU106">INDEX('01_Вводные'!$B$94:$M$94,1,MONTH('03_Сеть'!AU7))</f>
        <v/>
      </c>
      <c r="AV106" s="141">
        <f t="array" ref="AV106">INDEX('01_Вводные'!$B$94:$M$94,1,MONTH('03_Сеть'!AV7))</f>
        <v/>
      </c>
      <c r="AW106" s="141">
        <f t="array" ref="AW106">INDEX('01_Вводные'!$B$94:$M$94,1,MONTH('03_Сеть'!AW7))</f>
        <v/>
      </c>
      <c r="AX106" s="141">
        <f t="array" ref="AX106">INDEX('01_Вводные'!$B$94:$M$94,1,MONTH('03_Сеть'!AX7))</f>
        <v/>
      </c>
      <c r="AY106" s="141">
        <f t="array" ref="AY106">INDEX('01_Вводные'!$B$94:$M$94,1,MONTH('03_Сеть'!AY7))</f>
        <v/>
      </c>
      <c r="AZ106" s="141">
        <f t="array" ref="AZ106">INDEX('01_Вводные'!$B$94:$M$94,1,MONTH('03_Сеть'!AZ7))</f>
        <v/>
      </c>
      <c r="BA106" s="141">
        <f t="array" ref="BA106">INDEX('01_Вводные'!$B$94:$M$94,1,MONTH('03_Сеть'!BA7))</f>
        <v/>
      </c>
      <c r="BB106" s="141">
        <f t="array" ref="BB106">INDEX('01_Вводные'!$B$94:$M$94,1,MONTH('03_Сеть'!BB7))</f>
        <v/>
      </c>
      <c r="BC106" s="141">
        <f t="array" ref="BC106">INDEX('01_Вводные'!$B$94:$M$94,1,MONTH('03_Сеть'!BC7))</f>
        <v/>
      </c>
      <c r="BD106" s="141">
        <f t="array" ref="BD106">INDEX('01_Вводные'!$B$94:$M$94,1,MONTH('03_Сеть'!BD7))</f>
        <v/>
      </c>
      <c r="BE106" s="141">
        <f t="array" ref="BE106">INDEX('01_Вводные'!$B$94:$M$94,1,MONTH('03_Сеть'!BE7))</f>
        <v/>
      </c>
      <c r="BF106" s="141">
        <f t="array" ref="BF106">INDEX('01_Вводные'!$B$94:$M$94,1,MONTH('03_Сеть'!BF7))</f>
        <v/>
      </c>
      <c r="BG106" s="141">
        <f t="array" ref="BG106">INDEX('01_Вводные'!$B$94:$M$94,1,MONTH('03_Сеть'!BG7))</f>
        <v/>
      </c>
      <c r="BH106" s="141">
        <f t="array" ref="BH106">INDEX('01_Вводные'!$B$94:$M$94,1,MONTH('03_Сеть'!BH7))</f>
        <v/>
      </c>
      <c r="BI106" s="141">
        <f t="array" ref="BI106">INDEX('01_Вводные'!$B$94:$M$94,1,MONTH('03_Сеть'!BI7))</f>
        <v/>
      </c>
      <c r="BJ106" s="141">
        <f t="array" ref="BJ106">INDEX('01_Вводные'!$B$94:$M$94,1,MONTH('03_Сеть'!BJ7))</f>
        <v/>
      </c>
      <c r="BK106" s="141">
        <f t="array" ref="BK106">INDEX('01_Вводные'!$B$94:$M$94,1,MONTH('03_Сеть'!BK7))</f>
        <v/>
      </c>
      <c r="BL106" s="141">
        <f t="array" ref="BL106">INDEX('01_Вводные'!$B$94:$M$94,1,MONTH('03_Сеть'!BL7))</f>
        <v/>
      </c>
      <c r="BM106" s="141">
        <f t="array" ref="BM106">INDEX('01_Вводные'!$B$94:$M$94,1,MONTH('03_Сеть'!BM7))</f>
        <v/>
      </c>
      <c r="BN106" s="141">
        <f t="array" ref="BN106">INDEX('01_Вводные'!$B$94:$M$94,1,MONTH('03_Сеть'!BN7))</f>
        <v/>
      </c>
      <c r="BO106" s="141">
        <f t="array" ref="BO106">INDEX('01_Вводные'!$B$94:$M$94,1,MONTH('03_Сеть'!BO7))</f>
        <v/>
      </c>
      <c r="BP106" s="141">
        <f t="array" ref="BP106">INDEX('01_Вводные'!$B$94:$M$94,1,MONTH('03_Сеть'!BP7))</f>
        <v/>
      </c>
      <c r="BQ106" s="141">
        <f t="array" ref="BQ106">INDEX('01_Вводные'!$B$94:$M$94,1,MONTH('03_Сеть'!BQ7))</f>
        <v/>
      </c>
      <c r="BR106" s="141">
        <f t="array" ref="BR106">INDEX('01_Вводные'!$B$94:$M$94,1,MONTH('03_Сеть'!BR7))</f>
        <v/>
      </c>
      <c r="BS106" s="141">
        <f t="array" ref="BS106">INDEX('01_Вводные'!$B$94:$M$94,1,MONTH('03_Сеть'!BS7))</f>
        <v/>
      </c>
      <c r="BT106" s="141">
        <f t="array" ref="BT106">INDEX('01_Вводные'!$B$94:$M$94,1,MONTH('03_Сеть'!BT7))</f>
        <v/>
      </c>
      <c r="BU106" s="141">
        <f t="array" ref="BU106">INDEX('01_Вводные'!$B$94:$M$94,1,MONTH('03_Сеть'!BU7))</f>
        <v/>
      </c>
      <c r="BV106" s="141">
        <f t="array" ref="BV106">INDEX('01_Вводные'!$B$94:$M$94,1,MONTH('03_Сеть'!BV7))</f>
        <v/>
      </c>
      <c r="BW106" s="141">
        <f t="array" ref="BW106">INDEX('01_Вводные'!$B$94:$M$94,1,MONTH('03_Сеть'!BW7))</f>
        <v/>
      </c>
      <c r="BX106" s="141">
        <f t="array" ref="BX106">INDEX('01_Вводные'!$B$94:$M$94,1,MONTH('03_Сеть'!BX7))</f>
        <v/>
      </c>
      <c r="BY106" s="141">
        <f t="array" ref="BY106">INDEX('01_Вводные'!$B$94:$M$94,1,MONTH('03_Сеть'!BY7))</f>
        <v/>
      </c>
    </row>
    <row r="107" ht="15.75" customHeight="1" s="194">
      <c r="B107" s="56" t="inlineStr">
        <is>
          <t>Действующая сеть — комплекты</t>
        </is>
      </c>
      <c r="C107" s="56" t="inlineStr">
        <is>
          <t>шт.</t>
        </is>
      </c>
      <c r="D107" s="57" t="inlineStr">
        <is>
          <t>Дети действующей сети по норме комплектов на ребёнка, разложено сезонностью. Сентябрь–декабрь 2026 — согласованный факт из раздела 5а вводных</t>
        </is>
      </c>
      <c r="E107" s="59">
        <f>SUM(L107:W107)</f>
        <v/>
      </c>
      <c r="F107" s="59">
        <f>SUM(X107:AI107)</f>
        <v/>
      </c>
      <c r="G107" s="59">
        <f>SUM(AJ107:AU107)</f>
        <v/>
      </c>
      <c r="H107" s="59">
        <f>SUM(AV107:BG107)</f>
        <v/>
      </c>
      <c r="I107" s="59">
        <f>SUM(BH107:BS107)</f>
        <v/>
      </c>
      <c r="J107" s="61">
        <f>SUM(L107:BS107)</f>
        <v/>
      </c>
      <c r="L107" s="62">
        <f>IF(COUNTIF('01_Вводные'!$B$98:$E$98,'03_Сеть'!L7)&gt;0,SUMIF('01_Вводные'!$B$98:$E$98,'03_Сеть'!L7,'01_Вводные'!$B$99:$E$99),'03_Сеть'!L19*КоэффМерча*L106)</f>
        <v/>
      </c>
      <c r="M107" s="62">
        <f>IF(COUNTIF('01_Вводные'!$B$98:$E$98,'03_Сеть'!M7)&gt;0,SUMIF('01_Вводные'!$B$98:$E$98,'03_Сеть'!M7,'01_Вводные'!$B$99:$E$99),'03_Сеть'!M19*КоэффМерча*M106)</f>
        <v/>
      </c>
      <c r="N107" s="62">
        <f>IF(COUNTIF('01_Вводные'!$B$98:$E$98,'03_Сеть'!N7)&gt;0,SUMIF('01_Вводные'!$B$98:$E$98,'03_Сеть'!N7,'01_Вводные'!$B$99:$E$99),'03_Сеть'!N19*КоэффМерча*N106)</f>
        <v/>
      </c>
      <c r="O107" s="62">
        <f>IF(COUNTIF('01_Вводные'!$B$98:$E$98,'03_Сеть'!O7)&gt;0,SUMIF('01_Вводные'!$B$98:$E$98,'03_Сеть'!O7,'01_Вводные'!$B$99:$E$99),'03_Сеть'!O19*КоэффМерча*O106)</f>
        <v/>
      </c>
      <c r="P107" s="62">
        <f>IF(COUNTIF('01_Вводные'!$B$98:$E$98,'03_Сеть'!P7)&gt;0,SUMIF('01_Вводные'!$B$98:$E$98,'03_Сеть'!P7,'01_Вводные'!$B$99:$E$99),'03_Сеть'!P19*КоэффМерча*P106)</f>
        <v/>
      </c>
      <c r="Q107" s="62">
        <f>IF(COUNTIF('01_Вводные'!$B$98:$E$98,'03_Сеть'!Q7)&gt;0,SUMIF('01_Вводные'!$B$98:$E$98,'03_Сеть'!Q7,'01_Вводные'!$B$99:$E$99),'03_Сеть'!Q19*КоэффМерча*Q106)</f>
        <v/>
      </c>
      <c r="R107" s="62">
        <f>IF(COUNTIF('01_Вводные'!$B$98:$E$98,'03_Сеть'!R7)&gt;0,SUMIF('01_Вводные'!$B$98:$E$98,'03_Сеть'!R7,'01_Вводные'!$B$99:$E$99),'03_Сеть'!R19*КоэффМерча*R106)</f>
        <v/>
      </c>
      <c r="S107" s="62">
        <f>IF(COUNTIF('01_Вводные'!$B$98:$E$98,'03_Сеть'!S7)&gt;0,SUMIF('01_Вводные'!$B$98:$E$98,'03_Сеть'!S7,'01_Вводные'!$B$99:$E$99),'03_Сеть'!S19*КоэффМерча*S106)</f>
        <v/>
      </c>
      <c r="T107" s="62">
        <f>IF(COUNTIF('01_Вводные'!$B$98:$E$98,'03_Сеть'!T7)&gt;0,SUMIF('01_Вводные'!$B$98:$E$98,'03_Сеть'!T7,'01_Вводные'!$B$99:$E$99),'03_Сеть'!T19*КоэффМерча*T106)</f>
        <v/>
      </c>
      <c r="U107" s="62">
        <f>IF(COUNTIF('01_Вводные'!$B$98:$E$98,'03_Сеть'!U7)&gt;0,SUMIF('01_Вводные'!$B$98:$E$98,'03_Сеть'!U7,'01_Вводные'!$B$99:$E$99),'03_Сеть'!U19*КоэффМерча*U106)</f>
        <v/>
      </c>
      <c r="V107" s="62">
        <f>IF(COUNTIF('01_Вводные'!$B$98:$E$98,'03_Сеть'!V7)&gt;0,SUMIF('01_Вводные'!$B$98:$E$98,'03_Сеть'!V7,'01_Вводные'!$B$99:$E$99),'03_Сеть'!V19*КоэффМерча*V106)</f>
        <v/>
      </c>
      <c r="W107" s="62">
        <f>IF(COUNTIF('01_Вводные'!$B$98:$E$98,'03_Сеть'!W7)&gt;0,SUMIF('01_Вводные'!$B$98:$E$98,'03_Сеть'!W7,'01_Вводные'!$B$99:$E$99),'03_Сеть'!W19*КоэффМерча*W106)</f>
        <v/>
      </c>
      <c r="X107" s="62">
        <f>IF(COUNTIF('01_Вводные'!$B$98:$E$98,'03_Сеть'!X7)&gt;0,SUMIF('01_Вводные'!$B$98:$E$98,'03_Сеть'!X7,'01_Вводные'!$B$99:$E$99),'03_Сеть'!X19*КоэффМерча*X106)</f>
        <v/>
      </c>
      <c r="Y107" s="62">
        <f>IF(COUNTIF('01_Вводные'!$B$98:$E$98,'03_Сеть'!Y7)&gt;0,SUMIF('01_Вводные'!$B$98:$E$98,'03_Сеть'!Y7,'01_Вводные'!$B$99:$E$99),'03_Сеть'!Y19*КоэффМерча*Y106)</f>
        <v/>
      </c>
      <c r="Z107" s="62">
        <f>IF(COUNTIF('01_Вводные'!$B$98:$E$98,'03_Сеть'!Z7)&gt;0,SUMIF('01_Вводные'!$B$98:$E$98,'03_Сеть'!Z7,'01_Вводные'!$B$99:$E$99),'03_Сеть'!Z19*КоэффМерча*Z106)</f>
        <v/>
      </c>
      <c r="AA107" s="62">
        <f>IF(COUNTIF('01_Вводные'!$B$98:$E$98,'03_Сеть'!AA7)&gt;0,SUMIF('01_Вводные'!$B$98:$E$98,'03_Сеть'!AA7,'01_Вводные'!$B$99:$E$99),'03_Сеть'!AA19*КоэффМерча*AA106)</f>
        <v/>
      </c>
      <c r="AB107" s="62">
        <f>IF(COUNTIF('01_Вводные'!$B$98:$E$98,'03_Сеть'!AB7)&gt;0,SUMIF('01_Вводные'!$B$98:$E$98,'03_Сеть'!AB7,'01_Вводные'!$B$99:$E$99),'03_Сеть'!AB19*КоэффМерча*AB106)</f>
        <v/>
      </c>
      <c r="AC107" s="62">
        <f>IF(COUNTIF('01_Вводные'!$B$98:$E$98,'03_Сеть'!AC7)&gt;0,SUMIF('01_Вводные'!$B$98:$E$98,'03_Сеть'!AC7,'01_Вводные'!$B$99:$E$99),'03_Сеть'!AC19*КоэффМерча*AC106)</f>
        <v/>
      </c>
      <c r="AD107" s="62">
        <f>IF(COUNTIF('01_Вводные'!$B$98:$E$98,'03_Сеть'!AD7)&gt;0,SUMIF('01_Вводные'!$B$98:$E$98,'03_Сеть'!AD7,'01_Вводные'!$B$99:$E$99),'03_Сеть'!AD19*КоэффМерча*AD106)</f>
        <v/>
      </c>
      <c r="AE107" s="62">
        <f>IF(COUNTIF('01_Вводные'!$B$98:$E$98,'03_Сеть'!AE7)&gt;0,SUMIF('01_Вводные'!$B$98:$E$98,'03_Сеть'!AE7,'01_Вводные'!$B$99:$E$99),'03_Сеть'!AE19*КоэффМерча*AE106)</f>
        <v/>
      </c>
      <c r="AF107" s="62">
        <f>IF(COUNTIF('01_Вводные'!$B$98:$E$98,'03_Сеть'!AF7)&gt;0,SUMIF('01_Вводные'!$B$98:$E$98,'03_Сеть'!AF7,'01_Вводные'!$B$99:$E$99),'03_Сеть'!AF19*КоэффМерча*AF106)</f>
        <v/>
      </c>
      <c r="AG107" s="62">
        <f>IF(COUNTIF('01_Вводные'!$B$98:$E$98,'03_Сеть'!AG7)&gt;0,SUMIF('01_Вводные'!$B$98:$E$98,'03_Сеть'!AG7,'01_Вводные'!$B$99:$E$99),'03_Сеть'!AG19*КоэффМерча*AG106)</f>
        <v/>
      </c>
      <c r="AH107" s="62">
        <f>IF(COUNTIF('01_Вводные'!$B$98:$E$98,'03_Сеть'!AH7)&gt;0,SUMIF('01_Вводные'!$B$98:$E$98,'03_Сеть'!AH7,'01_Вводные'!$B$99:$E$99),'03_Сеть'!AH19*КоэффМерча*AH106)</f>
        <v/>
      </c>
      <c r="AI107" s="62">
        <f>IF(COUNTIF('01_Вводные'!$B$98:$E$98,'03_Сеть'!AI7)&gt;0,SUMIF('01_Вводные'!$B$98:$E$98,'03_Сеть'!AI7,'01_Вводные'!$B$99:$E$99),'03_Сеть'!AI19*КоэффМерча*AI106)</f>
        <v/>
      </c>
      <c r="AJ107" s="62">
        <f>IF(COUNTIF('01_Вводные'!$B$98:$E$98,'03_Сеть'!AJ7)&gt;0,SUMIF('01_Вводные'!$B$98:$E$98,'03_Сеть'!AJ7,'01_Вводные'!$B$99:$E$99),'03_Сеть'!AJ19*КоэффМерча*AJ106)</f>
        <v/>
      </c>
      <c r="AK107" s="62">
        <f>IF(COUNTIF('01_Вводные'!$B$98:$E$98,'03_Сеть'!AK7)&gt;0,SUMIF('01_Вводные'!$B$98:$E$98,'03_Сеть'!AK7,'01_Вводные'!$B$99:$E$99),'03_Сеть'!AK19*КоэффМерча*AK106)</f>
        <v/>
      </c>
      <c r="AL107" s="62">
        <f>IF(COUNTIF('01_Вводные'!$B$98:$E$98,'03_Сеть'!AL7)&gt;0,SUMIF('01_Вводные'!$B$98:$E$98,'03_Сеть'!AL7,'01_Вводные'!$B$99:$E$99),'03_Сеть'!AL19*КоэффМерча*AL106)</f>
        <v/>
      </c>
      <c r="AM107" s="62">
        <f>IF(COUNTIF('01_Вводные'!$B$98:$E$98,'03_Сеть'!AM7)&gt;0,SUMIF('01_Вводные'!$B$98:$E$98,'03_Сеть'!AM7,'01_Вводные'!$B$99:$E$99),'03_Сеть'!AM19*КоэффМерча*AM106)</f>
        <v/>
      </c>
      <c r="AN107" s="62">
        <f>IF(COUNTIF('01_Вводные'!$B$98:$E$98,'03_Сеть'!AN7)&gt;0,SUMIF('01_Вводные'!$B$98:$E$98,'03_Сеть'!AN7,'01_Вводные'!$B$99:$E$99),'03_Сеть'!AN19*КоэффМерча*AN106)</f>
        <v/>
      </c>
      <c r="AO107" s="62">
        <f>IF(COUNTIF('01_Вводные'!$B$98:$E$98,'03_Сеть'!AO7)&gt;0,SUMIF('01_Вводные'!$B$98:$E$98,'03_Сеть'!AO7,'01_Вводные'!$B$99:$E$99),'03_Сеть'!AO19*КоэффМерча*AO106)</f>
        <v/>
      </c>
      <c r="AP107" s="62">
        <f>IF(COUNTIF('01_Вводные'!$B$98:$E$98,'03_Сеть'!AP7)&gt;0,SUMIF('01_Вводные'!$B$98:$E$98,'03_Сеть'!AP7,'01_Вводные'!$B$99:$E$99),'03_Сеть'!AP19*КоэффМерча*AP106)</f>
        <v/>
      </c>
      <c r="AQ107" s="62">
        <f>IF(COUNTIF('01_Вводные'!$B$98:$E$98,'03_Сеть'!AQ7)&gt;0,SUMIF('01_Вводные'!$B$98:$E$98,'03_Сеть'!AQ7,'01_Вводные'!$B$99:$E$99),'03_Сеть'!AQ19*КоэффМерча*AQ106)</f>
        <v/>
      </c>
      <c r="AR107" s="62">
        <f>IF(COUNTIF('01_Вводные'!$B$98:$E$98,'03_Сеть'!AR7)&gt;0,SUMIF('01_Вводные'!$B$98:$E$98,'03_Сеть'!AR7,'01_Вводные'!$B$99:$E$99),'03_Сеть'!AR19*КоэффМерча*AR106)</f>
        <v/>
      </c>
      <c r="AS107" s="62">
        <f>IF(COUNTIF('01_Вводные'!$B$98:$E$98,'03_Сеть'!AS7)&gt;0,SUMIF('01_Вводные'!$B$98:$E$98,'03_Сеть'!AS7,'01_Вводные'!$B$99:$E$99),'03_Сеть'!AS19*КоэффМерча*AS106)</f>
        <v/>
      </c>
      <c r="AT107" s="62">
        <f>IF(COUNTIF('01_Вводные'!$B$98:$E$98,'03_Сеть'!AT7)&gt;0,SUMIF('01_Вводные'!$B$98:$E$98,'03_Сеть'!AT7,'01_Вводные'!$B$99:$E$99),'03_Сеть'!AT19*КоэффМерча*AT106)</f>
        <v/>
      </c>
      <c r="AU107" s="62">
        <f>IF(COUNTIF('01_Вводные'!$B$98:$E$98,'03_Сеть'!AU7)&gt;0,SUMIF('01_Вводные'!$B$98:$E$98,'03_Сеть'!AU7,'01_Вводные'!$B$99:$E$99),'03_Сеть'!AU19*КоэффМерча*AU106)</f>
        <v/>
      </c>
      <c r="AV107" s="62">
        <f>IF(COUNTIF('01_Вводные'!$B$98:$E$98,'03_Сеть'!AV7)&gt;0,SUMIF('01_Вводные'!$B$98:$E$98,'03_Сеть'!AV7,'01_Вводные'!$B$99:$E$99),'03_Сеть'!AV19*КоэффМерча*AV106)</f>
        <v/>
      </c>
      <c r="AW107" s="62">
        <f>IF(COUNTIF('01_Вводные'!$B$98:$E$98,'03_Сеть'!AW7)&gt;0,SUMIF('01_Вводные'!$B$98:$E$98,'03_Сеть'!AW7,'01_Вводные'!$B$99:$E$99),'03_Сеть'!AW19*КоэффМерча*AW106)</f>
        <v/>
      </c>
      <c r="AX107" s="62">
        <f>IF(COUNTIF('01_Вводные'!$B$98:$E$98,'03_Сеть'!AX7)&gt;0,SUMIF('01_Вводные'!$B$98:$E$98,'03_Сеть'!AX7,'01_Вводные'!$B$99:$E$99),'03_Сеть'!AX19*КоэффМерча*AX106)</f>
        <v/>
      </c>
      <c r="AY107" s="62">
        <f>IF(COUNTIF('01_Вводные'!$B$98:$E$98,'03_Сеть'!AY7)&gt;0,SUMIF('01_Вводные'!$B$98:$E$98,'03_Сеть'!AY7,'01_Вводные'!$B$99:$E$99),'03_Сеть'!AY19*КоэффМерча*AY106)</f>
        <v/>
      </c>
      <c r="AZ107" s="62">
        <f>IF(COUNTIF('01_Вводные'!$B$98:$E$98,'03_Сеть'!AZ7)&gt;0,SUMIF('01_Вводные'!$B$98:$E$98,'03_Сеть'!AZ7,'01_Вводные'!$B$99:$E$99),'03_Сеть'!AZ19*КоэффМерча*AZ106)</f>
        <v/>
      </c>
      <c r="BA107" s="62">
        <f>IF(COUNTIF('01_Вводные'!$B$98:$E$98,'03_Сеть'!BA7)&gt;0,SUMIF('01_Вводные'!$B$98:$E$98,'03_Сеть'!BA7,'01_Вводные'!$B$99:$E$99),'03_Сеть'!BA19*КоэффМерча*BA106)</f>
        <v/>
      </c>
      <c r="BB107" s="62">
        <f>IF(COUNTIF('01_Вводные'!$B$98:$E$98,'03_Сеть'!BB7)&gt;0,SUMIF('01_Вводные'!$B$98:$E$98,'03_Сеть'!BB7,'01_Вводные'!$B$99:$E$99),'03_Сеть'!BB19*КоэффМерча*BB106)</f>
        <v/>
      </c>
      <c r="BC107" s="62">
        <f>IF(COUNTIF('01_Вводные'!$B$98:$E$98,'03_Сеть'!BC7)&gt;0,SUMIF('01_Вводные'!$B$98:$E$98,'03_Сеть'!BC7,'01_Вводные'!$B$99:$E$99),'03_Сеть'!BC19*КоэффМерча*BC106)</f>
        <v/>
      </c>
      <c r="BD107" s="62">
        <f>IF(COUNTIF('01_Вводные'!$B$98:$E$98,'03_Сеть'!BD7)&gt;0,SUMIF('01_Вводные'!$B$98:$E$98,'03_Сеть'!BD7,'01_Вводные'!$B$99:$E$99),'03_Сеть'!BD19*КоэффМерча*BD106)</f>
        <v/>
      </c>
      <c r="BE107" s="62">
        <f>IF(COUNTIF('01_Вводные'!$B$98:$E$98,'03_Сеть'!BE7)&gt;0,SUMIF('01_Вводные'!$B$98:$E$98,'03_Сеть'!BE7,'01_Вводные'!$B$99:$E$99),'03_Сеть'!BE19*КоэффМерча*BE106)</f>
        <v/>
      </c>
      <c r="BF107" s="62">
        <f>IF(COUNTIF('01_Вводные'!$B$98:$E$98,'03_Сеть'!BF7)&gt;0,SUMIF('01_Вводные'!$B$98:$E$98,'03_Сеть'!BF7,'01_Вводные'!$B$99:$E$99),'03_Сеть'!BF19*КоэффМерча*BF106)</f>
        <v/>
      </c>
      <c r="BG107" s="62">
        <f>IF(COUNTIF('01_Вводные'!$B$98:$E$98,'03_Сеть'!BG7)&gt;0,SUMIF('01_Вводные'!$B$98:$E$98,'03_Сеть'!BG7,'01_Вводные'!$B$99:$E$99),'03_Сеть'!BG19*КоэффМерча*BG106)</f>
        <v/>
      </c>
      <c r="BH107" s="62">
        <f>IF(COUNTIF('01_Вводные'!$B$98:$E$98,'03_Сеть'!BH7)&gt;0,SUMIF('01_Вводные'!$B$98:$E$98,'03_Сеть'!BH7,'01_Вводные'!$B$99:$E$99),'03_Сеть'!BH19*КоэффМерча*BH106)</f>
        <v/>
      </c>
      <c r="BI107" s="62">
        <f>IF(COUNTIF('01_Вводные'!$B$98:$E$98,'03_Сеть'!BI7)&gt;0,SUMIF('01_Вводные'!$B$98:$E$98,'03_Сеть'!BI7,'01_Вводные'!$B$99:$E$99),'03_Сеть'!BI19*КоэффМерча*BI106)</f>
        <v/>
      </c>
      <c r="BJ107" s="62">
        <f>IF(COUNTIF('01_Вводные'!$B$98:$E$98,'03_Сеть'!BJ7)&gt;0,SUMIF('01_Вводные'!$B$98:$E$98,'03_Сеть'!BJ7,'01_Вводные'!$B$99:$E$99),'03_Сеть'!BJ19*КоэффМерча*BJ106)</f>
        <v/>
      </c>
      <c r="BK107" s="62">
        <f>IF(COUNTIF('01_Вводные'!$B$98:$E$98,'03_Сеть'!BK7)&gt;0,SUMIF('01_Вводные'!$B$98:$E$98,'03_Сеть'!BK7,'01_Вводные'!$B$99:$E$99),'03_Сеть'!BK19*КоэффМерча*BK106)</f>
        <v/>
      </c>
      <c r="BL107" s="62">
        <f>IF(COUNTIF('01_Вводные'!$B$98:$E$98,'03_Сеть'!BL7)&gt;0,SUMIF('01_Вводные'!$B$98:$E$98,'03_Сеть'!BL7,'01_Вводные'!$B$99:$E$99),'03_Сеть'!BL19*КоэффМерча*BL106)</f>
        <v/>
      </c>
      <c r="BM107" s="62">
        <f>IF(COUNTIF('01_Вводные'!$B$98:$E$98,'03_Сеть'!BM7)&gt;0,SUMIF('01_Вводные'!$B$98:$E$98,'03_Сеть'!BM7,'01_Вводные'!$B$99:$E$99),'03_Сеть'!BM19*КоэффМерча*BM106)</f>
        <v/>
      </c>
      <c r="BN107" s="62">
        <f>IF(COUNTIF('01_Вводные'!$B$98:$E$98,'03_Сеть'!BN7)&gt;0,SUMIF('01_Вводные'!$B$98:$E$98,'03_Сеть'!BN7,'01_Вводные'!$B$99:$E$99),'03_Сеть'!BN19*КоэффМерча*BN106)</f>
        <v/>
      </c>
      <c r="BO107" s="62">
        <f>IF(COUNTIF('01_Вводные'!$B$98:$E$98,'03_Сеть'!BO7)&gt;0,SUMIF('01_Вводные'!$B$98:$E$98,'03_Сеть'!BO7,'01_Вводные'!$B$99:$E$99),'03_Сеть'!BO19*КоэффМерча*BO106)</f>
        <v/>
      </c>
      <c r="BP107" s="62">
        <f>IF(COUNTIF('01_Вводные'!$B$98:$E$98,'03_Сеть'!BP7)&gt;0,SUMIF('01_Вводные'!$B$98:$E$98,'03_Сеть'!BP7,'01_Вводные'!$B$99:$E$99),'03_Сеть'!BP19*КоэффМерча*BP106)</f>
        <v/>
      </c>
      <c r="BQ107" s="62">
        <f>IF(COUNTIF('01_Вводные'!$B$98:$E$98,'03_Сеть'!BQ7)&gt;0,SUMIF('01_Вводные'!$B$98:$E$98,'03_Сеть'!BQ7,'01_Вводные'!$B$99:$E$99),'03_Сеть'!BQ19*КоэффМерча*BQ106)</f>
        <v/>
      </c>
      <c r="BR107" s="62">
        <f>IF(COUNTIF('01_Вводные'!$B$98:$E$98,'03_Сеть'!BR7)&gt;0,SUMIF('01_Вводные'!$B$98:$E$98,'03_Сеть'!BR7,'01_Вводные'!$B$99:$E$99),'03_Сеть'!BR19*КоэффМерча*BR106)</f>
        <v/>
      </c>
      <c r="BS107" s="62">
        <f>IF(COUNTIF('01_Вводные'!$B$98:$E$98,'03_Сеть'!BS7)&gt;0,SUMIF('01_Вводные'!$B$98:$E$98,'03_Сеть'!BS7,'01_Вводные'!$B$99:$E$99),'03_Сеть'!BS19*КоэффМерча*BS106)</f>
        <v/>
      </c>
      <c r="BT107" s="62">
        <f>IF(COUNTIF('01_Вводные'!$B$98:$E$98,'03_Сеть'!BT7)&gt;0,SUMIF('01_Вводные'!$B$98:$E$98,'03_Сеть'!BT7,'01_Вводные'!$B$99:$E$99),'03_Сеть'!BT19*КоэффМерча*BT106)</f>
        <v/>
      </c>
      <c r="BU107" s="62">
        <f>IF(COUNTIF('01_Вводные'!$B$98:$E$98,'03_Сеть'!BU7)&gt;0,SUMIF('01_Вводные'!$B$98:$E$98,'03_Сеть'!BU7,'01_Вводные'!$B$99:$E$99),'03_Сеть'!BU19*КоэффМерча*BU106)</f>
        <v/>
      </c>
      <c r="BV107" s="62">
        <f>IF(COUNTIF('01_Вводные'!$B$98:$E$98,'03_Сеть'!BV7)&gt;0,SUMIF('01_Вводные'!$B$98:$E$98,'03_Сеть'!BV7,'01_Вводные'!$B$99:$E$99),'03_Сеть'!BV19*КоэффМерча*BV106)</f>
        <v/>
      </c>
      <c r="BW107" s="62">
        <f>IF(COUNTIF('01_Вводные'!$B$98:$E$98,'03_Сеть'!BW7)&gt;0,SUMIF('01_Вводные'!$B$98:$E$98,'03_Сеть'!BW7,'01_Вводные'!$B$99:$E$99),'03_Сеть'!BW19*КоэффМерча*BW106)</f>
        <v/>
      </c>
      <c r="BX107" s="62">
        <f>IF(COUNTIF('01_Вводные'!$B$98:$E$98,'03_Сеть'!BX7)&gt;0,SUMIF('01_Вводные'!$B$98:$E$98,'03_Сеть'!BX7,'01_Вводные'!$B$99:$E$99),'03_Сеть'!BX19*КоэффМерча*BX106)</f>
        <v/>
      </c>
      <c r="BY107" s="62">
        <f>IF(COUNTIF('01_Вводные'!$B$98:$E$98,'03_Сеть'!BY7)&gt;0,SUMIF('01_Вводные'!$B$98:$E$98,'03_Сеть'!BY7,'01_Вводные'!$B$99:$E$99),'03_Сеть'!BY19*КоэффМерча*BY106)</f>
        <v/>
      </c>
    </row>
    <row r="108" ht="15.75" customHeight="1" s="194">
      <c r="B108" s="54" t="inlineStr">
        <is>
          <t>Школы, покупающие форму повторно (по возрасту)</t>
        </is>
      </c>
      <c r="C108" s="55" t="n"/>
      <c r="D108" s="55" t="n"/>
      <c r="E108" s="55" t="n"/>
      <c r="F108" s="55" t="n"/>
      <c r="G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  <c r="W108" s="55" t="n"/>
      <c r="X108" s="55" t="n"/>
      <c r="Y108" s="55" t="n"/>
      <c r="Z108" s="55" t="n"/>
      <c r="AA108" s="55" t="n"/>
      <c r="AB108" s="55" t="n"/>
      <c r="AC108" s="55" t="n"/>
      <c r="AD108" s="55" t="n"/>
      <c r="AE108" s="55" t="n"/>
      <c r="AF108" s="55" t="n"/>
      <c r="AG108" s="55" t="n"/>
      <c r="AH108" s="55" t="n"/>
      <c r="AI108" s="55" t="n"/>
      <c r="AJ108" s="55" t="n"/>
      <c r="AK108" s="55" t="n"/>
      <c r="AL108" s="55" t="n"/>
      <c r="AM108" s="55" t="n"/>
      <c r="AN108" s="55" t="n"/>
      <c r="AO108" s="55" t="n"/>
      <c r="AP108" s="55" t="n"/>
      <c r="AQ108" s="55" t="n"/>
      <c r="AR108" s="55" t="n"/>
      <c r="AS108" s="55" t="n"/>
      <c r="AT108" s="55" t="n"/>
      <c r="AU108" s="55" t="n"/>
      <c r="AV108" s="55" t="n"/>
      <c r="AW108" s="55" t="n"/>
      <c r="AX108" s="55" t="n"/>
      <c r="AY108" s="55" t="n"/>
      <c r="AZ108" s="55" t="n"/>
      <c r="BA108" s="55" t="n"/>
      <c r="BB108" s="55" t="n"/>
      <c r="BC108" s="55" t="n"/>
      <c r="BD108" s="55" t="n"/>
      <c r="BE108" s="55" t="n"/>
      <c r="BF108" s="55" t="n"/>
      <c r="BG108" s="55" t="n"/>
      <c r="BH108" s="55" t="n"/>
      <c r="BI108" s="55" t="n"/>
      <c r="BJ108" s="55" t="n"/>
      <c r="BK108" s="55" t="n"/>
      <c r="BL108" s="55" t="n"/>
      <c r="BM108" s="55" t="n"/>
      <c r="BN108" s="55" t="n"/>
      <c r="BO108" s="55" t="n"/>
      <c r="BP108" s="55" t="n"/>
      <c r="BQ108" s="55" t="n"/>
      <c r="BR108" s="55" t="n"/>
      <c r="BS108" s="55" t="n"/>
      <c r="BT108" s="55" t="n"/>
      <c r="BU108" s="55" t="n"/>
      <c r="BV108" s="55" t="n"/>
      <c r="BW108" s="55" t="n"/>
      <c r="BX108" s="55" t="n"/>
      <c r="BY108" s="55" t="n"/>
    </row>
    <row r="109" ht="15.75" customHeight="1" s="194">
      <c r="B109" s="56" t="inlineStr">
        <is>
          <t>1 мес.</t>
        </is>
      </c>
      <c r="C109" s="56" t="inlineStr">
        <is>
          <t>чел.</t>
        </is>
      </c>
      <c r="D109" s="57" t="inlineStr">
        <is>
          <t>Школы моложе пяти месяцев повторно не закупаются — у них ещё идёт первичная закупка В колонках лет — значение на конец года, в «Итого» — на конец пятого года. Это остаток, а не сумма.</t>
        </is>
      </c>
      <c r="E109" s="85">
        <f>W109</f>
        <v/>
      </c>
      <c r="F109" s="85">
        <f>AI109</f>
        <v/>
      </c>
      <c r="G109" s="85">
        <f>AU109</f>
        <v/>
      </c>
      <c r="H109" s="85">
        <f>BG109</f>
        <v/>
      </c>
      <c r="I109" s="85">
        <f>BS109</f>
        <v/>
      </c>
      <c r="J109" s="86">
        <f>BS109</f>
        <v/>
      </c>
      <c r="L109" s="87">
        <f>0</f>
        <v/>
      </c>
      <c r="M109" s="87">
        <f>0</f>
        <v/>
      </c>
      <c r="N109" s="87">
        <f>0</f>
        <v/>
      </c>
      <c r="O109" s="87">
        <f>0</f>
        <v/>
      </c>
      <c r="P109" s="87">
        <f>0</f>
        <v/>
      </c>
      <c r="Q109" s="87">
        <f>0</f>
        <v/>
      </c>
      <c r="R109" s="87">
        <f>0</f>
        <v/>
      </c>
      <c r="S109" s="87">
        <f>0</f>
        <v/>
      </c>
      <c r="T109" s="87">
        <f>0</f>
        <v/>
      </c>
      <c r="U109" s="87">
        <f>0</f>
        <v/>
      </c>
      <c r="V109" s="87">
        <f>0</f>
        <v/>
      </c>
      <c r="W109" s="87">
        <f>0</f>
        <v/>
      </c>
      <c r="X109" s="87">
        <f>0</f>
        <v/>
      </c>
      <c r="Y109" s="87">
        <f>0</f>
        <v/>
      </c>
      <c r="Z109" s="87">
        <f>0</f>
        <v/>
      </c>
      <c r="AA109" s="87">
        <f>0</f>
        <v/>
      </c>
      <c r="AB109" s="87">
        <f>0</f>
        <v/>
      </c>
      <c r="AC109" s="87">
        <f>0</f>
        <v/>
      </c>
      <c r="AD109" s="87">
        <f>0</f>
        <v/>
      </c>
      <c r="AE109" s="87">
        <f>0</f>
        <v/>
      </c>
      <c r="AF109" s="87">
        <f>0</f>
        <v/>
      </c>
      <c r="AG109" s="87">
        <f>0</f>
        <v/>
      </c>
      <c r="AH109" s="87">
        <f>0</f>
        <v/>
      </c>
      <c r="AI109" s="87">
        <f>0</f>
        <v/>
      </c>
      <c r="AJ109" s="87">
        <f>0</f>
        <v/>
      </c>
      <c r="AK109" s="87">
        <f>0</f>
        <v/>
      </c>
      <c r="AL109" s="87">
        <f>0</f>
        <v/>
      </c>
      <c r="AM109" s="87">
        <f>0</f>
        <v/>
      </c>
      <c r="AN109" s="87">
        <f>0</f>
        <v/>
      </c>
      <c r="AO109" s="87">
        <f>0</f>
        <v/>
      </c>
      <c r="AP109" s="87">
        <f>0</f>
        <v/>
      </c>
      <c r="AQ109" s="87">
        <f>0</f>
        <v/>
      </c>
      <c r="AR109" s="87">
        <f>0</f>
        <v/>
      </c>
      <c r="AS109" s="87">
        <f>0</f>
        <v/>
      </c>
      <c r="AT109" s="87">
        <f>0</f>
        <v/>
      </c>
      <c r="AU109" s="87">
        <f>0</f>
        <v/>
      </c>
      <c r="AV109" s="87">
        <f>0</f>
        <v/>
      </c>
      <c r="AW109" s="87">
        <f>0</f>
        <v/>
      </c>
      <c r="AX109" s="87">
        <f>0</f>
        <v/>
      </c>
      <c r="AY109" s="87">
        <f>0</f>
        <v/>
      </c>
      <c r="AZ109" s="87">
        <f>0</f>
        <v/>
      </c>
      <c r="BA109" s="87">
        <f>0</f>
        <v/>
      </c>
      <c r="BB109" s="87">
        <f>0</f>
        <v/>
      </c>
      <c r="BC109" s="87">
        <f>0</f>
        <v/>
      </c>
      <c r="BD109" s="87">
        <f>0</f>
        <v/>
      </c>
      <c r="BE109" s="87">
        <f>0</f>
        <v/>
      </c>
      <c r="BF109" s="87">
        <f>0</f>
        <v/>
      </c>
      <c r="BG109" s="87">
        <f>0</f>
        <v/>
      </c>
      <c r="BH109" s="87">
        <f>0</f>
        <v/>
      </c>
      <c r="BI109" s="87">
        <f>0</f>
        <v/>
      </c>
      <c r="BJ109" s="87">
        <f>0</f>
        <v/>
      </c>
      <c r="BK109" s="87">
        <f>0</f>
        <v/>
      </c>
      <c r="BL109" s="87">
        <f>0</f>
        <v/>
      </c>
      <c r="BM109" s="87">
        <f>0</f>
        <v/>
      </c>
      <c r="BN109" s="87">
        <f>0</f>
        <v/>
      </c>
      <c r="BO109" s="87">
        <f>0</f>
        <v/>
      </c>
      <c r="BP109" s="87">
        <f>0</f>
        <v/>
      </c>
      <c r="BQ109" s="87">
        <f>0</f>
        <v/>
      </c>
      <c r="BR109" s="87">
        <f>0</f>
        <v/>
      </c>
      <c r="BS109" s="87">
        <f>0</f>
        <v/>
      </c>
      <c r="BT109" s="87">
        <f>0</f>
        <v/>
      </c>
      <c r="BU109" s="87">
        <f>0</f>
        <v/>
      </c>
      <c r="BV109" s="87">
        <f>0</f>
        <v/>
      </c>
      <c r="BW109" s="87">
        <f>0</f>
        <v/>
      </c>
      <c r="BX109" s="87">
        <f>0</f>
        <v/>
      </c>
      <c r="BY109" s="87">
        <f>0</f>
        <v/>
      </c>
    </row>
    <row r="110" ht="15.75" customHeight="1" s="194">
      <c r="B110" s="56" t="inlineStr">
        <is>
          <t>2 мес.</t>
        </is>
      </c>
      <c r="C110" s="56" t="inlineStr">
        <is>
          <t>чел.</t>
        </is>
      </c>
      <c r="D110" s="57" t="inlineStr">
        <is>
          <t>В колонках лет — значение на конец года, в «Итого» — на конец пятого года. Это остаток, а не сумма.</t>
        </is>
      </c>
      <c r="E110" s="85">
        <f>W110</f>
        <v/>
      </c>
      <c r="F110" s="85">
        <f>AI110</f>
        <v/>
      </c>
      <c r="G110" s="85">
        <f>AU110</f>
        <v/>
      </c>
      <c r="H110" s="85">
        <f>BG110</f>
        <v/>
      </c>
      <c r="I110" s="85">
        <f>BS110</f>
        <v/>
      </c>
      <c r="J110" s="86">
        <f>BS110</f>
        <v/>
      </c>
      <c r="L110" s="87">
        <f>0</f>
        <v/>
      </c>
      <c r="M110" s="87">
        <f>0</f>
        <v/>
      </c>
      <c r="N110" s="87">
        <f>0</f>
        <v/>
      </c>
      <c r="O110" s="87">
        <f>0</f>
        <v/>
      </c>
      <c r="P110" s="87">
        <f>0</f>
        <v/>
      </c>
      <c r="Q110" s="87">
        <f>0</f>
        <v/>
      </c>
      <c r="R110" s="87">
        <f>0</f>
        <v/>
      </c>
      <c r="S110" s="87">
        <f>0</f>
        <v/>
      </c>
      <c r="T110" s="87">
        <f>0</f>
        <v/>
      </c>
      <c r="U110" s="87">
        <f>0</f>
        <v/>
      </c>
      <c r="V110" s="87">
        <f>0</f>
        <v/>
      </c>
      <c r="W110" s="87">
        <f>0</f>
        <v/>
      </c>
      <c r="X110" s="87">
        <f>0</f>
        <v/>
      </c>
      <c r="Y110" s="87">
        <f>0</f>
        <v/>
      </c>
      <c r="Z110" s="87">
        <f>0</f>
        <v/>
      </c>
      <c r="AA110" s="87">
        <f>0</f>
        <v/>
      </c>
      <c r="AB110" s="87">
        <f>0</f>
        <v/>
      </c>
      <c r="AC110" s="87">
        <f>0</f>
        <v/>
      </c>
      <c r="AD110" s="87">
        <f>0</f>
        <v/>
      </c>
      <c r="AE110" s="87">
        <f>0</f>
        <v/>
      </c>
      <c r="AF110" s="87">
        <f>0</f>
        <v/>
      </c>
      <c r="AG110" s="87">
        <f>0</f>
        <v/>
      </c>
      <c r="AH110" s="87">
        <f>0</f>
        <v/>
      </c>
      <c r="AI110" s="87">
        <f>0</f>
        <v/>
      </c>
      <c r="AJ110" s="87">
        <f>0</f>
        <v/>
      </c>
      <c r="AK110" s="87">
        <f>0</f>
        <v/>
      </c>
      <c r="AL110" s="87">
        <f>0</f>
        <v/>
      </c>
      <c r="AM110" s="87">
        <f>0</f>
        <v/>
      </c>
      <c r="AN110" s="87">
        <f>0</f>
        <v/>
      </c>
      <c r="AO110" s="87">
        <f>0</f>
        <v/>
      </c>
      <c r="AP110" s="87">
        <f>0</f>
        <v/>
      </c>
      <c r="AQ110" s="87">
        <f>0</f>
        <v/>
      </c>
      <c r="AR110" s="87">
        <f>0</f>
        <v/>
      </c>
      <c r="AS110" s="87">
        <f>0</f>
        <v/>
      </c>
      <c r="AT110" s="87">
        <f>0</f>
        <v/>
      </c>
      <c r="AU110" s="87">
        <f>0</f>
        <v/>
      </c>
      <c r="AV110" s="87">
        <f>0</f>
        <v/>
      </c>
      <c r="AW110" s="87">
        <f>0</f>
        <v/>
      </c>
      <c r="AX110" s="87">
        <f>0</f>
        <v/>
      </c>
      <c r="AY110" s="87">
        <f>0</f>
        <v/>
      </c>
      <c r="AZ110" s="87">
        <f>0</f>
        <v/>
      </c>
      <c r="BA110" s="87">
        <f>0</f>
        <v/>
      </c>
      <c r="BB110" s="87">
        <f>0</f>
        <v/>
      </c>
      <c r="BC110" s="87">
        <f>0</f>
        <v/>
      </c>
      <c r="BD110" s="87">
        <f>0</f>
        <v/>
      </c>
      <c r="BE110" s="87">
        <f>0</f>
        <v/>
      </c>
      <c r="BF110" s="87">
        <f>0</f>
        <v/>
      </c>
      <c r="BG110" s="87">
        <f>0</f>
        <v/>
      </c>
      <c r="BH110" s="87">
        <f>0</f>
        <v/>
      </c>
      <c r="BI110" s="87">
        <f>0</f>
        <v/>
      </c>
      <c r="BJ110" s="87">
        <f>0</f>
        <v/>
      </c>
      <c r="BK110" s="87">
        <f>0</f>
        <v/>
      </c>
      <c r="BL110" s="87">
        <f>0</f>
        <v/>
      </c>
      <c r="BM110" s="87">
        <f>0</f>
        <v/>
      </c>
      <c r="BN110" s="87">
        <f>0</f>
        <v/>
      </c>
      <c r="BO110" s="87">
        <f>0</f>
        <v/>
      </c>
      <c r="BP110" s="87">
        <f>0</f>
        <v/>
      </c>
      <c r="BQ110" s="87">
        <f>0</f>
        <v/>
      </c>
      <c r="BR110" s="87">
        <f>0</f>
        <v/>
      </c>
      <c r="BS110" s="87">
        <f>0</f>
        <v/>
      </c>
      <c r="BT110" s="87">
        <f>0</f>
        <v/>
      </c>
      <c r="BU110" s="87">
        <f>0</f>
        <v/>
      </c>
      <c r="BV110" s="87">
        <f>0</f>
        <v/>
      </c>
      <c r="BW110" s="87">
        <f>0</f>
        <v/>
      </c>
      <c r="BX110" s="87">
        <f>0</f>
        <v/>
      </c>
      <c r="BY110" s="87">
        <f>0</f>
        <v/>
      </c>
    </row>
    <row r="111" ht="15.75" customHeight="1" s="194">
      <c r="B111" s="56" t="inlineStr">
        <is>
          <t>3 мес.</t>
        </is>
      </c>
      <c r="C111" s="56" t="inlineStr">
        <is>
          <t>чел.</t>
        </is>
      </c>
      <c r="D111" s="57" t="inlineStr">
        <is>
          <t>В колонках лет — значение на конец года, в «Итого» — на конец пятого года. Это остаток, а не сумма.</t>
        </is>
      </c>
      <c r="E111" s="85">
        <f>W111</f>
        <v/>
      </c>
      <c r="F111" s="85">
        <f>AI111</f>
        <v/>
      </c>
      <c r="G111" s="85">
        <f>AU111</f>
        <v/>
      </c>
      <c r="H111" s="85">
        <f>BG111</f>
        <v/>
      </c>
      <c r="I111" s="85">
        <f>BS111</f>
        <v/>
      </c>
      <c r="J111" s="86">
        <f>BS111</f>
        <v/>
      </c>
      <c r="L111" s="87">
        <f>0</f>
        <v/>
      </c>
      <c r="M111" s="87">
        <f>0</f>
        <v/>
      </c>
      <c r="N111" s="87">
        <f>0</f>
        <v/>
      </c>
      <c r="O111" s="87">
        <f>0</f>
        <v/>
      </c>
      <c r="P111" s="87">
        <f>0</f>
        <v/>
      </c>
      <c r="Q111" s="87">
        <f>0</f>
        <v/>
      </c>
      <c r="R111" s="87">
        <f>0</f>
        <v/>
      </c>
      <c r="S111" s="87">
        <f>0</f>
        <v/>
      </c>
      <c r="T111" s="87">
        <f>0</f>
        <v/>
      </c>
      <c r="U111" s="87">
        <f>0</f>
        <v/>
      </c>
      <c r="V111" s="87">
        <f>0</f>
        <v/>
      </c>
      <c r="W111" s="87">
        <f>0</f>
        <v/>
      </c>
      <c r="X111" s="87">
        <f>0</f>
        <v/>
      </c>
      <c r="Y111" s="87">
        <f>0</f>
        <v/>
      </c>
      <c r="Z111" s="87">
        <f>0</f>
        <v/>
      </c>
      <c r="AA111" s="87">
        <f>0</f>
        <v/>
      </c>
      <c r="AB111" s="87">
        <f>0</f>
        <v/>
      </c>
      <c r="AC111" s="87">
        <f>0</f>
        <v/>
      </c>
      <c r="AD111" s="87">
        <f>0</f>
        <v/>
      </c>
      <c r="AE111" s="87">
        <f>0</f>
        <v/>
      </c>
      <c r="AF111" s="87">
        <f>0</f>
        <v/>
      </c>
      <c r="AG111" s="87">
        <f>0</f>
        <v/>
      </c>
      <c r="AH111" s="87">
        <f>0</f>
        <v/>
      </c>
      <c r="AI111" s="87">
        <f>0</f>
        <v/>
      </c>
      <c r="AJ111" s="87">
        <f>0</f>
        <v/>
      </c>
      <c r="AK111" s="87">
        <f>0</f>
        <v/>
      </c>
      <c r="AL111" s="87">
        <f>0</f>
        <v/>
      </c>
      <c r="AM111" s="87">
        <f>0</f>
        <v/>
      </c>
      <c r="AN111" s="87">
        <f>0</f>
        <v/>
      </c>
      <c r="AO111" s="87">
        <f>0</f>
        <v/>
      </c>
      <c r="AP111" s="87">
        <f>0</f>
        <v/>
      </c>
      <c r="AQ111" s="87">
        <f>0</f>
        <v/>
      </c>
      <c r="AR111" s="87">
        <f>0</f>
        <v/>
      </c>
      <c r="AS111" s="87">
        <f>0</f>
        <v/>
      </c>
      <c r="AT111" s="87">
        <f>0</f>
        <v/>
      </c>
      <c r="AU111" s="87">
        <f>0</f>
        <v/>
      </c>
      <c r="AV111" s="87">
        <f>0</f>
        <v/>
      </c>
      <c r="AW111" s="87">
        <f>0</f>
        <v/>
      </c>
      <c r="AX111" s="87">
        <f>0</f>
        <v/>
      </c>
      <c r="AY111" s="87">
        <f>0</f>
        <v/>
      </c>
      <c r="AZ111" s="87">
        <f>0</f>
        <v/>
      </c>
      <c r="BA111" s="87">
        <f>0</f>
        <v/>
      </c>
      <c r="BB111" s="87">
        <f>0</f>
        <v/>
      </c>
      <c r="BC111" s="87">
        <f>0</f>
        <v/>
      </c>
      <c r="BD111" s="87">
        <f>0</f>
        <v/>
      </c>
      <c r="BE111" s="87">
        <f>0</f>
        <v/>
      </c>
      <c r="BF111" s="87">
        <f>0</f>
        <v/>
      </c>
      <c r="BG111" s="87">
        <f>0</f>
        <v/>
      </c>
      <c r="BH111" s="87">
        <f>0</f>
        <v/>
      </c>
      <c r="BI111" s="87">
        <f>0</f>
        <v/>
      </c>
      <c r="BJ111" s="87">
        <f>0</f>
        <v/>
      </c>
      <c r="BK111" s="87">
        <f>0</f>
        <v/>
      </c>
      <c r="BL111" s="87">
        <f>0</f>
        <v/>
      </c>
      <c r="BM111" s="87">
        <f>0</f>
        <v/>
      </c>
      <c r="BN111" s="87">
        <f>0</f>
        <v/>
      </c>
      <c r="BO111" s="87">
        <f>0</f>
        <v/>
      </c>
      <c r="BP111" s="87">
        <f>0</f>
        <v/>
      </c>
      <c r="BQ111" s="87">
        <f>0</f>
        <v/>
      </c>
      <c r="BR111" s="87">
        <f>0</f>
        <v/>
      </c>
      <c r="BS111" s="87">
        <f>0</f>
        <v/>
      </c>
      <c r="BT111" s="87">
        <f>0</f>
        <v/>
      </c>
      <c r="BU111" s="87">
        <f>0</f>
        <v/>
      </c>
      <c r="BV111" s="87">
        <f>0</f>
        <v/>
      </c>
      <c r="BW111" s="87">
        <f>0</f>
        <v/>
      </c>
      <c r="BX111" s="87">
        <f>0</f>
        <v/>
      </c>
      <c r="BY111" s="87">
        <f>0</f>
        <v/>
      </c>
    </row>
    <row r="112" ht="15.75" customHeight="1" s="194">
      <c r="B112" s="56" t="inlineStr">
        <is>
          <t>4 мес.</t>
        </is>
      </c>
      <c r="C112" s="56" t="inlineStr">
        <is>
          <t>чел.</t>
        </is>
      </c>
      <c r="D112" s="57" t="inlineStr">
        <is>
          <t>В колонках лет — значение на конец года, в «Итого» — на конец пятого года. Это остаток, а не сумма.</t>
        </is>
      </c>
      <c r="E112" s="85">
        <f>W112</f>
        <v/>
      </c>
      <c r="F112" s="85">
        <f>AI112</f>
        <v/>
      </c>
      <c r="G112" s="85">
        <f>AU112</f>
        <v/>
      </c>
      <c r="H112" s="85">
        <f>BG112</f>
        <v/>
      </c>
      <c r="I112" s="85">
        <f>BS112</f>
        <v/>
      </c>
      <c r="J112" s="86">
        <f>BS112</f>
        <v/>
      </c>
      <c r="L112" s="87">
        <f>0</f>
        <v/>
      </c>
      <c r="M112" s="87">
        <f>0</f>
        <v/>
      </c>
      <c r="N112" s="87">
        <f>0</f>
        <v/>
      </c>
      <c r="O112" s="87">
        <f>0</f>
        <v/>
      </c>
      <c r="P112" s="87">
        <f>0</f>
        <v/>
      </c>
      <c r="Q112" s="87">
        <f>0</f>
        <v/>
      </c>
      <c r="R112" s="87">
        <f>0</f>
        <v/>
      </c>
      <c r="S112" s="87">
        <f>0</f>
        <v/>
      </c>
      <c r="T112" s="87">
        <f>0</f>
        <v/>
      </c>
      <c r="U112" s="87">
        <f>0</f>
        <v/>
      </c>
      <c r="V112" s="87">
        <f>0</f>
        <v/>
      </c>
      <c r="W112" s="87">
        <f>0</f>
        <v/>
      </c>
      <c r="X112" s="87">
        <f>0</f>
        <v/>
      </c>
      <c r="Y112" s="87">
        <f>0</f>
        <v/>
      </c>
      <c r="Z112" s="87">
        <f>0</f>
        <v/>
      </c>
      <c r="AA112" s="87">
        <f>0</f>
        <v/>
      </c>
      <c r="AB112" s="87">
        <f>0</f>
        <v/>
      </c>
      <c r="AC112" s="87">
        <f>0</f>
        <v/>
      </c>
      <c r="AD112" s="87">
        <f>0</f>
        <v/>
      </c>
      <c r="AE112" s="87">
        <f>0</f>
        <v/>
      </c>
      <c r="AF112" s="87">
        <f>0</f>
        <v/>
      </c>
      <c r="AG112" s="87">
        <f>0</f>
        <v/>
      </c>
      <c r="AH112" s="87">
        <f>0</f>
        <v/>
      </c>
      <c r="AI112" s="87">
        <f>0</f>
        <v/>
      </c>
      <c r="AJ112" s="87">
        <f>0</f>
        <v/>
      </c>
      <c r="AK112" s="87">
        <f>0</f>
        <v/>
      </c>
      <c r="AL112" s="87">
        <f>0</f>
        <v/>
      </c>
      <c r="AM112" s="87">
        <f>0</f>
        <v/>
      </c>
      <c r="AN112" s="87">
        <f>0</f>
        <v/>
      </c>
      <c r="AO112" s="87">
        <f>0</f>
        <v/>
      </c>
      <c r="AP112" s="87">
        <f>0</f>
        <v/>
      </c>
      <c r="AQ112" s="87">
        <f>0</f>
        <v/>
      </c>
      <c r="AR112" s="87">
        <f>0</f>
        <v/>
      </c>
      <c r="AS112" s="87">
        <f>0</f>
        <v/>
      </c>
      <c r="AT112" s="87">
        <f>0</f>
        <v/>
      </c>
      <c r="AU112" s="87">
        <f>0</f>
        <v/>
      </c>
      <c r="AV112" s="87">
        <f>0</f>
        <v/>
      </c>
      <c r="AW112" s="87">
        <f>0</f>
        <v/>
      </c>
      <c r="AX112" s="87">
        <f>0</f>
        <v/>
      </c>
      <c r="AY112" s="87">
        <f>0</f>
        <v/>
      </c>
      <c r="AZ112" s="87">
        <f>0</f>
        <v/>
      </c>
      <c r="BA112" s="87">
        <f>0</f>
        <v/>
      </c>
      <c r="BB112" s="87">
        <f>0</f>
        <v/>
      </c>
      <c r="BC112" s="87">
        <f>0</f>
        <v/>
      </c>
      <c r="BD112" s="87">
        <f>0</f>
        <v/>
      </c>
      <c r="BE112" s="87">
        <f>0</f>
        <v/>
      </c>
      <c r="BF112" s="87">
        <f>0</f>
        <v/>
      </c>
      <c r="BG112" s="87">
        <f>0</f>
        <v/>
      </c>
      <c r="BH112" s="87">
        <f>0</f>
        <v/>
      </c>
      <c r="BI112" s="87">
        <f>0</f>
        <v/>
      </c>
      <c r="BJ112" s="87">
        <f>0</f>
        <v/>
      </c>
      <c r="BK112" s="87">
        <f>0</f>
        <v/>
      </c>
      <c r="BL112" s="87">
        <f>0</f>
        <v/>
      </c>
      <c r="BM112" s="87">
        <f>0</f>
        <v/>
      </c>
      <c r="BN112" s="87">
        <f>0</f>
        <v/>
      </c>
      <c r="BO112" s="87">
        <f>0</f>
        <v/>
      </c>
      <c r="BP112" s="87">
        <f>0</f>
        <v/>
      </c>
      <c r="BQ112" s="87">
        <f>0</f>
        <v/>
      </c>
      <c r="BR112" s="87">
        <f>0</f>
        <v/>
      </c>
      <c r="BS112" s="87">
        <f>0</f>
        <v/>
      </c>
      <c r="BT112" s="87">
        <f>0</f>
        <v/>
      </c>
      <c r="BU112" s="87">
        <f>0</f>
        <v/>
      </c>
      <c r="BV112" s="87">
        <f>0</f>
        <v/>
      </c>
      <c r="BW112" s="87">
        <f>0</f>
        <v/>
      </c>
      <c r="BX112" s="87">
        <f>0</f>
        <v/>
      </c>
      <c r="BY112" s="87">
        <f>0</f>
        <v/>
      </c>
    </row>
    <row r="113" ht="15.75" customHeight="1" s="194">
      <c r="B113" s="56" t="inlineStr">
        <is>
          <t>5 мес.</t>
        </is>
      </c>
      <c r="C113" s="56" t="inlineStr">
        <is>
          <t>чел.</t>
        </is>
      </c>
      <c r="D113" s="57" t="inlineStr">
        <is>
          <t>Покупают заново, если уже пережили начало сезона В колонках лет — значение на конец года, в «Итого» — на конец пятого года. Это остаток, а не сумма.</t>
        </is>
      </c>
      <c r="E113" s="85">
        <f>W113</f>
        <v/>
      </c>
      <c r="F113" s="85">
        <f>AI113</f>
        <v/>
      </c>
      <c r="G113" s="85">
        <f>AU113</f>
        <v/>
      </c>
      <c r="H113" s="85">
        <f>BG113</f>
        <v/>
      </c>
      <c r="I113" s="85">
        <f>BS113</f>
        <v/>
      </c>
      <c r="J113" s="86">
        <f>BS113</f>
        <v/>
      </c>
      <c r="L113" s="87">
        <f>IF(AND(ПравилоПовтора="Новый сезон",5-1&gt;MOD(MONTH('03_Сеть'!L7)-9,12)),'03_Сеть'!L27*CapacityAge05*МножительДетей,0)</f>
        <v/>
      </c>
      <c r="M113" s="87">
        <f>IF(AND(ПравилоПовтора="Новый сезон",5-1&gt;MOD(MONTH('03_Сеть'!M7)-9,12)),'03_Сеть'!M27*CapacityAge05*МножительДетей,0)</f>
        <v/>
      </c>
      <c r="N113" s="87">
        <f>IF(AND(ПравилоПовтора="Новый сезон",5-1&gt;MOD(MONTH('03_Сеть'!N7)-9,12)),'03_Сеть'!N27*CapacityAge05*МножительДетей,0)</f>
        <v/>
      </c>
      <c r="O113" s="87">
        <f>IF(AND(ПравилоПовтора="Новый сезон",5-1&gt;MOD(MONTH('03_Сеть'!O7)-9,12)),'03_Сеть'!O27*CapacityAge05*МножительДетей,0)</f>
        <v/>
      </c>
      <c r="P113" s="87">
        <f>IF(AND(ПравилоПовтора="Новый сезон",5-1&gt;MOD(MONTH('03_Сеть'!P7)-9,12)),'03_Сеть'!P27*CapacityAge05*МножительДетей,0)</f>
        <v/>
      </c>
      <c r="Q113" s="87">
        <f>IF(AND(ПравилоПовтора="Новый сезон",5-1&gt;MOD(MONTH('03_Сеть'!Q7)-9,12)),'03_Сеть'!Q27*CapacityAge05*МножительДетей,0)</f>
        <v/>
      </c>
      <c r="R113" s="87">
        <f>IF(AND(ПравилоПовтора="Новый сезон",5-1&gt;MOD(MONTH('03_Сеть'!R7)-9,12)),'03_Сеть'!R27*CapacityAge05*МножительДетей,0)</f>
        <v/>
      </c>
      <c r="S113" s="87">
        <f>IF(AND(ПравилоПовтора="Новый сезон",5-1&gt;MOD(MONTH('03_Сеть'!S7)-9,12)),'03_Сеть'!S27*CapacityAge05*МножительДетей,0)</f>
        <v/>
      </c>
      <c r="T113" s="87">
        <f>IF(AND(ПравилоПовтора="Новый сезон",5-1&gt;MOD(MONTH('03_Сеть'!T7)-9,12)),'03_Сеть'!T27*CapacityAge05*МножительДетей,0)</f>
        <v/>
      </c>
      <c r="U113" s="87">
        <f>IF(AND(ПравилоПовтора="Новый сезон",5-1&gt;MOD(MONTH('03_Сеть'!U7)-9,12)),'03_Сеть'!U27*CapacityAge05*МножительДетей,0)</f>
        <v/>
      </c>
      <c r="V113" s="87">
        <f>IF(AND(ПравилоПовтора="Новый сезон",5-1&gt;MOD(MONTH('03_Сеть'!V7)-9,12)),'03_Сеть'!V27*CapacityAge05*МножительДетей,0)</f>
        <v/>
      </c>
      <c r="W113" s="87">
        <f>IF(AND(ПравилоПовтора="Новый сезон",5-1&gt;MOD(MONTH('03_Сеть'!W7)-9,12)),'03_Сеть'!W27*CapacityAge05*МножительДетей,0)</f>
        <v/>
      </c>
      <c r="X113" s="87">
        <f>IF(AND(ПравилоПовтора="Новый сезон",5-1&gt;MOD(MONTH('03_Сеть'!X7)-9,12)),'03_Сеть'!X27*CapacityAge05*МножительДетей,0)</f>
        <v/>
      </c>
      <c r="Y113" s="87">
        <f>IF(AND(ПравилоПовтора="Новый сезон",5-1&gt;MOD(MONTH('03_Сеть'!Y7)-9,12)),'03_Сеть'!Y27*CapacityAge05*МножительДетей,0)</f>
        <v/>
      </c>
      <c r="Z113" s="87">
        <f>IF(AND(ПравилоПовтора="Новый сезон",5-1&gt;MOD(MONTH('03_Сеть'!Z7)-9,12)),'03_Сеть'!Z27*CapacityAge05*МножительДетей,0)</f>
        <v/>
      </c>
      <c r="AA113" s="87">
        <f>IF(AND(ПравилоПовтора="Новый сезон",5-1&gt;MOD(MONTH('03_Сеть'!AA7)-9,12)),'03_Сеть'!AA27*CapacityAge05*МножительДетей,0)</f>
        <v/>
      </c>
      <c r="AB113" s="87">
        <f>IF(AND(ПравилоПовтора="Новый сезон",5-1&gt;MOD(MONTH('03_Сеть'!AB7)-9,12)),'03_Сеть'!AB27*CapacityAge05*МножительДетей,0)</f>
        <v/>
      </c>
      <c r="AC113" s="87">
        <f>IF(AND(ПравилоПовтора="Новый сезон",5-1&gt;MOD(MONTH('03_Сеть'!AC7)-9,12)),'03_Сеть'!AC27*CapacityAge05*МножительДетей,0)</f>
        <v/>
      </c>
      <c r="AD113" s="87">
        <f>IF(AND(ПравилоПовтора="Новый сезон",5-1&gt;MOD(MONTH('03_Сеть'!AD7)-9,12)),'03_Сеть'!AD27*CapacityAge05*МножительДетей,0)</f>
        <v/>
      </c>
      <c r="AE113" s="87">
        <f>IF(AND(ПравилоПовтора="Новый сезон",5-1&gt;MOD(MONTH('03_Сеть'!AE7)-9,12)),'03_Сеть'!AE27*CapacityAge05*МножительДетей,0)</f>
        <v/>
      </c>
      <c r="AF113" s="87">
        <f>IF(AND(ПравилоПовтора="Новый сезон",5-1&gt;MOD(MONTH('03_Сеть'!AF7)-9,12)),'03_Сеть'!AF27*CapacityAge05*МножительДетей,0)</f>
        <v/>
      </c>
      <c r="AG113" s="87">
        <f>IF(AND(ПравилоПовтора="Новый сезон",5-1&gt;MOD(MONTH('03_Сеть'!AG7)-9,12)),'03_Сеть'!AG27*CapacityAge05*МножительДетей,0)</f>
        <v/>
      </c>
      <c r="AH113" s="87">
        <f>IF(AND(ПравилоПовтора="Новый сезон",5-1&gt;MOD(MONTH('03_Сеть'!AH7)-9,12)),'03_Сеть'!AH27*CapacityAge05*МножительДетей,0)</f>
        <v/>
      </c>
      <c r="AI113" s="87">
        <f>IF(AND(ПравилоПовтора="Новый сезон",5-1&gt;MOD(MONTH('03_Сеть'!AI7)-9,12)),'03_Сеть'!AI27*CapacityAge05*МножительДетей,0)</f>
        <v/>
      </c>
      <c r="AJ113" s="87">
        <f>IF(AND(ПравилоПовтора="Новый сезон",5-1&gt;MOD(MONTH('03_Сеть'!AJ7)-9,12)),'03_Сеть'!AJ27*CapacityAge05*МножительДетей,0)</f>
        <v/>
      </c>
      <c r="AK113" s="87">
        <f>IF(AND(ПравилоПовтора="Новый сезон",5-1&gt;MOD(MONTH('03_Сеть'!AK7)-9,12)),'03_Сеть'!AK27*CapacityAge05*МножительДетей,0)</f>
        <v/>
      </c>
      <c r="AL113" s="87">
        <f>IF(AND(ПравилоПовтора="Новый сезон",5-1&gt;MOD(MONTH('03_Сеть'!AL7)-9,12)),'03_Сеть'!AL27*CapacityAge05*МножительДетей,0)</f>
        <v/>
      </c>
      <c r="AM113" s="87">
        <f>IF(AND(ПравилоПовтора="Новый сезон",5-1&gt;MOD(MONTH('03_Сеть'!AM7)-9,12)),'03_Сеть'!AM27*CapacityAge05*МножительДетей,0)</f>
        <v/>
      </c>
      <c r="AN113" s="87">
        <f>IF(AND(ПравилоПовтора="Новый сезон",5-1&gt;MOD(MONTH('03_Сеть'!AN7)-9,12)),'03_Сеть'!AN27*CapacityAge05*МножительДетей,0)</f>
        <v/>
      </c>
      <c r="AO113" s="87">
        <f>IF(AND(ПравилоПовтора="Новый сезон",5-1&gt;MOD(MONTH('03_Сеть'!AO7)-9,12)),'03_Сеть'!AO27*CapacityAge05*МножительДетей,0)</f>
        <v/>
      </c>
      <c r="AP113" s="87">
        <f>IF(AND(ПравилоПовтора="Новый сезон",5-1&gt;MOD(MONTH('03_Сеть'!AP7)-9,12)),'03_Сеть'!AP27*CapacityAge05*МножительДетей,0)</f>
        <v/>
      </c>
      <c r="AQ113" s="87">
        <f>IF(AND(ПравилоПовтора="Новый сезон",5-1&gt;MOD(MONTH('03_Сеть'!AQ7)-9,12)),'03_Сеть'!AQ27*CapacityAge05*МножительДетей,0)</f>
        <v/>
      </c>
      <c r="AR113" s="87">
        <f>IF(AND(ПравилоПовтора="Новый сезон",5-1&gt;MOD(MONTH('03_Сеть'!AR7)-9,12)),'03_Сеть'!AR27*CapacityAge05*МножительДетей,0)</f>
        <v/>
      </c>
      <c r="AS113" s="87">
        <f>IF(AND(ПравилоПовтора="Новый сезон",5-1&gt;MOD(MONTH('03_Сеть'!AS7)-9,12)),'03_Сеть'!AS27*CapacityAge05*МножительДетей,0)</f>
        <v/>
      </c>
      <c r="AT113" s="87">
        <f>IF(AND(ПравилоПовтора="Новый сезон",5-1&gt;MOD(MONTH('03_Сеть'!AT7)-9,12)),'03_Сеть'!AT27*CapacityAge05*МножительДетей,0)</f>
        <v/>
      </c>
      <c r="AU113" s="87">
        <f>IF(AND(ПравилоПовтора="Новый сезон",5-1&gt;MOD(MONTH('03_Сеть'!AU7)-9,12)),'03_Сеть'!AU27*CapacityAge05*МножительДетей,0)</f>
        <v/>
      </c>
      <c r="AV113" s="87">
        <f>IF(AND(ПравилоПовтора="Новый сезон",5-1&gt;MOD(MONTH('03_Сеть'!AV7)-9,12)),'03_Сеть'!AV27*CapacityAge05*МножительДетей,0)</f>
        <v/>
      </c>
      <c r="AW113" s="87">
        <f>IF(AND(ПравилоПовтора="Новый сезон",5-1&gt;MOD(MONTH('03_Сеть'!AW7)-9,12)),'03_Сеть'!AW27*CapacityAge05*МножительДетей,0)</f>
        <v/>
      </c>
      <c r="AX113" s="87">
        <f>IF(AND(ПравилоПовтора="Новый сезон",5-1&gt;MOD(MONTH('03_Сеть'!AX7)-9,12)),'03_Сеть'!AX27*CapacityAge05*МножительДетей,0)</f>
        <v/>
      </c>
      <c r="AY113" s="87">
        <f>IF(AND(ПравилоПовтора="Новый сезон",5-1&gt;MOD(MONTH('03_Сеть'!AY7)-9,12)),'03_Сеть'!AY27*CapacityAge05*МножительДетей,0)</f>
        <v/>
      </c>
      <c r="AZ113" s="87">
        <f>IF(AND(ПравилоПовтора="Новый сезон",5-1&gt;MOD(MONTH('03_Сеть'!AZ7)-9,12)),'03_Сеть'!AZ27*CapacityAge05*МножительДетей,0)</f>
        <v/>
      </c>
      <c r="BA113" s="87">
        <f>IF(AND(ПравилоПовтора="Новый сезон",5-1&gt;MOD(MONTH('03_Сеть'!BA7)-9,12)),'03_Сеть'!BA27*CapacityAge05*МножительДетей,0)</f>
        <v/>
      </c>
      <c r="BB113" s="87">
        <f>IF(AND(ПравилоПовтора="Новый сезон",5-1&gt;MOD(MONTH('03_Сеть'!BB7)-9,12)),'03_Сеть'!BB27*CapacityAge05*МножительДетей,0)</f>
        <v/>
      </c>
      <c r="BC113" s="87">
        <f>IF(AND(ПравилоПовтора="Новый сезон",5-1&gt;MOD(MONTH('03_Сеть'!BC7)-9,12)),'03_Сеть'!BC27*CapacityAge05*МножительДетей,0)</f>
        <v/>
      </c>
      <c r="BD113" s="87">
        <f>IF(AND(ПравилоПовтора="Новый сезон",5-1&gt;MOD(MONTH('03_Сеть'!BD7)-9,12)),'03_Сеть'!BD27*CapacityAge05*МножительДетей,0)</f>
        <v/>
      </c>
      <c r="BE113" s="87">
        <f>IF(AND(ПравилоПовтора="Новый сезон",5-1&gt;MOD(MONTH('03_Сеть'!BE7)-9,12)),'03_Сеть'!BE27*CapacityAge05*МножительДетей,0)</f>
        <v/>
      </c>
      <c r="BF113" s="87">
        <f>IF(AND(ПравилоПовтора="Новый сезон",5-1&gt;MOD(MONTH('03_Сеть'!BF7)-9,12)),'03_Сеть'!BF27*CapacityAge05*МножительДетей,0)</f>
        <v/>
      </c>
      <c r="BG113" s="87">
        <f>IF(AND(ПравилоПовтора="Новый сезон",5-1&gt;MOD(MONTH('03_Сеть'!BG7)-9,12)),'03_Сеть'!BG27*CapacityAge05*МножительДетей,0)</f>
        <v/>
      </c>
      <c r="BH113" s="87">
        <f>IF(AND(ПравилоПовтора="Новый сезон",5-1&gt;MOD(MONTH('03_Сеть'!BH7)-9,12)),'03_Сеть'!BH27*CapacityAge05*МножительДетей,0)</f>
        <v/>
      </c>
      <c r="BI113" s="87">
        <f>IF(AND(ПравилоПовтора="Новый сезон",5-1&gt;MOD(MONTH('03_Сеть'!BI7)-9,12)),'03_Сеть'!BI27*CapacityAge05*МножительДетей,0)</f>
        <v/>
      </c>
      <c r="BJ113" s="87">
        <f>IF(AND(ПравилоПовтора="Новый сезон",5-1&gt;MOD(MONTH('03_Сеть'!BJ7)-9,12)),'03_Сеть'!BJ27*CapacityAge05*МножительДетей,0)</f>
        <v/>
      </c>
      <c r="BK113" s="87">
        <f>IF(AND(ПравилоПовтора="Новый сезон",5-1&gt;MOD(MONTH('03_Сеть'!BK7)-9,12)),'03_Сеть'!BK27*CapacityAge05*МножительДетей,0)</f>
        <v/>
      </c>
      <c r="BL113" s="87">
        <f>IF(AND(ПравилоПовтора="Новый сезон",5-1&gt;MOD(MONTH('03_Сеть'!BL7)-9,12)),'03_Сеть'!BL27*CapacityAge05*МножительДетей,0)</f>
        <v/>
      </c>
      <c r="BM113" s="87">
        <f>IF(AND(ПравилоПовтора="Новый сезон",5-1&gt;MOD(MONTH('03_Сеть'!BM7)-9,12)),'03_Сеть'!BM27*CapacityAge05*МножительДетей,0)</f>
        <v/>
      </c>
      <c r="BN113" s="87">
        <f>IF(AND(ПравилоПовтора="Новый сезон",5-1&gt;MOD(MONTH('03_Сеть'!BN7)-9,12)),'03_Сеть'!BN27*CapacityAge05*МножительДетей,0)</f>
        <v/>
      </c>
      <c r="BO113" s="87">
        <f>IF(AND(ПравилоПовтора="Новый сезон",5-1&gt;MOD(MONTH('03_Сеть'!BO7)-9,12)),'03_Сеть'!BO27*CapacityAge05*МножительДетей,0)</f>
        <v/>
      </c>
      <c r="BP113" s="87">
        <f>IF(AND(ПравилоПовтора="Новый сезон",5-1&gt;MOD(MONTH('03_Сеть'!BP7)-9,12)),'03_Сеть'!BP27*CapacityAge05*МножительДетей,0)</f>
        <v/>
      </c>
      <c r="BQ113" s="87">
        <f>IF(AND(ПравилоПовтора="Новый сезон",5-1&gt;MOD(MONTH('03_Сеть'!BQ7)-9,12)),'03_Сеть'!BQ27*CapacityAge05*МножительДетей,0)</f>
        <v/>
      </c>
      <c r="BR113" s="87">
        <f>IF(AND(ПравилоПовтора="Новый сезон",5-1&gt;MOD(MONTH('03_Сеть'!BR7)-9,12)),'03_Сеть'!BR27*CapacityAge05*МножительДетей,0)</f>
        <v/>
      </c>
      <c r="BS113" s="87">
        <f>IF(AND(ПравилоПовтора="Новый сезон",5-1&gt;MOD(MONTH('03_Сеть'!BS7)-9,12)),'03_Сеть'!BS27*CapacityAge05*МножительДетей,0)</f>
        <v/>
      </c>
      <c r="BT113" s="87">
        <f>IF(AND(ПравилоПовтора="Новый сезон",5-1&gt;MOD(MONTH('03_Сеть'!BT7)-9,12)),'03_Сеть'!BT27*CapacityAge05*МножительДетей,0)</f>
        <v/>
      </c>
      <c r="BU113" s="87">
        <f>IF(AND(ПравилоПовтора="Новый сезон",5-1&gt;MOD(MONTH('03_Сеть'!BU7)-9,12)),'03_Сеть'!BU27*CapacityAge05*МножительДетей,0)</f>
        <v/>
      </c>
      <c r="BV113" s="87">
        <f>IF(AND(ПравилоПовтора="Новый сезон",5-1&gt;MOD(MONTH('03_Сеть'!BV7)-9,12)),'03_Сеть'!BV27*CapacityAge05*МножительДетей,0)</f>
        <v/>
      </c>
      <c r="BW113" s="87">
        <f>IF(AND(ПравилоПовтора="Новый сезон",5-1&gt;MOD(MONTH('03_Сеть'!BW7)-9,12)),'03_Сеть'!BW27*CapacityAge05*МножительДетей,0)</f>
        <v/>
      </c>
      <c r="BX113" s="87">
        <f>IF(AND(ПравилоПовтора="Новый сезон",5-1&gt;MOD(MONTH('03_Сеть'!BX7)-9,12)),'03_Сеть'!BX27*CapacityAge05*МножительДетей,0)</f>
        <v/>
      </c>
      <c r="BY113" s="87">
        <f>IF(AND(ПравилоПовтора="Новый сезон",5-1&gt;MOD(MONTH('03_Сеть'!BY7)-9,12)),'03_Сеть'!BY27*CapacityAge05*МножительДетей,0)</f>
        <v/>
      </c>
    </row>
    <row r="114" ht="15.75" customHeight="1" s="194">
      <c r="B114" s="56" t="inlineStr">
        <is>
          <t>6 мес.</t>
        </is>
      </c>
      <c r="C114" s="56" t="inlineStr">
        <is>
          <t>чел.</t>
        </is>
      </c>
      <c r="D114" s="57" t="inlineStr">
        <is>
          <t>В колонках лет — значение на конец года, в «Итого» — на конец пятого года. Это остаток, а не сумма.</t>
        </is>
      </c>
      <c r="E114" s="85">
        <f>W114</f>
        <v/>
      </c>
      <c r="F114" s="85">
        <f>AI114</f>
        <v/>
      </c>
      <c r="G114" s="85">
        <f>AU114</f>
        <v/>
      </c>
      <c r="H114" s="85">
        <f>BG114</f>
        <v/>
      </c>
      <c r="I114" s="85">
        <f>BS114</f>
        <v/>
      </c>
      <c r="J114" s="86">
        <f>BS114</f>
        <v/>
      </c>
      <c r="L114" s="87">
        <f>IF(AND(ПравилоПовтора="Новый сезон",6-1&gt;MOD(MONTH('03_Сеть'!L7)-9,12)),'03_Сеть'!L28*CapacityAge06*МножительДетей,0)</f>
        <v/>
      </c>
      <c r="M114" s="87">
        <f>IF(AND(ПравилоПовтора="Новый сезон",6-1&gt;MOD(MONTH('03_Сеть'!M7)-9,12)),'03_Сеть'!M28*CapacityAge06*МножительДетей,0)</f>
        <v/>
      </c>
      <c r="N114" s="87">
        <f>IF(AND(ПравилоПовтора="Новый сезон",6-1&gt;MOD(MONTH('03_Сеть'!N7)-9,12)),'03_Сеть'!N28*CapacityAge06*МножительДетей,0)</f>
        <v/>
      </c>
      <c r="O114" s="87">
        <f>IF(AND(ПравилоПовтора="Новый сезон",6-1&gt;MOD(MONTH('03_Сеть'!O7)-9,12)),'03_Сеть'!O28*CapacityAge06*МножительДетей,0)</f>
        <v/>
      </c>
      <c r="P114" s="87">
        <f>IF(AND(ПравилоПовтора="Новый сезон",6-1&gt;MOD(MONTH('03_Сеть'!P7)-9,12)),'03_Сеть'!P28*CapacityAge06*МножительДетей,0)</f>
        <v/>
      </c>
      <c r="Q114" s="87">
        <f>IF(AND(ПравилоПовтора="Новый сезон",6-1&gt;MOD(MONTH('03_Сеть'!Q7)-9,12)),'03_Сеть'!Q28*CapacityAge06*МножительДетей,0)</f>
        <v/>
      </c>
      <c r="R114" s="87">
        <f>IF(AND(ПравилоПовтора="Новый сезон",6-1&gt;MOD(MONTH('03_Сеть'!R7)-9,12)),'03_Сеть'!R28*CapacityAge06*МножительДетей,0)</f>
        <v/>
      </c>
      <c r="S114" s="87">
        <f>IF(AND(ПравилоПовтора="Новый сезон",6-1&gt;MOD(MONTH('03_Сеть'!S7)-9,12)),'03_Сеть'!S28*CapacityAge06*МножительДетей,0)</f>
        <v/>
      </c>
      <c r="T114" s="87">
        <f>IF(AND(ПравилоПовтора="Новый сезон",6-1&gt;MOD(MONTH('03_Сеть'!T7)-9,12)),'03_Сеть'!T28*CapacityAge06*МножительДетей,0)</f>
        <v/>
      </c>
      <c r="U114" s="87">
        <f>IF(AND(ПравилоПовтора="Новый сезон",6-1&gt;MOD(MONTH('03_Сеть'!U7)-9,12)),'03_Сеть'!U28*CapacityAge06*МножительДетей,0)</f>
        <v/>
      </c>
      <c r="V114" s="87">
        <f>IF(AND(ПравилоПовтора="Новый сезон",6-1&gt;MOD(MONTH('03_Сеть'!V7)-9,12)),'03_Сеть'!V28*CapacityAge06*МножительДетей,0)</f>
        <v/>
      </c>
      <c r="W114" s="87">
        <f>IF(AND(ПравилоПовтора="Новый сезон",6-1&gt;MOD(MONTH('03_Сеть'!W7)-9,12)),'03_Сеть'!W28*CapacityAge06*МножительДетей,0)</f>
        <v/>
      </c>
      <c r="X114" s="87">
        <f>IF(AND(ПравилоПовтора="Новый сезон",6-1&gt;MOD(MONTH('03_Сеть'!X7)-9,12)),'03_Сеть'!X28*CapacityAge06*МножительДетей,0)</f>
        <v/>
      </c>
      <c r="Y114" s="87">
        <f>IF(AND(ПравилоПовтора="Новый сезон",6-1&gt;MOD(MONTH('03_Сеть'!Y7)-9,12)),'03_Сеть'!Y28*CapacityAge06*МножительДетей,0)</f>
        <v/>
      </c>
      <c r="Z114" s="87">
        <f>IF(AND(ПравилоПовтора="Новый сезон",6-1&gt;MOD(MONTH('03_Сеть'!Z7)-9,12)),'03_Сеть'!Z28*CapacityAge06*МножительДетей,0)</f>
        <v/>
      </c>
      <c r="AA114" s="87">
        <f>IF(AND(ПравилоПовтора="Новый сезон",6-1&gt;MOD(MONTH('03_Сеть'!AA7)-9,12)),'03_Сеть'!AA28*CapacityAge06*МножительДетей,0)</f>
        <v/>
      </c>
      <c r="AB114" s="87">
        <f>IF(AND(ПравилоПовтора="Новый сезон",6-1&gt;MOD(MONTH('03_Сеть'!AB7)-9,12)),'03_Сеть'!AB28*CapacityAge06*МножительДетей,0)</f>
        <v/>
      </c>
      <c r="AC114" s="87">
        <f>IF(AND(ПравилоПовтора="Новый сезон",6-1&gt;MOD(MONTH('03_Сеть'!AC7)-9,12)),'03_Сеть'!AC28*CapacityAge06*МножительДетей,0)</f>
        <v/>
      </c>
      <c r="AD114" s="87">
        <f>IF(AND(ПравилоПовтора="Новый сезон",6-1&gt;MOD(MONTH('03_Сеть'!AD7)-9,12)),'03_Сеть'!AD28*CapacityAge06*МножительДетей,0)</f>
        <v/>
      </c>
      <c r="AE114" s="87">
        <f>IF(AND(ПравилоПовтора="Новый сезон",6-1&gt;MOD(MONTH('03_Сеть'!AE7)-9,12)),'03_Сеть'!AE28*CapacityAge06*МножительДетей,0)</f>
        <v/>
      </c>
      <c r="AF114" s="87">
        <f>IF(AND(ПравилоПовтора="Новый сезон",6-1&gt;MOD(MONTH('03_Сеть'!AF7)-9,12)),'03_Сеть'!AF28*CapacityAge06*МножительДетей,0)</f>
        <v/>
      </c>
      <c r="AG114" s="87">
        <f>IF(AND(ПравилоПовтора="Новый сезон",6-1&gt;MOD(MONTH('03_Сеть'!AG7)-9,12)),'03_Сеть'!AG28*CapacityAge06*МножительДетей,0)</f>
        <v/>
      </c>
      <c r="AH114" s="87">
        <f>IF(AND(ПравилоПовтора="Новый сезон",6-1&gt;MOD(MONTH('03_Сеть'!AH7)-9,12)),'03_Сеть'!AH28*CapacityAge06*МножительДетей,0)</f>
        <v/>
      </c>
      <c r="AI114" s="87">
        <f>IF(AND(ПравилоПовтора="Новый сезон",6-1&gt;MOD(MONTH('03_Сеть'!AI7)-9,12)),'03_Сеть'!AI28*CapacityAge06*МножительДетей,0)</f>
        <v/>
      </c>
      <c r="AJ114" s="87">
        <f>IF(AND(ПравилоПовтора="Новый сезон",6-1&gt;MOD(MONTH('03_Сеть'!AJ7)-9,12)),'03_Сеть'!AJ28*CapacityAge06*МножительДетей,0)</f>
        <v/>
      </c>
      <c r="AK114" s="87">
        <f>IF(AND(ПравилоПовтора="Новый сезон",6-1&gt;MOD(MONTH('03_Сеть'!AK7)-9,12)),'03_Сеть'!AK28*CapacityAge06*МножительДетей,0)</f>
        <v/>
      </c>
      <c r="AL114" s="87">
        <f>IF(AND(ПравилоПовтора="Новый сезон",6-1&gt;MOD(MONTH('03_Сеть'!AL7)-9,12)),'03_Сеть'!AL28*CapacityAge06*МножительДетей,0)</f>
        <v/>
      </c>
      <c r="AM114" s="87">
        <f>IF(AND(ПравилоПовтора="Новый сезон",6-1&gt;MOD(MONTH('03_Сеть'!AM7)-9,12)),'03_Сеть'!AM28*CapacityAge06*МножительДетей,0)</f>
        <v/>
      </c>
      <c r="AN114" s="87">
        <f>IF(AND(ПравилоПовтора="Новый сезон",6-1&gt;MOD(MONTH('03_Сеть'!AN7)-9,12)),'03_Сеть'!AN28*CapacityAge06*МножительДетей,0)</f>
        <v/>
      </c>
      <c r="AO114" s="87">
        <f>IF(AND(ПравилоПовтора="Новый сезон",6-1&gt;MOD(MONTH('03_Сеть'!AO7)-9,12)),'03_Сеть'!AO28*CapacityAge06*МножительДетей,0)</f>
        <v/>
      </c>
      <c r="AP114" s="87">
        <f>IF(AND(ПравилоПовтора="Новый сезон",6-1&gt;MOD(MONTH('03_Сеть'!AP7)-9,12)),'03_Сеть'!AP28*CapacityAge06*МножительДетей,0)</f>
        <v/>
      </c>
      <c r="AQ114" s="87">
        <f>IF(AND(ПравилоПовтора="Новый сезон",6-1&gt;MOD(MONTH('03_Сеть'!AQ7)-9,12)),'03_Сеть'!AQ28*CapacityAge06*МножительДетей,0)</f>
        <v/>
      </c>
      <c r="AR114" s="87">
        <f>IF(AND(ПравилоПовтора="Новый сезон",6-1&gt;MOD(MONTH('03_Сеть'!AR7)-9,12)),'03_Сеть'!AR28*CapacityAge06*МножительДетей,0)</f>
        <v/>
      </c>
      <c r="AS114" s="87">
        <f>IF(AND(ПравилоПовтора="Новый сезон",6-1&gt;MOD(MONTH('03_Сеть'!AS7)-9,12)),'03_Сеть'!AS28*CapacityAge06*МножительДетей,0)</f>
        <v/>
      </c>
      <c r="AT114" s="87">
        <f>IF(AND(ПравилоПовтора="Новый сезон",6-1&gt;MOD(MONTH('03_Сеть'!AT7)-9,12)),'03_Сеть'!AT28*CapacityAge06*МножительДетей,0)</f>
        <v/>
      </c>
      <c r="AU114" s="87">
        <f>IF(AND(ПравилоПовтора="Новый сезон",6-1&gt;MOD(MONTH('03_Сеть'!AU7)-9,12)),'03_Сеть'!AU28*CapacityAge06*МножительДетей,0)</f>
        <v/>
      </c>
      <c r="AV114" s="87">
        <f>IF(AND(ПравилоПовтора="Новый сезон",6-1&gt;MOD(MONTH('03_Сеть'!AV7)-9,12)),'03_Сеть'!AV28*CapacityAge06*МножительДетей,0)</f>
        <v/>
      </c>
      <c r="AW114" s="87">
        <f>IF(AND(ПравилоПовтора="Новый сезон",6-1&gt;MOD(MONTH('03_Сеть'!AW7)-9,12)),'03_Сеть'!AW28*CapacityAge06*МножительДетей,0)</f>
        <v/>
      </c>
      <c r="AX114" s="87">
        <f>IF(AND(ПравилоПовтора="Новый сезон",6-1&gt;MOD(MONTH('03_Сеть'!AX7)-9,12)),'03_Сеть'!AX28*CapacityAge06*МножительДетей,0)</f>
        <v/>
      </c>
      <c r="AY114" s="87">
        <f>IF(AND(ПравилоПовтора="Новый сезон",6-1&gt;MOD(MONTH('03_Сеть'!AY7)-9,12)),'03_Сеть'!AY28*CapacityAge06*МножительДетей,0)</f>
        <v/>
      </c>
      <c r="AZ114" s="87">
        <f>IF(AND(ПравилоПовтора="Новый сезон",6-1&gt;MOD(MONTH('03_Сеть'!AZ7)-9,12)),'03_Сеть'!AZ28*CapacityAge06*МножительДетей,0)</f>
        <v/>
      </c>
      <c r="BA114" s="87">
        <f>IF(AND(ПравилоПовтора="Новый сезон",6-1&gt;MOD(MONTH('03_Сеть'!BA7)-9,12)),'03_Сеть'!BA28*CapacityAge06*МножительДетей,0)</f>
        <v/>
      </c>
      <c r="BB114" s="87">
        <f>IF(AND(ПравилоПовтора="Новый сезон",6-1&gt;MOD(MONTH('03_Сеть'!BB7)-9,12)),'03_Сеть'!BB28*CapacityAge06*МножительДетей,0)</f>
        <v/>
      </c>
      <c r="BC114" s="87">
        <f>IF(AND(ПравилоПовтора="Новый сезон",6-1&gt;MOD(MONTH('03_Сеть'!BC7)-9,12)),'03_Сеть'!BC28*CapacityAge06*МножительДетей,0)</f>
        <v/>
      </c>
      <c r="BD114" s="87">
        <f>IF(AND(ПравилоПовтора="Новый сезон",6-1&gt;MOD(MONTH('03_Сеть'!BD7)-9,12)),'03_Сеть'!BD28*CapacityAge06*МножительДетей,0)</f>
        <v/>
      </c>
      <c r="BE114" s="87">
        <f>IF(AND(ПравилоПовтора="Новый сезон",6-1&gt;MOD(MONTH('03_Сеть'!BE7)-9,12)),'03_Сеть'!BE28*CapacityAge06*МножительДетей,0)</f>
        <v/>
      </c>
      <c r="BF114" s="87">
        <f>IF(AND(ПравилоПовтора="Новый сезон",6-1&gt;MOD(MONTH('03_Сеть'!BF7)-9,12)),'03_Сеть'!BF28*CapacityAge06*МножительДетей,0)</f>
        <v/>
      </c>
      <c r="BG114" s="87">
        <f>IF(AND(ПравилоПовтора="Новый сезон",6-1&gt;MOD(MONTH('03_Сеть'!BG7)-9,12)),'03_Сеть'!BG28*CapacityAge06*МножительДетей,0)</f>
        <v/>
      </c>
      <c r="BH114" s="87">
        <f>IF(AND(ПравилоПовтора="Новый сезон",6-1&gt;MOD(MONTH('03_Сеть'!BH7)-9,12)),'03_Сеть'!BH28*CapacityAge06*МножительДетей,0)</f>
        <v/>
      </c>
      <c r="BI114" s="87">
        <f>IF(AND(ПравилоПовтора="Новый сезон",6-1&gt;MOD(MONTH('03_Сеть'!BI7)-9,12)),'03_Сеть'!BI28*CapacityAge06*МножительДетей,0)</f>
        <v/>
      </c>
      <c r="BJ114" s="87">
        <f>IF(AND(ПравилоПовтора="Новый сезон",6-1&gt;MOD(MONTH('03_Сеть'!BJ7)-9,12)),'03_Сеть'!BJ28*CapacityAge06*МножительДетей,0)</f>
        <v/>
      </c>
      <c r="BK114" s="87">
        <f>IF(AND(ПравилоПовтора="Новый сезон",6-1&gt;MOD(MONTH('03_Сеть'!BK7)-9,12)),'03_Сеть'!BK28*CapacityAge06*МножительДетей,0)</f>
        <v/>
      </c>
      <c r="BL114" s="87">
        <f>IF(AND(ПравилоПовтора="Новый сезон",6-1&gt;MOD(MONTH('03_Сеть'!BL7)-9,12)),'03_Сеть'!BL28*CapacityAge06*МножительДетей,0)</f>
        <v/>
      </c>
      <c r="BM114" s="87">
        <f>IF(AND(ПравилоПовтора="Новый сезон",6-1&gt;MOD(MONTH('03_Сеть'!BM7)-9,12)),'03_Сеть'!BM28*CapacityAge06*МножительДетей,0)</f>
        <v/>
      </c>
      <c r="BN114" s="87">
        <f>IF(AND(ПравилоПовтора="Новый сезон",6-1&gt;MOD(MONTH('03_Сеть'!BN7)-9,12)),'03_Сеть'!BN28*CapacityAge06*МножительДетей,0)</f>
        <v/>
      </c>
      <c r="BO114" s="87">
        <f>IF(AND(ПравилоПовтора="Новый сезон",6-1&gt;MOD(MONTH('03_Сеть'!BO7)-9,12)),'03_Сеть'!BO28*CapacityAge06*МножительДетей,0)</f>
        <v/>
      </c>
      <c r="BP114" s="87">
        <f>IF(AND(ПравилоПовтора="Новый сезон",6-1&gt;MOD(MONTH('03_Сеть'!BP7)-9,12)),'03_Сеть'!BP28*CapacityAge06*МножительДетей,0)</f>
        <v/>
      </c>
      <c r="BQ114" s="87">
        <f>IF(AND(ПравилоПовтора="Новый сезон",6-1&gt;MOD(MONTH('03_Сеть'!BQ7)-9,12)),'03_Сеть'!BQ28*CapacityAge06*МножительДетей,0)</f>
        <v/>
      </c>
      <c r="BR114" s="87">
        <f>IF(AND(ПравилоПовтора="Новый сезон",6-1&gt;MOD(MONTH('03_Сеть'!BR7)-9,12)),'03_Сеть'!BR28*CapacityAge06*МножительДетей,0)</f>
        <v/>
      </c>
      <c r="BS114" s="87">
        <f>IF(AND(ПравилоПовтора="Новый сезон",6-1&gt;MOD(MONTH('03_Сеть'!BS7)-9,12)),'03_Сеть'!BS28*CapacityAge06*МножительДетей,0)</f>
        <v/>
      </c>
      <c r="BT114" s="87">
        <f>IF(AND(ПравилоПовтора="Новый сезон",6-1&gt;MOD(MONTH('03_Сеть'!BT7)-9,12)),'03_Сеть'!BT28*CapacityAge06*МножительДетей,0)</f>
        <v/>
      </c>
      <c r="BU114" s="87">
        <f>IF(AND(ПравилоПовтора="Новый сезон",6-1&gt;MOD(MONTH('03_Сеть'!BU7)-9,12)),'03_Сеть'!BU28*CapacityAge06*МножительДетей,0)</f>
        <v/>
      </c>
      <c r="BV114" s="87">
        <f>IF(AND(ПравилоПовтора="Новый сезон",6-1&gt;MOD(MONTH('03_Сеть'!BV7)-9,12)),'03_Сеть'!BV28*CapacityAge06*МножительДетей,0)</f>
        <v/>
      </c>
      <c r="BW114" s="87">
        <f>IF(AND(ПравилоПовтора="Новый сезон",6-1&gt;MOD(MONTH('03_Сеть'!BW7)-9,12)),'03_Сеть'!BW28*CapacityAge06*МножительДетей,0)</f>
        <v/>
      </c>
      <c r="BX114" s="87">
        <f>IF(AND(ПравилоПовтора="Новый сезон",6-1&gt;MOD(MONTH('03_Сеть'!BX7)-9,12)),'03_Сеть'!BX28*CapacityAge06*МножительДетей,0)</f>
        <v/>
      </c>
      <c r="BY114" s="87">
        <f>IF(AND(ПравилоПовтора="Новый сезон",6-1&gt;MOD(MONTH('03_Сеть'!BY7)-9,12)),'03_Сеть'!BY28*CapacityAge06*МножительДетей,0)</f>
        <v/>
      </c>
    </row>
    <row r="115" ht="15.75" customHeight="1" s="194">
      <c r="B115" s="56" t="inlineStr">
        <is>
          <t>7 мес.</t>
        </is>
      </c>
      <c r="C115" s="56" t="inlineStr">
        <is>
          <t>чел.</t>
        </is>
      </c>
      <c r="D115" s="57" t="inlineStr">
        <is>
          <t>В колонках лет — значение на конец года, в «Итого» — на конец пятого года. Это остаток, а не сумма.</t>
        </is>
      </c>
      <c r="E115" s="85">
        <f>W115</f>
        <v/>
      </c>
      <c r="F115" s="85">
        <f>AI115</f>
        <v/>
      </c>
      <c r="G115" s="85">
        <f>AU115</f>
        <v/>
      </c>
      <c r="H115" s="85">
        <f>BG115</f>
        <v/>
      </c>
      <c r="I115" s="85">
        <f>BS115</f>
        <v/>
      </c>
      <c r="J115" s="86">
        <f>BS115</f>
        <v/>
      </c>
      <c r="L115" s="87">
        <f>IF(AND(ПравилоПовтора="Новый сезон",7-1&gt;MOD(MONTH('03_Сеть'!L7)-9,12)),'03_Сеть'!L29*CapacityAge07*МножительДетей,0)</f>
        <v/>
      </c>
      <c r="M115" s="87">
        <f>IF(AND(ПравилоПовтора="Новый сезон",7-1&gt;MOD(MONTH('03_Сеть'!M7)-9,12)),'03_Сеть'!M29*CapacityAge07*МножительДетей,0)</f>
        <v/>
      </c>
      <c r="N115" s="87">
        <f>IF(AND(ПравилоПовтора="Новый сезон",7-1&gt;MOD(MONTH('03_Сеть'!N7)-9,12)),'03_Сеть'!N29*CapacityAge07*МножительДетей,0)</f>
        <v/>
      </c>
      <c r="O115" s="87">
        <f>IF(AND(ПравилоПовтора="Новый сезон",7-1&gt;MOD(MONTH('03_Сеть'!O7)-9,12)),'03_Сеть'!O29*CapacityAge07*МножительДетей,0)</f>
        <v/>
      </c>
      <c r="P115" s="87">
        <f>IF(AND(ПравилоПовтора="Новый сезон",7-1&gt;MOD(MONTH('03_Сеть'!P7)-9,12)),'03_Сеть'!P29*CapacityAge07*МножительДетей,0)</f>
        <v/>
      </c>
      <c r="Q115" s="87">
        <f>IF(AND(ПравилоПовтора="Новый сезон",7-1&gt;MOD(MONTH('03_Сеть'!Q7)-9,12)),'03_Сеть'!Q29*CapacityAge07*МножительДетей,0)</f>
        <v/>
      </c>
      <c r="R115" s="87">
        <f>IF(AND(ПравилоПовтора="Новый сезон",7-1&gt;MOD(MONTH('03_Сеть'!R7)-9,12)),'03_Сеть'!R29*CapacityAge07*МножительДетей,0)</f>
        <v/>
      </c>
      <c r="S115" s="87">
        <f>IF(AND(ПравилоПовтора="Новый сезон",7-1&gt;MOD(MONTH('03_Сеть'!S7)-9,12)),'03_Сеть'!S29*CapacityAge07*МножительДетей,0)</f>
        <v/>
      </c>
      <c r="T115" s="87">
        <f>IF(AND(ПравилоПовтора="Новый сезон",7-1&gt;MOD(MONTH('03_Сеть'!T7)-9,12)),'03_Сеть'!T29*CapacityAge07*МножительДетей,0)</f>
        <v/>
      </c>
      <c r="U115" s="87">
        <f>IF(AND(ПравилоПовтора="Новый сезон",7-1&gt;MOD(MONTH('03_Сеть'!U7)-9,12)),'03_Сеть'!U29*CapacityAge07*МножительДетей,0)</f>
        <v/>
      </c>
      <c r="V115" s="87">
        <f>IF(AND(ПравилоПовтора="Новый сезон",7-1&gt;MOD(MONTH('03_Сеть'!V7)-9,12)),'03_Сеть'!V29*CapacityAge07*МножительДетей,0)</f>
        <v/>
      </c>
      <c r="W115" s="87">
        <f>IF(AND(ПравилоПовтора="Новый сезон",7-1&gt;MOD(MONTH('03_Сеть'!W7)-9,12)),'03_Сеть'!W29*CapacityAge07*МножительДетей,0)</f>
        <v/>
      </c>
      <c r="X115" s="87">
        <f>IF(AND(ПравилоПовтора="Новый сезон",7-1&gt;MOD(MONTH('03_Сеть'!X7)-9,12)),'03_Сеть'!X29*CapacityAge07*МножительДетей,0)</f>
        <v/>
      </c>
      <c r="Y115" s="87">
        <f>IF(AND(ПравилоПовтора="Новый сезон",7-1&gt;MOD(MONTH('03_Сеть'!Y7)-9,12)),'03_Сеть'!Y29*CapacityAge07*МножительДетей,0)</f>
        <v/>
      </c>
      <c r="Z115" s="87">
        <f>IF(AND(ПравилоПовтора="Новый сезон",7-1&gt;MOD(MONTH('03_Сеть'!Z7)-9,12)),'03_Сеть'!Z29*CapacityAge07*МножительДетей,0)</f>
        <v/>
      </c>
      <c r="AA115" s="87">
        <f>IF(AND(ПравилоПовтора="Новый сезон",7-1&gt;MOD(MONTH('03_Сеть'!AA7)-9,12)),'03_Сеть'!AA29*CapacityAge07*МножительДетей,0)</f>
        <v/>
      </c>
      <c r="AB115" s="87">
        <f>IF(AND(ПравилоПовтора="Новый сезон",7-1&gt;MOD(MONTH('03_Сеть'!AB7)-9,12)),'03_Сеть'!AB29*CapacityAge07*МножительДетей,0)</f>
        <v/>
      </c>
      <c r="AC115" s="87">
        <f>IF(AND(ПравилоПовтора="Новый сезон",7-1&gt;MOD(MONTH('03_Сеть'!AC7)-9,12)),'03_Сеть'!AC29*CapacityAge07*МножительДетей,0)</f>
        <v/>
      </c>
      <c r="AD115" s="87">
        <f>IF(AND(ПравилоПовтора="Новый сезон",7-1&gt;MOD(MONTH('03_Сеть'!AD7)-9,12)),'03_Сеть'!AD29*CapacityAge07*МножительДетей,0)</f>
        <v/>
      </c>
      <c r="AE115" s="87">
        <f>IF(AND(ПравилоПовтора="Новый сезон",7-1&gt;MOD(MONTH('03_Сеть'!AE7)-9,12)),'03_Сеть'!AE29*CapacityAge07*МножительДетей,0)</f>
        <v/>
      </c>
      <c r="AF115" s="87">
        <f>IF(AND(ПравилоПовтора="Новый сезон",7-1&gt;MOD(MONTH('03_Сеть'!AF7)-9,12)),'03_Сеть'!AF29*CapacityAge07*МножительДетей,0)</f>
        <v/>
      </c>
      <c r="AG115" s="87">
        <f>IF(AND(ПравилоПовтора="Новый сезон",7-1&gt;MOD(MONTH('03_Сеть'!AG7)-9,12)),'03_Сеть'!AG29*CapacityAge07*МножительДетей,0)</f>
        <v/>
      </c>
      <c r="AH115" s="87">
        <f>IF(AND(ПравилоПовтора="Новый сезон",7-1&gt;MOD(MONTH('03_Сеть'!AH7)-9,12)),'03_Сеть'!AH29*CapacityAge07*МножительДетей,0)</f>
        <v/>
      </c>
      <c r="AI115" s="87">
        <f>IF(AND(ПравилоПовтора="Новый сезон",7-1&gt;MOD(MONTH('03_Сеть'!AI7)-9,12)),'03_Сеть'!AI29*CapacityAge07*МножительДетей,0)</f>
        <v/>
      </c>
      <c r="AJ115" s="87">
        <f>IF(AND(ПравилоПовтора="Новый сезон",7-1&gt;MOD(MONTH('03_Сеть'!AJ7)-9,12)),'03_Сеть'!AJ29*CapacityAge07*МножительДетей,0)</f>
        <v/>
      </c>
      <c r="AK115" s="87">
        <f>IF(AND(ПравилоПовтора="Новый сезон",7-1&gt;MOD(MONTH('03_Сеть'!AK7)-9,12)),'03_Сеть'!AK29*CapacityAge07*МножительДетей,0)</f>
        <v/>
      </c>
      <c r="AL115" s="87">
        <f>IF(AND(ПравилоПовтора="Новый сезон",7-1&gt;MOD(MONTH('03_Сеть'!AL7)-9,12)),'03_Сеть'!AL29*CapacityAge07*МножительДетей,0)</f>
        <v/>
      </c>
      <c r="AM115" s="87">
        <f>IF(AND(ПравилоПовтора="Новый сезон",7-1&gt;MOD(MONTH('03_Сеть'!AM7)-9,12)),'03_Сеть'!AM29*CapacityAge07*МножительДетей,0)</f>
        <v/>
      </c>
      <c r="AN115" s="87">
        <f>IF(AND(ПравилоПовтора="Новый сезон",7-1&gt;MOD(MONTH('03_Сеть'!AN7)-9,12)),'03_Сеть'!AN29*CapacityAge07*МножительДетей,0)</f>
        <v/>
      </c>
      <c r="AO115" s="87">
        <f>IF(AND(ПравилоПовтора="Новый сезон",7-1&gt;MOD(MONTH('03_Сеть'!AO7)-9,12)),'03_Сеть'!AO29*CapacityAge07*МножительДетей,0)</f>
        <v/>
      </c>
      <c r="AP115" s="87">
        <f>IF(AND(ПравилоПовтора="Новый сезон",7-1&gt;MOD(MONTH('03_Сеть'!AP7)-9,12)),'03_Сеть'!AP29*CapacityAge07*МножительДетей,0)</f>
        <v/>
      </c>
      <c r="AQ115" s="87">
        <f>IF(AND(ПравилоПовтора="Новый сезон",7-1&gt;MOD(MONTH('03_Сеть'!AQ7)-9,12)),'03_Сеть'!AQ29*CapacityAge07*МножительДетей,0)</f>
        <v/>
      </c>
      <c r="AR115" s="87">
        <f>IF(AND(ПравилоПовтора="Новый сезон",7-1&gt;MOD(MONTH('03_Сеть'!AR7)-9,12)),'03_Сеть'!AR29*CapacityAge07*МножительДетей,0)</f>
        <v/>
      </c>
      <c r="AS115" s="87">
        <f>IF(AND(ПравилоПовтора="Новый сезон",7-1&gt;MOD(MONTH('03_Сеть'!AS7)-9,12)),'03_Сеть'!AS29*CapacityAge07*МножительДетей,0)</f>
        <v/>
      </c>
      <c r="AT115" s="87">
        <f>IF(AND(ПравилоПовтора="Новый сезон",7-1&gt;MOD(MONTH('03_Сеть'!AT7)-9,12)),'03_Сеть'!AT29*CapacityAge07*МножительДетей,0)</f>
        <v/>
      </c>
      <c r="AU115" s="87">
        <f>IF(AND(ПравилоПовтора="Новый сезон",7-1&gt;MOD(MONTH('03_Сеть'!AU7)-9,12)),'03_Сеть'!AU29*CapacityAge07*МножительДетей,0)</f>
        <v/>
      </c>
      <c r="AV115" s="87">
        <f>IF(AND(ПравилоПовтора="Новый сезон",7-1&gt;MOD(MONTH('03_Сеть'!AV7)-9,12)),'03_Сеть'!AV29*CapacityAge07*МножительДетей,0)</f>
        <v/>
      </c>
      <c r="AW115" s="87">
        <f>IF(AND(ПравилоПовтора="Новый сезон",7-1&gt;MOD(MONTH('03_Сеть'!AW7)-9,12)),'03_Сеть'!AW29*CapacityAge07*МножительДетей,0)</f>
        <v/>
      </c>
      <c r="AX115" s="87">
        <f>IF(AND(ПравилоПовтора="Новый сезон",7-1&gt;MOD(MONTH('03_Сеть'!AX7)-9,12)),'03_Сеть'!AX29*CapacityAge07*МножительДетей,0)</f>
        <v/>
      </c>
      <c r="AY115" s="87">
        <f>IF(AND(ПравилоПовтора="Новый сезон",7-1&gt;MOD(MONTH('03_Сеть'!AY7)-9,12)),'03_Сеть'!AY29*CapacityAge07*МножительДетей,0)</f>
        <v/>
      </c>
      <c r="AZ115" s="87">
        <f>IF(AND(ПравилоПовтора="Новый сезон",7-1&gt;MOD(MONTH('03_Сеть'!AZ7)-9,12)),'03_Сеть'!AZ29*CapacityAge07*МножительДетей,0)</f>
        <v/>
      </c>
      <c r="BA115" s="87">
        <f>IF(AND(ПравилоПовтора="Новый сезон",7-1&gt;MOD(MONTH('03_Сеть'!BA7)-9,12)),'03_Сеть'!BA29*CapacityAge07*МножительДетей,0)</f>
        <v/>
      </c>
      <c r="BB115" s="87">
        <f>IF(AND(ПравилоПовтора="Новый сезон",7-1&gt;MOD(MONTH('03_Сеть'!BB7)-9,12)),'03_Сеть'!BB29*CapacityAge07*МножительДетей,0)</f>
        <v/>
      </c>
      <c r="BC115" s="87">
        <f>IF(AND(ПравилоПовтора="Новый сезон",7-1&gt;MOD(MONTH('03_Сеть'!BC7)-9,12)),'03_Сеть'!BC29*CapacityAge07*МножительДетей,0)</f>
        <v/>
      </c>
      <c r="BD115" s="87">
        <f>IF(AND(ПравилоПовтора="Новый сезон",7-1&gt;MOD(MONTH('03_Сеть'!BD7)-9,12)),'03_Сеть'!BD29*CapacityAge07*МножительДетей,0)</f>
        <v/>
      </c>
      <c r="BE115" s="87">
        <f>IF(AND(ПравилоПовтора="Новый сезон",7-1&gt;MOD(MONTH('03_Сеть'!BE7)-9,12)),'03_Сеть'!BE29*CapacityAge07*МножительДетей,0)</f>
        <v/>
      </c>
      <c r="BF115" s="87">
        <f>IF(AND(ПравилоПовтора="Новый сезон",7-1&gt;MOD(MONTH('03_Сеть'!BF7)-9,12)),'03_Сеть'!BF29*CapacityAge07*МножительДетей,0)</f>
        <v/>
      </c>
      <c r="BG115" s="87">
        <f>IF(AND(ПравилоПовтора="Новый сезон",7-1&gt;MOD(MONTH('03_Сеть'!BG7)-9,12)),'03_Сеть'!BG29*CapacityAge07*МножительДетей,0)</f>
        <v/>
      </c>
      <c r="BH115" s="87">
        <f>IF(AND(ПравилоПовтора="Новый сезон",7-1&gt;MOD(MONTH('03_Сеть'!BH7)-9,12)),'03_Сеть'!BH29*CapacityAge07*МножительДетей,0)</f>
        <v/>
      </c>
      <c r="BI115" s="87">
        <f>IF(AND(ПравилоПовтора="Новый сезон",7-1&gt;MOD(MONTH('03_Сеть'!BI7)-9,12)),'03_Сеть'!BI29*CapacityAge07*МножительДетей,0)</f>
        <v/>
      </c>
      <c r="BJ115" s="87">
        <f>IF(AND(ПравилоПовтора="Новый сезон",7-1&gt;MOD(MONTH('03_Сеть'!BJ7)-9,12)),'03_Сеть'!BJ29*CapacityAge07*МножительДетей,0)</f>
        <v/>
      </c>
      <c r="BK115" s="87">
        <f>IF(AND(ПравилоПовтора="Новый сезон",7-1&gt;MOD(MONTH('03_Сеть'!BK7)-9,12)),'03_Сеть'!BK29*CapacityAge07*МножительДетей,0)</f>
        <v/>
      </c>
      <c r="BL115" s="87">
        <f>IF(AND(ПравилоПовтора="Новый сезон",7-1&gt;MOD(MONTH('03_Сеть'!BL7)-9,12)),'03_Сеть'!BL29*CapacityAge07*МножительДетей,0)</f>
        <v/>
      </c>
      <c r="BM115" s="87">
        <f>IF(AND(ПравилоПовтора="Новый сезон",7-1&gt;MOD(MONTH('03_Сеть'!BM7)-9,12)),'03_Сеть'!BM29*CapacityAge07*МножительДетей,0)</f>
        <v/>
      </c>
      <c r="BN115" s="87">
        <f>IF(AND(ПравилоПовтора="Новый сезон",7-1&gt;MOD(MONTH('03_Сеть'!BN7)-9,12)),'03_Сеть'!BN29*CapacityAge07*МножительДетей,0)</f>
        <v/>
      </c>
      <c r="BO115" s="87">
        <f>IF(AND(ПравилоПовтора="Новый сезон",7-1&gt;MOD(MONTH('03_Сеть'!BO7)-9,12)),'03_Сеть'!BO29*CapacityAge07*МножительДетей,0)</f>
        <v/>
      </c>
      <c r="BP115" s="87">
        <f>IF(AND(ПравилоПовтора="Новый сезон",7-1&gt;MOD(MONTH('03_Сеть'!BP7)-9,12)),'03_Сеть'!BP29*CapacityAge07*МножительДетей,0)</f>
        <v/>
      </c>
      <c r="BQ115" s="87">
        <f>IF(AND(ПравилоПовтора="Новый сезон",7-1&gt;MOD(MONTH('03_Сеть'!BQ7)-9,12)),'03_Сеть'!BQ29*CapacityAge07*МножительДетей,0)</f>
        <v/>
      </c>
      <c r="BR115" s="87">
        <f>IF(AND(ПравилоПовтора="Новый сезон",7-1&gt;MOD(MONTH('03_Сеть'!BR7)-9,12)),'03_Сеть'!BR29*CapacityAge07*МножительДетей,0)</f>
        <v/>
      </c>
      <c r="BS115" s="87">
        <f>IF(AND(ПравилоПовтора="Новый сезон",7-1&gt;MOD(MONTH('03_Сеть'!BS7)-9,12)),'03_Сеть'!BS29*CapacityAge07*МножительДетей,0)</f>
        <v/>
      </c>
      <c r="BT115" s="87">
        <f>IF(AND(ПравилоПовтора="Новый сезон",7-1&gt;MOD(MONTH('03_Сеть'!BT7)-9,12)),'03_Сеть'!BT29*CapacityAge07*МножительДетей,0)</f>
        <v/>
      </c>
      <c r="BU115" s="87">
        <f>IF(AND(ПравилоПовтора="Новый сезон",7-1&gt;MOD(MONTH('03_Сеть'!BU7)-9,12)),'03_Сеть'!BU29*CapacityAge07*МножительДетей,0)</f>
        <v/>
      </c>
      <c r="BV115" s="87">
        <f>IF(AND(ПравилоПовтора="Новый сезон",7-1&gt;MOD(MONTH('03_Сеть'!BV7)-9,12)),'03_Сеть'!BV29*CapacityAge07*МножительДетей,0)</f>
        <v/>
      </c>
      <c r="BW115" s="87">
        <f>IF(AND(ПравилоПовтора="Новый сезон",7-1&gt;MOD(MONTH('03_Сеть'!BW7)-9,12)),'03_Сеть'!BW29*CapacityAge07*МножительДетей,0)</f>
        <v/>
      </c>
      <c r="BX115" s="87">
        <f>IF(AND(ПравилоПовтора="Новый сезон",7-1&gt;MOD(MONTH('03_Сеть'!BX7)-9,12)),'03_Сеть'!BX29*CapacityAge07*МножительДетей,0)</f>
        <v/>
      </c>
      <c r="BY115" s="87">
        <f>IF(AND(ПравилоПовтора="Новый сезон",7-1&gt;MOD(MONTH('03_Сеть'!BY7)-9,12)),'03_Сеть'!BY29*CapacityAge07*МножительДетей,0)</f>
        <v/>
      </c>
    </row>
    <row r="116" ht="15.75" customHeight="1" s="194">
      <c r="B116" s="56" t="inlineStr">
        <is>
          <t>8 мес.</t>
        </is>
      </c>
      <c r="C116" s="56" t="inlineStr">
        <is>
          <t>чел.</t>
        </is>
      </c>
      <c r="D116" s="57" t="inlineStr">
        <is>
          <t>В колонках лет — значение на конец года, в «Итого» — на конец пятого года. Это остаток, а не сумма.</t>
        </is>
      </c>
      <c r="E116" s="85">
        <f>W116</f>
        <v/>
      </c>
      <c r="F116" s="85">
        <f>AI116</f>
        <v/>
      </c>
      <c r="G116" s="85">
        <f>AU116</f>
        <v/>
      </c>
      <c r="H116" s="85">
        <f>BG116</f>
        <v/>
      </c>
      <c r="I116" s="85">
        <f>BS116</f>
        <v/>
      </c>
      <c r="J116" s="86">
        <f>BS116</f>
        <v/>
      </c>
      <c r="L116" s="87">
        <f>IF(AND(ПравилоПовтора="Новый сезон",8-1&gt;MOD(MONTH('03_Сеть'!L7)-9,12)),'03_Сеть'!L30*CapacityAge08*МножительДетей,0)</f>
        <v/>
      </c>
      <c r="M116" s="87">
        <f>IF(AND(ПравилоПовтора="Новый сезон",8-1&gt;MOD(MONTH('03_Сеть'!M7)-9,12)),'03_Сеть'!M30*CapacityAge08*МножительДетей,0)</f>
        <v/>
      </c>
      <c r="N116" s="87">
        <f>IF(AND(ПравилоПовтора="Новый сезон",8-1&gt;MOD(MONTH('03_Сеть'!N7)-9,12)),'03_Сеть'!N30*CapacityAge08*МножительДетей,0)</f>
        <v/>
      </c>
      <c r="O116" s="87">
        <f>IF(AND(ПравилоПовтора="Новый сезон",8-1&gt;MOD(MONTH('03_Сеть'!O7)-9,12)),'03_Сеть'!O30*CapacityAge08*МножительДетей,0)</f>
        <v/>
      </c>
      <c r="P116" s="87">
        <f>IF(AND(ПравилоПовтора="Новый сезон",8-1&gt;MOD(MONTH('03_Сеть'!P7)-9,12)),'03_Сеть'!P30*CapacityAge08*МножительДетей,0)</f>
        <v/>
      </c>
      <c r="Q116" s="87">
        <f>IF(AND(ПравилоПовтора="Новый сезон",8-1&gt;MOD(MONTH('03_Сеть'!Q7)-9,12)),'03_Сеть'!Q30*CapacityAge08*МножительДетей,0)</f>
        <v/>
      </c>
      <c r="R116" s="87">
        <f>IF(AND(ПравилоПовтора="Новый сезон",8-1&gt;MOD(MONTH('03_Сеть'!R7)-9,12)),'03_Сеть'!R30*CapacityAge08*МножительДетей,0)</f>
        <v/>
      </c>
      <c r="S116" s="87">
        <f>IF(AND(ПравилоПовтора="Новый сезон",8-1&gt;MOD(MONTH('03_Сеть'!S7)-9,12)),'03_Сеть'!S30*CapacityAge08*МножительДетей,0)</f>
        <v/>
      </c>
      <c r="T116" s="87">
        <f>IF(AND(ПравилоПовтора="Новый сезон",8-1&gt;MOD(MONTH('03_Сеть'!T7)-9,12)),'03_Сеть'!T30*CapacityAge08*МножительДетей,0)</f>
        <v/>
      </c>
      <c r="U116" s="87">
        <f>IF(AND(ПравилоПовтора="Новый сезон",8-1&gt;MOD(MONTH('03_Сеть'!U7)-9,12)),'03_Сеть'!U30*CapacityAge08*МножительДетей,0)</f>
        <v/>
      </c>
      <c r="V116" s="87">
        <f>IF(AND(ПравилоПовтора="Новый сезон",8-1&gt;MOD(MONTH('03_Сеть'!V7)-9,12)),'03_Сеть'!V30*CapacityAge08*МножительДетей,0)</f>
        <v/>
      </c>
      <c r="W116" s="87">
        <f>IF(AND(ПравилоПовтора="Новый сезон",8-1&gt;MOD(MONTH('03_Сеть'!W7)-9,12)),'03_Сеть'!W30*CapacityAge08*МножительДетей,0)</f>
        <v/>
      </c>
      <c r="X116" s="87">
        <f>IF(AND(ПравилоПовтора="Новый сезон",8-1&gt;MOD(MONTH('03_Сеть'!X7)-9,12)),'03_Сеть'!X30*CapacityAge08*МножительДетей,0)</f>
        <v/>
      </c>
      <c r="Y116" s="87">
        <f>IF(AND(ПравилоПовтора="Новый сезон",8-1&gt;MOD(MONTH('03_Сеть'!Y7)-9,12)),'03_Сеть'!Y30*CapacityAge08*МножительДетей,0)</f>
        <v/>
      </c>
      <c r="Z116" s="87">
        <f>IF(AND(ПравилоПовтора="Новый сезон",8-1&gt;MOD(MONTH('03_Сеть'!Z7)-9,12)),'03_Сеть'!Z30*CapacityAge08*МножительДетей,0)</f>
        <v/>
      </c>
      <c r="AA116" s="87">
        <f>IF(AND(ПравилоПовтора="Новый сезон",8-1&gt;MOD(MONTH('03_Сеть'!AA7)-9,12)),'03_Сеть'!AA30*CapacityAge08*МножительДетей,0)</f>
        <v/>
      </c>
      <c r="AB116" s="87">
        <f>IF(AND(ПравилоПовтора="Новый сезон",8-1&gt;MOD(MONTH('03_Сеть'!AB7)-9,12)),'03_Сеть'!AB30*CapacityAge08*МножительДетей,0)</f>
        <v/>
      </c>
      <c r="AC116" s="87">
        <f>IF(AND(ПравилоПовтора="Новый сезон",8-1&gt;MOD(MONTH('03_Сеть'!AC7)-9,12)),'03_Сеть'!AC30*CapacityAge08*МножительДетей,0)</f>
        <v/>
      </c>
      <c r="AD116" s="87">
        <f>IF(AND(ПравилоПовтора="Новый сезон",8-1&gt;MOD(MONTH('03_Сеть'!AD7)-9,12)),'03_Сеть'!AD30*CapacityAge08*МножительДетей,0)</f>
        <v/>
      </c>
      <c r="AE116" s="87">
        <f>IF(AND(ПравилоПовтора="Новый сезон",8-1&gt;MOD(MONTH('03_Сеть'!AE7)-9,12)),'03_Сеть'!AE30*CapacityAge08*МножительДетей,0)</f>
        <v/>
      </c>
      <c r="AF116" s="87">
        <f>IF(AND(ПравилоПовтора="Новый сезон",8-1&gt;MOD(MONTH('03_Сеть'!AF7)-9,12)),'03_Сеть'!AF30*CapacityAge08*МножительДетей,0)</f>
        <v/>
      </c>
      <c r="AG116" s="87">
        <f>IF(AND(ПравилоПовтора="Новый сезон",8-1&gt;MOD(MONTH('03_Сеть'!AG7)-9,12)),'03_Сеть'!AG30*CapacityAge08*МножительДетей,0)</f>
        <v/>
      </c>
      <c r="AH116" s="87">
        <f>IF(AND(ПравилоПовтора="Новый сезон",8-1&gt;MOD(MONTH('03_Сеть'!AH7)-9,12)),'03_Сеть'!AH30*CapacityAge08*МножительДетей,0)</f>
        <v/>
      </c>
      <c r="AI116" s="87">
        <f>IF(AND(ПравилоПовтора="Новый сезон",8-1&gt;MOD(MONTH('03_Сеть'!AI7)-9,12)),'03_Сеть'!AI30*CapacityAge08*МножительДетей,0)</f>
        <v/>
      </c>
      <c r="AJ116" s="87">
        <f>IF(AND(ПравилоПовтора="Новый сезон",8-1&gt;MOD(MONTH('03_Сеть'!AJ7)-9,12)),'03_Сеть'!AJ30*CapacityAge08*МножительДетей,0)</f>
        <v/>
      </c>
      <c r="AK116" s="87">
        <f>IF(AND(ПравилоПовтора="Новый сезон",8-1&gt;MOD(MONTH('03_Сеть'!AK7)-9,12)),'03_Сеть'!AK30*CapacityAge08*МножительДетей,0)</f>
        <v/>
      </c>
      <c r="AL116" s="87">
        <f>IF(AND(ПравилоПовтора="Новый сезон",8-1&gt;MOD(MONTH('03_Сеть'!AL7)-9,12)),'03_Сеть'!AL30*CapacityAge08*МножительДетей,0)</f>
        <v/>
      </c>
      <c r="AM116" s="87">
        <f>IF(AND(ПравилоПовтора="Новый сезон",8-1&gt;MOD(MONTH('03_Сеть'!AM7)-9,12)),'03_Сеть'!AM30*CapacityAge08*МножительДетей,0)</f>
        <v/>
      </c>
      <c r="AN116" s="87">
        <f>IF(AND(ПравилоПовтора="Новый сезон",8-1&gt;MOD(MONTH('03_Сеть'!AN7)-9,12)),'03_Сеть'!AN30*CapacityAge08*МножительДетей,0)</f>
        <v/>
      </c>
      <c r="AO116" s="87">
        <f>IF(AND(ПравилоПовтора="Новый сезон",8-1&gt;MOD(MONTH('03_Сеть'!AO7)-9,12)),'03_Сеть'!AO30*CapacityAge08*МножительДетей,0)</f>
        <v/>
      </c>
      <c r="AP116" s="87">
        <f>IF(AND(ПравилоПовтора="Новый сезон",8-1&gt;MOD(MONTH('03_Сеть'!AP7)-9,12)),'03_Сеть'!AP30*CapacityAge08*МножительДетей,0)</f>
        <v/>
      </c>
      <c r="AQ116" s="87">
        <f>IF(AND(ПравилоПовтора="Новый сезон",8-1&gt;MOD(MONTH('03_Сеть'!AQ7)-9,12)),'03_Сеть'!AQ30*CapacityAge08*МножительДетей,0)</f>
        <v/>
      </c>
      <c r="AR116" s="87">
        <f>IF(AND(ПравилоПовтора="Новый сезон",8-1&gt;MOD(MONTH('03_Сеть'!AR7)-9,12)),'03_Сеть'!AR30*CapacityAge08*МножительДетей,0)</f>
        <v/>
      </c>
      <c r="AS116" s="87">
        <f>IF(AND(ПравилоПовтора="Новый сезон",8-1&gt;MOD(MONTH('03_Сеть'!AS7)-9,12)),'03_Сеть'!AS30*CapacityAge08*МножительДетей,0)</f>
        <v/>
      </c>
      <c r="AT116" s="87">
        <f>IF(AND(ПравилоПовтора="Новый сезон",8-1&gt;MOD(MONTH('03_Сеть'!AT7)-9,12)),'03_Сеть'!AT30*CapacityAge08*МножительДетей,0)</f>
        <v/>
      </c>
      <c r="AU116" s="87">
        <f>IF(AND(ПравилоПовтора="Новый сезон",8-1&gt;MOD(MONTH('03_Сеть'!AU7)-9,12)),'03_Сеть'!AU30*CapacityAge08*МножительДетей,0)</f>
        <v/>
      </c>
      <c r="AV116" s="87">
        <f>IF(AND(ПравилоПовтора="Новый сезон",8-1&gt;MOD(MONTH('03_Сеть'!AV7)-9,12)),'03_Сеть'!AV30*CapacityAge08*МножительДетей,0)</f>
        <v/>
      </c>
      <c r="AW116" s="87">
        <f>IF(AND(ПравилоПовтора="Новый сезон",8-1&gt;MOD(MONTH('03_Сеть'!AW7)-9,12)),'03_Сеть'!AW30*CapacityAge08*МножительДетей,0)</f>
        <v/>
      </c>
      <c r="AX116" s="87">
        <f>IF(AND(ПравилоПовтора="Новый сезон",8-1&gt;MOD(MONTH('03_Сеть'!AX7)-9,12)),'03_Сеть'!AX30*CapacityAge08*МножительДетей,0)</f>
        <v/>
      </c>
      <c r="AY116" s="87">
        <f>IF(AND(ПравилоПовтора="Новый сезон",8-1&gt;MOD(MONTH('03_Сеть'!AY7)-9,12)),'03_Сеть'!AY30*CapacityAge08*МножительДетей,0)</f>
        <v/>
      </c>
      <c r="AZ116" s="87">
        <f>IF(AND(ПравилоПовтора="Новый сезон",8-1&gt;MOD(MONTH('03_Сеть'!AZ7)-9,12)),'03_Сеть'!AZ30*CapacityAge08*МножительДетей,0)</f>
        <v/>
      </c>
      <c r="BA116" s="87">
        <f>IF(AND(ПравилоПовтора="Новый сезон",8-1&gt;MOD(MONTH('03_Сеть'!BA7)-9,12)),'03_Сеть'!BA30*CapacityAge08*МножительДетей,0)</f>
        <v/>
      </c>
      <c r="BB116" s="87">
        <f>IF(AND(ПравилоПовтора="Новый сезон",8-1&gt;MOD(MONTH('03_Сеть'!BB7)-9,12)),'03_Сеть'!BB30*CapacityAge08*МножительДетей,0)</f>
        <v/>
      </c>
      <c r="BC116" s="87">
        <f>IF(AND(ПравилоПовтора="Новый сезон",8-1&gt;MOD(MONTH('03_Сеть'!BC7)-9,12)),'03_Сеть'!BC30*CapacityAge08*МножительДетей,0)</f>
        <v/>
      </c>
      <c r="BD116" s="87">
        <f>IF(AND(ПравилоПовтора="Новый сезон",8-1&gt;MOD(MONTH('03_Сеть'!BD7)-9,12)),'03_Сеть'!BD30*CapacityAge08*МножительДетей,0)</f>
        <v/>
      </c>
      <c r="BE116" s="87">
        <f>IF(AND(ПравилоПовтора="Новый сезон",8-1&gt;MOD(MONTH('03_Сеть'!BE7)-9,12)),'03_Сеть'!BE30*CapacityAge08*МножительДетей,0)</f>
        <v/>
      </c>
      <c r="BF116" s="87">
        <f>IF(AND(ПравилоПовтора="Новый сезон",8-1&gt;MOD(MONTH('03_Сеть'!BF7)-9,12)),'03_Сеть'!BF30*CapacityAge08*МножительДетей,0)</f>
        <v/>
      </c>
      <c r="BG116" s="87">
        <f>IF(AND(ПравилоПовтора="Новый сезон",8-1&gt;MOD(MONTH('03_Сеть'!BG7)-9,12)),'03_Сеть'!BG30*CapacityAge08*МножительДетей,0)</f>
        <v/>
      </c>
      <c r="BH116" s="87">
        <f>IF(AND(ПравилоПовтора="Новый сезон",8-1&gt;MOD(MONTH('03_Сеть'!BH7)-9,12)),'03_Сеть'!BH30*CapacityAge08*МножительДетей,0)</f>
        <v/>
      </c>
      <c r="BI116" s="87">
        <f>IF(AND(ПравилоПовтора="Новый сезон",8-1&gt;MOD(MONTH('03_Сеть'!BI7)-9,12)),'03_Сеть'!BI30*CapacityAge08*МножительДетей,0)</f>
        <v/>
      </c>
      <c r="BJ116" s="87">
        <f>IF(AND(ПравилоПовтора="Новый сезон",8-1&gt;MOD(MONTH('03_Сеть'!BJ7)-9,12)),'03_Сеть'!BJ30*CapacityAge08*МножительДетей,0)</f>
        <v/>
      </c>
      <c r="BK116" s="87">
        <f>IF(AND(ПравилоПовтора="Новый сезон",8-1&gt;MOD(MONTH('03_Сеть'!BK7)-9,12)),'03_Сеть'!BK30*CapacityAge08*МножительДетей,0)</f>
        <v/>
      </c>
      <c r="BL116" s="87">
        <f>IF(AND(ПравилоПовтора="Новый сезон",8-1&gt;MOD(MONTH('03_Сеть'!BL7)-9,12)),'03_Сеть'!BL30*CapacityAge08*МножительДетей,0)</f>
        <v/>
      </c>
      <c r="BM116" s="87">
        <f>IF(AND(ПравилоПовтора="Новый сезон",8-1&gt;MOD(MONTH('03_Сеть'!BM7)-9,12)),'03_Сеть'!BM30*CapacityAge08*МножительДетей,0)</f>
        <v/>
      </c>
      <c r="BN116" s="87">
        <f>IF(AND(ПравилоПовтора="Новый сезон",8-1&gt;MOD(MONTH('03_Сеть'!BN7)-9,12)),'03_Сеть'!BN30*CapacityAge08*МножительДетей,0)</f>
        <v/>
      </c>
      <c r="BO116" s="87">
        <f>IF(AND(ПравилоПовтора="Новый сезон",8-1&gt;MOD(MONTH('03_Сеть'!BO7)-9,12)),'03_Сеть'!BO30*CapacityAge08*МножительДетей,0)</f>
        <v/>
      </c>
      <c r="BP116" s="87">
        <f>IF(AND(ПравилоПовтора="Новый сезон",8-1&gt;MOD(MONTH('03_Сеть'!BP7)-9,12)),'03_Сеть'!BP30*CapacityAge08*МножительДетей,0)</f>
        <v/>
      </c>
      <c r="BQ116" s="87">
        <f>IF(AND(ПравилоПовтора="Новый сезон",8-1&gt;MOD(MONTH('03_Сеть'!BQ7)-9,12)),'03_Сеть'!BQ30*CapacityAge08*МножительДетей,0)</f>
        <v/>
      </c>
      <c r="BR116" s="87">
        <f>IF(AND(ПравилоПовтора="Новый сезон",8-1&gt;MOD(MONTH('03_Сеть'!BR7)-9,12)),'03_Сеть'!BR30*CapacityAge08*МножительДетей,0)</f>
        <v/>
      </c>
      <c r="BS116" s="87">
        <f>IF(AND(ПравилоПовтора="Новый сезон",8-1&gt;MOD(MONTH('03_Сеть'!BS7)-9,12)),'03_Сеть'!BS30*CapacityAge08*МножительДетей,0)</f>
        <v/>
      </c>
      <c r="BT116" s="87">
        <f>IF(AND(ПравилоПовтора="Новый сезон",8-1&gt;MOD(MONTH('03_Сеть'!BT7)-9,12)),'03_Сеть'!BT30*CapacityAge08*МножительДетей,0)</f>
        <v/>
      </c>
      <c r="BU116" s="87">
        <f>IF(AND(ПравилоПовтора="Новый сезон",8-1&gt;MOD(MONTH('03_Сеть'!BU7)-9,12)),'03_Сеть'!BU30*CapacityAge08*МножительДетей,0)</f>
        <v/>
      </c>
      <c r="BV116" s="87">
        <f>IF(AND(ПравилоПовтора="Новый сезон",8-1&gt;MOD(MONTH('03_Сеть'!BV7)-9,12)),'03_Сеть'!BV30*CapacityAge08*МножительДетей,0)</f>
        <v/>
      </c>
      <c r="BW116" s="87">
        <f>IF(AND(ПравилоПовтора="Новый сезон",8-1&gt;MOD(MONTH('03_Сеть'!BW7)-9,12)),'03_Сеть'!BW30*CapacityAge08*МножительДетей,0)</f>
        <v/>
      </c>
      <c r="BX116" s="87">
        <f>IF(AND(ПравилоПовтора="Новый сезон",8-1&gt;MOD(MONTH('03_Сеть'!BX7)-9,12)),'03_Сеть'!BX30*CapacityAge08*МножительДетей,0)</f>
        <v/>
      </c>
      <c r="BY116" s="87">
        <f>IF(AND(ПравилоПовтора="Новый сезон",8-1&gt;MOD(MONTH('03_Сеть'!BY7)-9,12)),'03_Сеть'!BY30*CapacityAge08*МножительДетей,0)</f>
        <v/>
      </c>
    </row>
    <row r="117" ht="15.75" customHeight="1" s="194">
      <c r="B117" s="56" t="inlineStr">
        <is>
          <t>9 мес.</t>
        </is>
      </c>
      <c r="C117" s="56" t="inlineStr">
        <is>
          <t>чел.</t>
        </is>
      </c>
      <c r="D117" s="57" t="inlineStr">
        <is>
          <t>В колонках лет — значение на конец года, в «Итого» — на конец пятого года. Это остаток, а не сумма.</t>
        </is>
      </c>
      <c r="E117" s="85">
        <f>W117</f>
        <v/>
      </c>
      <c r="F117" s="85">
        <f>AI117</f>
        <v/>
      </c>
      <c r="G117" s="85">
        <f>AU117</f>
        <v/>
      </c>
      <c r="H117" s="85">
        <f>BG117</f>
        <v/>
      </c>
      <c r="I117" s="85">
        <f>BS117</f>
        <v/>
      </c>
      <c r="J117" s="86">
        <f>BS117</f>
        <v/>
      </c>
      <c r="L117" s="87">
        <f>IF(AND(ПравилоПовтора="Новый сезон",9-1&gt;MOD(MONTH('03_Сеть'!L7)-9,12)),'03_Сеть'!L31*CapacityAge09*МножительДетей,0)</f>
        <v/>
      </c>
      <c r="M117" s="87">
        <f>IF(AND(ПравилоПовтора="Новый сезон",9-1&gt;MOD(MONTH('03_Сеть'!M7)-9,12)),'03_Сеть'!M31*CapacityAge09*МножительДетей,0)</f>
        <v/>
      </c>
      <c r="N117" s="87">
        <f>IF(AND(ПравилоПовтора="Новый сезон",9-1&gt;MOD(MONTH('03_Сеть'!N7)-9,12)),'03_Сеть'!N31*CapacityAge09*МножительДетей,0)</f>
        <v/>
      </c>
      <c r="O117" s="87">
        <f>IF(AND(ПравилоПовтора="Новый сезон",9-1&gt;MOD(MONTH('03_Сеть'!O7)-9,12)),'03_Сеть'!O31*CapacityAge09*МножительДетей,0)</f>
        <v/>
      </c>
      <c r="P117" s="87">
        <f>IF(AND(ПравилоПовтора="Новый сезон",9-1&gt;MOD(MONTH('03_Сеть'!P7)-9,12)),'03_Сеть'!P31*CapacityAge09*МножительДетей,0)</f>
        <v/>
      </c>
      <c r="Q117" s="87">
        <f>IF(AND(ПравилоПовтора="Новый сезон",9-1&gt;MOD(MONTH('03_Сеть'!Q7)-9,12)),'03_Сеть'!Q31*CapacityAge09*МножительДетей,0)</f>
        <v/>
      </c>
      <c r="R117" s="87">
        <f>IF(AND(ПравилоПовтора="Новый сезон",9-1&gt;MOD(MONTH('03_Сеть'!R7)-9,12)),'03_Сеть'!R31*CapacityAge09*МножительДетей,0)</f>
        <v/>
      </c>
      <c r="S117" s="87">
        <f>IF(AND(ПравилоПовтора="Новый сезон",9-1&gt;MOD(MONTH('03_Сеть'!S7)-9,12)),'03_Сеть'!S31*CapacityAge09*МножительДетей,0)</f>
        <v/>
      </c>
      <c r="T117" s="87">
        <f>IF(AND(ПравилоПовтора="Новый сезон",9-1&gt;MOD(MONTH('03_Сеть'!T7)-9,12)),'03_Сеть'!T31*CapacityAge09*МножительДетей,0)</f>
        <v/>
      </c>
      <c r="U117" s="87">
        <f>IF(AND(ПравилоПовтора="Новый сезон",9-1&gt;MOD(MONTH('03_Сеть'!U7)-9,12)),'03_Сеть'!U31*CapacityAge09*МножительДетей,0)</f>
        <v/>
      </c>
      <c r="V117" s="87">
        <f>IF(AND(ПравилоПовтора="Новый сезон",9-1&gt;MOD(MONTH('03_Сеть'!V7)-9,12)),'03_Сеть'!V31*CapacityAge09*МножительДетей,0)</f>
        <v/>
      </c>
      <c r="W117" s="87">
        <f>IF(AND(ПравилоПовтора="Новый сезон",9-1&gt;MOD(MONTH('03_Сеть'!W7)-9,12)),'03_Сеть'!W31*CapacityAge09*МножительДетей,0)</f>
        <v/>
      </c>
      <c r="X117" s="87">
        <f>IF(AND(ПравилоПовтора="Новый сезон",9-1&gt;MOD(MONTH('03_Сеть'!X7)-9,12)),'03_Сеть'!X31*CapacityAge09*МножительДетей,0)</f>
        <v/>
      </c>
      <c r="Y117" s="87">
        <f>IF(AND(ПравилоПовтора="Новый сезон",9-1&gt;MOD(MONTH('03_Сеть'!Y7)-9,12)),'03_Сеть'!Y31*CapacityAge09*МножительДетей,0)</f>
        <v/>
      </c>
      <c r="Z117" s="87">
        <f>IF(AND(ПравилоПовтора="Новый сезон",9-1&gt;MOD(MONTH('03_Сеть'!Z7)-9,12)),'03_Сеть'!Z31*CapacityAge09*МножительДетей,0)</f>
        <v/>
      </c>
      <c r="AA117" s="87">
        <f>IF(AND(ПравилоПовтора="Новый сезон",9-1&gt;MOD(MONTH('03_Сеть'!AA7)-9,12)),'03_Сеть'!AA31*CapacityAge09*МножительДетей,0)</f>
        <v/>
      </c>
      <c r="AB117" s="87">
        <f>IF(AND(ПравилоПовтора="Новый сезон",9-1&gt;MOD(MONTH('03_Сеть'!AB7)-9,12)),'03_Сеть'!AB31*CapacityAge09*МножительДетей,0)</f>
        <v/>
      </c>
      <c r="AC117" s="87">
        <f>IF(AND(ПравилоПовтора="Новый сезон",9-1&gt;MOD(MONTH('03_Сеть'!AC7)-9,12)),'03_Сеть'!AC31*CapacityAge09*МножительДетей,0)</f>
        <v/>
      </c>
      <c r="AD117" s="87">
        <f>IF(AND(ПравилоПовтора="Новый сезон",9-1&gt;MOD(MONTH('03_Сеть'!AD7)-9,12)),'03_Сеть'!AD31*CapacityAge09*МножительДетей,0)</f>
        <v/>
      </c>
      <c r="AE117" s="87">
        <f>IF(AND(ПравилоПовтора="Новый сезон",9-1&gt;MOD(MONTH('03_Сеть'!AE7)-9,12)),'03_Сеть'!AE31*CapacityAge09*МножительДетей,0)</f>
        <v/>
      </c>
      <c r="AF117" s="87">
        <f>IF(AND(ПравилоПовтора="Новый сезон",9-1&gt;MOD(MONTH('03_Сеть'!AF7)-9,12)),'03_Сеть'!AF31*CapacityAge09*МножительДетей,0)</f>
        <v/>
      </c>
      <c r="AG117" s="87">
        <f>IF(AND(ПравилоПовтора="Новый сезон",9-1&gt;MOD(MONTH('03_Сеть'!AG7)-9,12)),'03_Сеть'!AG31*CapacityAge09*МножительДетей,0)</f>
        <v/>
      </c>
      <c r="AH117" s="87">
        <f>IF(AND(ПравилоПовтора="Новый сезон",9-1&gt;MOD(MONTH('03_Сеть'!AH7)-9,12)),'03_Сеть'!AH31*CapacityAge09*МножительДетей,0)</f>
        <v/>
      </c>
      <c r="AI117" s="87">
        <f>IF(AND(ПравилоПовтора="Новый сезон",9-1&gt;MOD(MONTH('03_Сеть'!AI7)-9,12)),'03_Сеть'!AI31*CapacityAge09*МножительДетей,0)</f>
        <v/>
      </c>
      <c r="AJ117" s="87">
        <f>IF(AND(ПравилоПовтора="Новый сезон",9-1&gt;MOD(MONTH('03_Сеть'!AJ7)-9,12)),'03_Сеть'!AJ31*CapacityAge09*МножительДетей,0)</f>
        <v/>
      </c>
      <c r="AK117" s="87">
        <f>IF(AND(ПравилоПовтора="Новый сезон",9-1&gt;MOD(MONTH('03_Сеть'!AK7)-9,12)),'03_Сеть'!AK31*CapacityAge09*МножительДетей,0)</f>
        <v/>
      </c>
      <c r="AL117" s="87">
        <f>IF(AND(ПравилоПовтора="Новый сезон",9-1&gt;MOD(MONTH('03_Сеть'!AL7)-9,12)),'03_Сеть'!AL31*CapacityAge09*МножительДетей,0)</f>
        <v/>
      </c>
      <c r="AM117" s="87">
        <f>IF(AND(ПравилоПовтора="Новый сезон",9-1&gt;MOD(MONTH('03_Сеть'!AM7)-9,12)),'03_Сеть'!AM31*CapacityAge09*МножительДетей,0)</f>
        <v/>
      </c>
      <c r="AN117" s="87">
        <f>IF(AND(ПравилоПовтора="Новый сезон",9-1&gt;MOD(MONTH('03_Сеть'!AN7)-9,12)),'03_Сеть'!AN31*CapacityAge09*МножительДетей,0)</f>
        <v/>
      </c>
      <c r="AO117" s="87">
        <f>IF(AND(ПравилоПовтора="Новый сезон",9-1&gt;MOD(MONTH('03_Сеть'!AO7)-9,12)),'03_Сеть'!AO31*CapacityAge09*МножительДетей,0)</f>
        <v/>
      </c>
      <c r="AP117" s="87">
        <f>IF(AND(ПравилоПовтора="Новый сезон",9-1&gt;MOD(MONTH('03_Сеть'!AP7)-9,12)),'03_Сеть'!AP31*CapacityAge09*МножительДетей,0)</f>
        <v/>
      </c>
      <c r="AQ117" s="87">
        <f>IF(AND(ПравилоПовтора="Новый сезон",9-1&gt;MOD(MONTH('03_Сеть'!AQ7)-9,12)),'03_Сеть'!AQ31*CapacityAge09*МножительДетей,0)</f>
        <v/>
      </c>
      <c r="AR117" s="87">
        <f>IF(AND(ПравилоПовтора="Новый сезон",9-1&gt;MOD(MONTH('03_Сеть'!AR7)-9,12)),'03_Сеть'!AR31*CapacityAge09*МножительДетей,0)</f>
        <v/>
      </c>
      <c r="AS117" s="87">
        <f>IF(AND(ПравилоПовтора="Новый сезон",9-1&gt;MOD(MONTH('03_Сеть'!AS7)-9,12)),'03_Сеть'!AS31*CapacityAge09*МножительДетей,0)</f>
        <v/>
      </c>
      <c r="AT117" s="87">
        <f>IF(AND(ПравилоПовтора="Новый сезон",9-1&gt;MOD(MONTH('03_Сеть'!AT7)-9,12)),'03_Сеть'!AT31*CapacityAge09*МножительДетей,0)</f>
        <v/>
      </c>
      <c r="AU117" s="87">
        <f>IF(AND(ПравилоПовтора="Новый сезон",9-1&gt;MOD(MONTH('03_Сеть'!AU7)-9,12)),'03_Сеть'!AU31*CapacityAge09*МножительДетей,0)</f>
        <v/>
      </c>
      <c r="AV117" s="87">
        <f>IF(AND(ПравилоПовтора="Новый сезон",9-1&gt;MOD(MONTH('03_Сеть'!AV7)-9,12)),'03_Сеть'!AV31*CapacityAge09*МножительДетей,0)</f>
        <v/>
      </c>
      <c r="AW117" s="87">
        <f>IF(AND(ПравилоПовтора="Новый сезон",9-1&gt;MOD(MONTH('03_Сеть'!AW7)-9,12)),'03_Сеть'!AW31*CapacityAge09*МножительДетей,0)</f>
        <v/>
      </c>
      <c r="AX117" s="87">
        <f>IF(AND(ПравилоПовтора="Новый сезон",9-1&gt;MOD(MONTH('03_Сеть'!AX7)-9,12)),'03_Сеть'!AX31*CapacityAge09*МножительДетей,0)</f>
        <v/>
      </c>
      <c r="AY117" s="87">
        <f>IF(AND(ПравилоПовтора="Новый сезон",9-1&gt;MOD(MONTH('03_Сеть'!AY7)-9,12)),'03_Сеть'!AY31*CapacityAge09*МножительДетей,0)</f>
        <v/>
      </c>
      <c r="AZ117" s="87">
        <f>IF(AND(ПравилоПовтора="Новый сезон",9-1&gt;MOD(MONTH('03_Сеть'!AZ7)-9,12)),'03_Сеть'!AZ31*CapacityAge09*МножительДетей,0)</f>
        <v/>
      </c>
      <c r="BA117" s="87">
        <f>IF(AND(ПравилоПовтора="Новый сезон",9-1&gt;MOD(MONTH('03_Сеть'!BA7)-9,12)),'03_Сеть'!BA31*CapacityAge09*МножительДетей,0)</f>
        <v/>
      </c>
      <c r="BB117" s="87">
        <f>IF(AND(ПравилоПовтора="Новый сезон",9-1&gt;MOD(MONTH('03_Сеть'!BB7)-9,12)),'03_Сеть'!BB31*CapacityAge09*МножительДетей,0)</f>
        <v/>
      </c>
      <c r="BC117" s="87">
        <f>IF(AND(ПравилоПовтора="Новый сезон",9-1&gt;MOD(MONTH('03_Сеть'!BC7)-9,12)),'03_Сеть'!BC31*CapacityAge09*МножительДетей,0)</f>
        <v/>
      </c>
      <c r="BD117" s="87">
        <f>IF(AND(ПравилоПовтора="Новый сезон",9-1&gt;MOD(MONTH('03_Сеть'!BD7)-9,12)),'03_Сеть'!BD31*CapacityAge09*МножительДетей,0)</f>
        <v/>
      </c>
      <c r="BE117" s="87">
        <f>IF(AND(ПравилоПовтора="Новый сезон",9-1&gt;MOD(MONTH('03_Сеть'!BE7)-9,12)),'03_Сеть'!BE31*CapacityAge09*МножительДетей,0)</f>
        <v/>
      </c>
      <c r="BF117" s="87">
        <f>IF(AND(ПравилоПовтора="Новый сезон",9-1&gt;MOD(MONTH('03_Сеть'!BF7)-9,12)),'03_Сеть'!BF31*CapacityAge09*МножительДетей,0)</f>
        <v/>
      </c>
      <c r="BG117" s="87">
        <f>IF(AND(ПравилоПовтора="Новый сезон",9-1&gt;MOD(MONTH('03_Сеть'!BG7)-9,12)),'03_Сеть'!BG31*CapacityAge09*МножительДетей,0)</f>
        <v/>
      </c>
      <c r="BH117" s="87">
        <f>IF(AND(ПравилоПовтора="Новый сезон",9-1&gt;MOD(MONTH('03_Сеть'!BH7)-9,12)),'03_Сеть'!BH31*CapacityAge09*МножительДетей,0)</f>
        <v/>
      </c>
      <c r="BI117" s="87">
        <f>IF(AND(ПравилоПовтора="Новый сезон",9-1&gt;MOD(MONTH('03_Сеть'!BI7)-9,12)),'03_Сеть'!BI31*CapacityAge09*МножительДетей,0)</f>
        <v/>
      </c>
      <c r="BJ117" s="87">
        <f>IF(AND(ПравилоПовтора="Новый сезон",9-1&gt;MOD(MONTH('03_Сеть'!BJ7)-9,12)),'03_Сеть'!BJ31*CapacityAge09*МножительДетей,0)</f>
        <v/>
      </c>
      <c r="BK117" s="87">
        <f>IF(AND(ПравилоПовтора="Новый сезон",9-1&gt;MOD(MONTH('03_Сеть'!BK7)-9,12)),'03_Сеть'!BK31*CapacityAge09*МножительДетей,0)</f>
        <v/>
      </c>
      <c r="BL117" s="87">
        <f>IF(AND(ПравилоПовтора="Новый сезон",9-1&gt;MOD(MONTH('03_Сеть'!BL7)-9,12)),'03_Сеть'!BL31*CapacityAge09*МножительДетей,0)</f>
        <v/>
      </c>
      <c r="BM117" s="87">
        <f>IF(AND(ПравилоПовтора="Новый сезон",9-1&gt;MOD(MONTH('03_Сеть'!BM7)-9,12)),'03_Сеть'!BM31*CapacityAge09*МножительДетей,0)</f>
        <v/>
      </c>
      <c r="BN117" s="87">
        <f>IF(AND(ПравилоПовтора="Новый сезон",9-1&gt;MOD(MONTH('03_Сеть'!BN7)-9,12)),'03_Сеть'!BN31*CapacityAge09*МножительДетей,0)</f>
        <v/>
      </c>
      <c r="BO117" s="87">
        <f>IF(AND(ПравилоПовтора="Новый сезон",9-1&gt;MOD(MONTH('03_Сеть'!BO7)-9,12)),'03_Сеть'!BO31*CapacityAge09*МножительДетей,0)</f>
        <v/>
      </c>
      <c r="BP117" s="87">
        <f>IF(AND(ПравилоПовтора="Новый сезон",9-1&gt;MOD(MONTH('03_Сеть'!BP7)-9,12)),'03_Сеть'!BP31*CapacityAge09*МножительДетей,0)</f>
        <v/>
      </c>
      <c r="BQ117" s="87">
        <f>IF(AND(ПравилоПовтора="Новый сезон",9-1&gt;MOD(MONTH('03_Сеть'!BQ7)-9,12)),'03_Сеть'!BQ31*CapacityAge09*МножительДетей,0)</f>
        <v/>
      </c>
      <c r="BR117" s="87">
        <f>IF(AND(ПравилоПовтора="Новый сезон",9-1&gt;MOD(MONTH('03_Сеть'!BR7)-9,12)),'03_Сеть'!BR31*CapacityAge09*МножительДетей,0)</f>
        <v/>
      </c>
      <c r="BS117" s="87">
        <f>IF(AND(ПравилоПовтора="Новый сезон",9-1&gt;MOD(MONTH('03_Сеть'!BS7)-9,12)),'03_Сеть'!BS31*CapacityAge09*МножительДетей,0)</f>
        <v/>
      </c>
      <c r="BT117" s="87">
        <f>IF(AND(ПравилоПовтора="Новый сезон",9-1&gt;MOD(MONTH('03_Сеть'!BT7)-9,12)),'03_Сеть'!BT31*CapacityAge09*МножительДетей,0)</f>
        <v/>
      </c>
      <c r="BU117" s="87">
        <f>IF(AND(ПравилоПовтора="Новый сезон",9-1&gt;MOD(MONTH('03_Сеть'!BU7)-9,12)),'03_Сеть'!BU31*CapacityAge09*МножительДетей,0)</f>
        <v/>
      </c>
      <c r="BV117" s="87">
        <f>IF(AND(ПравилоПовтора="Новый сезон",9-1&gt;MOD(MONTH('03_Сеть'!BV7)-9,12)),'03_Сеть'!BV31*CapacityAge09*МножительДетей,0)</f>
        <v/>
      </c>
      <c r="BW117" s="87">
        <f>IF(AND(ПравилоПовтора="Новый сезон",9-1&gt;MOD(MONTH('03_Сеть'!BW7)-9,12)),'03_Сеть'!BW31*CapacityAge09*МножительДетей,0)</f>
        <v/>
      </c>
      <c r="BX117" s="87">
        <f>IF(AND(ПравилоПовтора="Новый сезон",9-1&gt;MOD(MONTH('03_Сеть'!BX7)-9,12)),'03_Сеть'!BX31*CapacityAge09*МножительДетей,0)</f>
        <v/>
      </c>
      <c r="BY117" s="87">
        <f>IF(AND(ПравилоПовтора="Новый сезон",9-1&gt;MOD(MONTH('03_Сеть'!BY7)-9,12)),'03_Сеть'!BY31*CapacityAge09*МножительДетей,0)</f>
        <v/>
      </c>
    </row>
    <row r="118" ht="15.75" customHeight="1" s="194">
      <c r="B118" s="56" t="inlineStr">
        <is>
          <t>10 мес.</t>
        </is>
      </c>
      <c r="C118" s="56" t="inlineStr">
        <is>
          <t>чел.</t>
        </is>
      </c>
      <c r="D118" s="57" t="inlineStr">
        <is>
          <t>В колонках лет — значение на конец года, в «Итого» — на конец пятого года. Это остаток, а не сумма.</t>
        </is>
      </c>
      <c r="E118" s="85">
        <f>W118</f>
        <v/>
      </c>
      <c r="F118" s="85">
        <f>AI118</f>
        <v/>
      </c>
      <c r="G118" s="85">
        <f>AU118</f>
        <v/>
      </c>
      <c r="H118" s="85">
        <f>BG118</f>
        <v/>
      </c>
      <c r="I118" s="85">
        <f>BS118</f>
        <v/>
      </c>
      <c r="J118" s="86">
        <f>BS118</f>
        <v/>
      </c>
      <c r="L118" s="87">
        <f>IF(AND(ПравилоПовтора="Новый сезон",10-1&gt;MOD(MONTH('03_Сеть'!L7)-9,12)),'03_Сеть'!L32*CapacityAge10*МножительДетей,0)</f>
        <v/>
      </c>
      <c r="M118" s="87">
        <f>IF(AND(ПравилоПовтора="Новый сезон",10-1&gt;MOD(MONTH('03_Сеть'!M7)-9,12)),'03_Сеть'!M32*CapacityAge10*МножительДетей,0)</f>
        <v/>
      </c>
      <c r="N118" s="87">
        <f>IF(AND(ПравилоПовтора="Новый сезон",10-1&gt;MOD(MONTH('03_Сеть'!N7)-9,12)),'03_Сеть'!N32*CapacityAge10*МножительДетей,0)</f>
        <v/>
      </c>
      <c r="O118" s="87">
        <f>IF(AND(ПравилоПовтора="Новый сезон",10-1&gt;MOD(MONTH('03_Сеть'!O7)-9,12)),'03_Сеть'!O32*CapacityAge10*МножительДетей,0)</f>
        <v/>
      </c>
      <c r="P118" s="87">
        <f>IF(AND(ПравилоПовтора="Новый сезон",10-1&gt;MOD(MONTH('03_Сеть'!P7)-9,12)),'03_Сеть'!P32*CapacityAge10*МножительДетей,0)</f>
        <v/>
      </c>
      <c r="Q118" s="87">
        <f>IF(AND(ПравилоПовтора="Новый сезон",10-1&gt;MOD(MONTH('03_Сеть'!Q7)-9,12)),'03_Сеть'!Q32*CapacityAge10*МножительДетей,0)</f>
        <v/>
      </c>
      <c r="R118" s="87">
        <f>IF(AND(ПравилоПовтора="Новый сезон",10-1&gt;MOD(MONTH('03_Сеть'!R7)-9,12)),'03_Сеть'!R32*CapacityAge10*МножительДетей,0)</f>
        <v/>
      </c>
      <c r="S118" s="87">
        <f>IF(AND(ПравилоПовтора="Новый сезон",10-1&gt;MOD(MONTH('03_Сеть'!S7)-9,12)),'03_Сеть'!S32*CapacityAge10*МножительДетей,0)</f>
        <v/>
      </c>
      <c r="T118" s="87">
        <f>IF(AND(ПравилоПовтора="Новый сезон",10-1&gt;MOD(MONTH('03_Сеть'!T7)-9,12)),'03_Сеть'!T32*CapacityAge10*МножительДетей,0)</f>
        <v/>
      </c>
      <c r="U118" s="87">
        <f>IF(AND(ПравилоПовтора="Новый сезон",10-1&gt;MOD(MONTH('03_Сеть'!U7)-9,12)),'03_Сеть'!U32*CapacityAge10*МножительДетей,0)</f>
        <v/>
      </c>
      <c r="V118" s="87">
        <f>IF(AND(ПравилоПовтора="Новый сезон",10-1&gt;MOD(MONTH('03_Сеть'!V7)-9,12)),'03_Сеть'!V32*CapacityAge10*МножительДетей,0)</f>
        <v/>
      </c>
      <c r="W118" s="87">
        <f>IF(AND(ПравилоПовтора="Новый сезон",10-1&gt;MOD(MONTH('03_Сеть'!W7)-9,12)),'03_Сеть'!W32*CapacityAge10*МножительДетей,0)</f>
        <v/>
      </c>
      <c r="X118" s="87">
        <f>IF(AND(ПравилоПовтора="Новый сезон",10-1&gt;MOD(MONTH('03_Сеть'!X7)-9,12)),'03_Сеть'!X32*CapacityAge10*МножительДетей,0)</f>
        <v/>
      </c>
      <c r="Y118" s="87">
        <f>IF(AND(ПравилоПовтора="Новый сезон",10-1&gt;MOD(MONTH('03_Сеть'!Y7)-9,12)),'03_Сеть'!Y32*CapacityAge10*МножительДетей,0)</f>
        <v/>
      </c>
      <c r="Z118" s="87">
        <f>IF(AND(ПравилоПовтора="Новый сезон",10-1&gt;MOD(MONTH('03_Сеть'!Z7)-9,12)),'03_Сеть'!Z32*CapacityAge10*МножительДетей,0)</f>
        <v/>
      </c>
      <c r="AA118" s="87">
        <f>IF(AND(ПравилоПовтора="Новый сезон",10-1&gt;MOD(MONTH('03_Сеть'!AA7)-9,12)),'03_Сеть'!AA32*CapacityAge10*МножительДетей,0)</f>
        <v/>
      </c>
      <c r="AB118" s="87">
        <f>IF(AND(ПравилоПовтора="Новый сезон",10-1&gt;MOD(MONTH('03_Сеть'!AB7)-9,12)),'03_Сеть'!AB32*CapacityAge10*МножительДетей,0)</f>
        <v/>
      </c>
      <c r="AC118" s="87">
        <f>IF(AND(ПравилоПовтора="Новый сезон",10-1&gt;MOD(MONTH('03_Сеть'!AC7)-9,12)),'03_Сеть'!AC32*CapacityAge10*МножительДетей,0)</f>
        <v/>
      </c>
      <c r="AD118" s="87">
        <f>IF(AND(ПравилоПовтора="Новый сезон",10-1&gt;MOD(MONTH('03_Сеть'!AD7)-9,12)),'03_Сеть'!AD32*CapacityAge10*МножительДетей,0)</f>
        <v/>
      </c>
      <c r="AE118" s="87">
        <f>IF(AND(ПравилоПовтора="Новый сезон",10-1&gt;MOD(MONTH('03_Сеть'!AE7)-9,12)),'03_Сеть'!AE32*CapacityAge10*МножительДетей,0)</f>
        <v/>
      </c>
      <c r="AF118" s="87">
        <f>IF(AND(ПравилоПовтора="Новый сезон",10-1&gt;MOD(MONTH('03_Сеть'!AF7)-9,12)),'03_Сеть'!AF32*CapacityAge10*МножительДетей,0)</f>
        <v/>
      </c>
      <c r="AG118" s="87">
        <f>IF(AND(ПравилоПовтора="Новый сезон",10-1&gt;MOD(MONTH('03_Сеть'!AG7)-9,12)),'03_Сеть'!AG32*CapacityAge10*МножительДетей,0)</f>
        <v/>
      </c>
      <c r="AH118" s="87">
        <f>IF(AND(ПравилоПовтора="Новый сезон",10-1&gt;MOD(MONTH('03_Сеть'!AH7)-9,12)),'03_Сеть'!AH32*CapacityAge10*МножительДетей,0)</f>
        <v/>
      </c>
      <c r="AI118" s="87">
        <f>IF(AND(ПравилоПовтора="Новый сезон",10-1&gt;MOD(MONTH('03_Сеть'!AI7)-9,12)),'03_Сеть'!AI32*CapacityAge10*МножительДетей,0)</f>
        <v/>
      </c>
      <c r="AJ118" s="87">
        <f>IF(AND(ПравилоПовтора="Новый сезон",10-1&gt;MOD(MONTH('03_Сеть'!AJ7)-9,12)),'03_Сеть'!AJ32*CapacityAge10*МножительДетей,0)</f>
        <v/>
      </c>
      <c r="AK118" s="87">
        <f>IF(AND(ПравилоПовтора="Новый сезон",10-1&gt;MOD(MONTH('03_Сеть'!AK7)-9,12)),'03_Сеть'!AK32*CapacityAge10*МножительДетей,0)</f>
        <v/>
      </c>
      <c r="AL118" s="87">
        <f>IF(AND(ПравилоПовтора="Новый сезон",10-1&gt;MOD(MONTH('03_Сеть'!AL7)-9,12)),'03_Сеть'!AL32*CapacityAge10*МножительДетей,0)</f>
        <v/>
      </c>
      <c r="AM118" s="87">
        <f>IF(AND(ПравилоПовтора="Новый сезон",10-1&gt;MOD(MONTH('03_Сеть'!AM7)-9,12)),'03_Сеть'!AM32*CapacityAge10*МножительДетей,0)</f>
        <v/>
      </c>
      <c r="AN118" s="87">
        <f>IF(AND(ПравилоПовтора="Новый сезон",10-1&gt;MOD(MONTH('03_Сеть'!AN7)-9,12)),'03_Сеть'!AN32*CapacityAge10*МножительДетей,0)</f>
        <v/>
      </c>
      <c r="AO118" s="87">
        <f>IF(AND(ПравилоПовтора="Новый сезон",10-1&gt;MOD(MONTH('03_Сеть'!AO7)-9,12)),'03_Сеть'!AO32*CapacityAge10*МножительДетей,0)</f>
        <v/>
      </c>
      <c r="AP118" s="87">
        <f>IF(AND(ПравилоПовтора="Новый сезон",10-1&gt;MOD(MONTH('03_Сеть'!AP7)-9,12)),'03_Сеть'!AP32*CapacityAge10*МножительДетей,0)</f>
        <v/>
      </c>
      <c r="AQ118" s="87">
        <f>IF(AND(ПравилоПовтора="Новый сезон",10-1&gt;MOD(MONTH('03_Сеть'!AQ7)-9,12)),'03_Сеть'!AQ32*CapacityAge10*МножительДетей,0)</f>
        <v/>
      </c>
      <c r="AR118" s="87">
        <f>IF(AND(ПравилоПовтора="Новый сезон",10-1&gt;MOD(MONTH('03_Сеть'!AR7)-9,12)),'03_Сеть'!AR32*CapacityAge10*МножительДетей,0)</f>
        <v/>
      </c>
      <c r="AS118" s="87">
        <f>IF(AND(ПравилоПовтора="Новый сезон",10-1&gt;MOD(MONTH('03_Сеть'!AS7)-9,12)),'03_Сеть'!AS32*CapacityAge10*МножительДетей,0)</f>
        <v/>
      </c>
      <c r="AT118" s="87">
        <f>IF(AND(ПравилоПовтора="Новый сезон",10-1&gt;MOD(MONTH('03_Сеть'!AT7)-9,12)),'03_Сеть'!AT32*CapacityAge10*МножительДетей,0)</f>
        <v/>
      </c>
      <c r="AU118" s="87">
        <f>IF(AND(ПравилоПовтора="Новый сезон",10-1&gt;MOD(MONTH('03_Сеть'!AU7)-9,12)),'03_Сеть'!AU32*CapacityAge10*МножительДетей,0)</f>
        <v/>
      </c>
      <c r="AV118" s="87">
        <f>IF(AND(ПравилоПовтора="Новый сезон",10-1&gt;MOD(MONTH('03_Сеть'!AV7)-9,12)),'03_Сеть'!AV32*CapacityAge10*МножительДетей,0)</f>
        <v/>
      </c>
      <c r="AW118" s="87">
        <f>IF(AND(ПравилоПовтора="Новый сезон",10-1&gt;MOD(MONTH('03_Сеть'!AW7)-9,12)),'03_Сеть'!AW32*CapacityAge10*МножительДетей,0)</f>
        <v/>
      </c>
      <c r="AX118" s="87">
        <f>IF(AND(ПравилоПовтора="Новый сезон",10-1&gt;MOD(MONTH('03_Сеть'!AX7)-9,12)),'03_Сеть'!AX32*CapacityAge10*МножительДетей,0)</f>
        <v/>
      </c>
      <c r="AY118" s="87">
        <f>IF(AND(ПравилоПовтора="Новый сезон",10-1&gt;MOD(MONTH('03_Сеть'!AY7)-9,12)),'03_Сеть'!AY32*CapacityAge10*МножительДетей,0)</f>
        <v/>
      </c>
      <c r="AZ118" s="87">
        <f>IF(AND(ПравилоПовтора="Новый сезон",10-1&gt;MOD(MONTH('03_Сеть'!AZ7)-9,12)),'03_Сеть'!AZ32*CapacityAge10*МножительДетей,0)</f>
        <v/>
      </c>
      <c r="BA118" s="87">
        <f>IF(AND(ПравилоПовтора="Новый сезон",10-1&gt;MOD(MONTH('03_Сеть'!BA7)-9,12)),'03_Сеть'!BA32*CapacityAge10*МножительДетей,0)</f>
        <v/>
      </c>
      <c r="BB118" s="87">
        <f>IF(AND(ПравилоПовтора="Новый сезон",10-1&gt;MOD(MONTH('03_Сеть'!BB7)-9,12)),'03_Сеть'!BB32*CapacityAge10*МножительДетей,0)</f>
        <v/>
      </c>
      <c r="BC118" s="87">
        <f>IF(AND(ПравилоПовтора="Новый сезон",10-1&gt;MOD(MONTH('03_Сеть'!BC7)-9,12)),'03_Сеть'!BC32*CapacityAge10*МножительДетей,0)</f>
        <v/>
      </c>
      <c r="BD118" s="87">
        <f>IF(AND(ПравилоПовтора="Новый сезон",10-1&gt;MOD(MONTH('03_Сеть'!BD7)-9,12)),'03_Сеть'!BD32*CapacityAge10*МножительДетей,0)</f>
        <v/>
      </c>
      <c r="BE118" s="87">
        <f>IF(AND(ПравилоПовтора="Новый сезон",10-1&gt;MOD(MONTH('03_Сеть'!BE7)-9,12)),'03_Сеть'!BE32*CapacityAge10*МножительДетей,0)</f>
        <v/>
      </c>
      <c r="BF118" s="87">
        <f>IF(AND(ПравилоПовтора="Новый сезон",10-1&gt;MOD(MONTH('03_Сеть'!BF7)-9,12)),'03_Сеть'!BF32*CapacityAge10*МножительДетей,0)</f>
        <v/>
      </c>
      <c r="BG118" s="87">
        <f>IF(AND(ПравилоПовтора="Новый сезон",10-1&gt;MOD(MONTH('03_Сеть'!BG7)-9,12)),'03_Сеть'!BG32*CapacityAge10*МножительДетей,0)</f>
        <v/>
      </c>
      <c r="BH118" s="87">
        <f>IF(AND(ПравилоПовтора="Новый сезон",10-1&gt;MOD(MONTH('03_Сеть'!BH7)-9,12)),'03_Сеть'!BH32*CapacityAge10*МножительДетей,0)</f>
        <v/>
      </c>
      <c r="BI118" s="87">
        <f>IF(AND(ПравилоПовтора="Новый сезон",10-1&gt;MOD(MONTH('03_Сеть'!BI7)-9,12)),'03_Сеть'!BI32*CapacityAge10*МножительДетей,0)</f>
        <v/>
      </c>
      <c r="BJ118" s="87">
        <f>IF(AND(ПравилоПовтора="Новый сезон",10-1&gt;MOD(MONTH('03_Сеть'!BJ7)-9,12)),'03_Сеть'!BJ32*CapacityAge10*МножительДетей,0)</f>
        <v/>
      </c>
      <c r="BK118" s="87">
        <f>IF(AND(ПравилоПовтора="Новый сезон",10-1&gt;MOD(MONTH('03_Сеть'!BK7)-9,12)),'03_Сеть'!BK32*CapacityAge10*МножительДетей,0)</f>
        <v/>
      </c>
      <c r="BL118" s="87">
        <f>IF(AND(ПравилоПовтора="Новый сезон",10-1&gt;MOD(MONTH('03_Сеть'!BL7)-9,12)),'03_Сеть'!BL32*CapacityAge10*МножительДетей,0)</f>
        <v/>
      </c>
      <c r="BM118" s="87">
        <f>IF(AND(ПравилоПовтора="Новый сезон",10-1&gt;MOD(MONTH('03_Сеть'!BM7)-9,12)),'03_Сеть'!BM32*CapacityAge10*МножительДетей,0)</f>
        <v/>
      </c>
      <c r="BN118" s="87">
        <f>IF(AND(ПравилоПовтора="Новый сезон",10-1&gt;MOD(MONTH('03_Сеть'!BN7)-9,12)),'03_Сеть'!BN32*CapacityAge10*МножительДетей,0)</f>
        <v/>
      </c>
      <c r="BO118" s="87">
        <f>IF(AND(ПравилоПовтора="Новый сезон",10-1&gt;MOD(MONTH('03_Сеть'!BO7)-9,12)),'03_Сеть'!BO32*CapacityAge10*МножительДетей,0)</f>
        <v/>
      </c>
      <c r="BP118" s="87">
        <f>IF(AND(ПравилоПовтора="Новый сезон",10-1&gt;MOD(MONTH('03_Сеть'!BP7)-9,12)),'03_Сеть'!BP32*CapacityAge10*МножительДетей,0)</f>
        <v/>
      </c>
      <c r="BQ118" s="87">
        <f>IF(AND(ПравилоПовтора="Новый сезон",10-1&gt;MOD(MONTH('03_Сеть'!BQ7)-9,12)),'03_Сеть'!BQ32*CapacityAge10*МножительДетей,0)</f>
        <v/>
      </c>
      <c r="BR118" s="87">
        <f>IF(AND(ПравилоПовтора="Новый сезон",10-1&gt;MOD(MONTH('03_Сеть'!BR7)-9,12)),'03_Сеть'!BR32*CapacityAge10*МножительДетей,0)</f>
        <v/>
      </c>
      <c r="BS118" s="87">
        <f>IF(AND(ПравилоПовтора="Новый сезон",10-1&gt;MOD(MONTH('03_Сеть'!BS7)-9,12)),'03_Сеть'!BS32*CapacityAge10*МножительДетей,0)</f>
        <v/>
      </c>
      <c r="BT118" s="87">
        <f>IF(AND(ПравилоПовтора="Новый сезон",10-1&gt;MOD(MONTH('03_Сеть'!BT7)-9,12)),'03_Сеть'!BT32*CapacityAge10*МножительДетей,0)</f>
        <v/>
      </c>
      <c r="BU118" s="87">
        <f>IF(AND(ПравилоПовтора="Новый сезон",10-1&gt;MOD(MONTH('03_Сеть'!BU7)-9,12)),'03_Сеть'!BU32*CapacityAge10*МножительДетей,0)</f>
        <v/>
      </c>
      <c r="BV118" s="87">
        <f>IF(AND(ПравилоПовтора="Новый сезон",10-1&gt;MOD(MONTH('03_Сеть'!BV7)-9,12)),'03_Сеть'!BV32*CapacityAge10*МножительДетей,0)</f>
        <v/>
      </c>
      <c r="BW118" s="87">
        <f>IF(AND(ПравилоПовтора="Новый сезон",10-1&gt;MOD(MONTH('03_Сеть'!BW7)-9,12)),'03_Сеть'!BW32*CapacityAge10*МножительДетей,0)</f>
        <v/>
      </c>
      <c r="BX118" s="87">
        <f>IF(AND(ПравилоПовтора="Новый сезон",10-1&gt;MOD(MONTH('03_Сеть'!BX7)-9,12)),'03_Сеть'!BX32*CapacityAge10*МножительДетей,0)</f>
        <v/>
      </c>
      <c r="BY118" s="87">
        <f>IF(AND(ПравилоПовтора="Новый сезон",10-1&gt;MOD(MONTH('03_Сеть'!BY7)-9,12)),'03_Сеть'!BY32*CapacityAge10*МножительДетей,0)</f>
        <v/>
      </c>
    </row>
    <row r="119" ht="15.75" customHeight="1" s="194">
      <c r="B119" s="56" t="inlineStr">
        <is>
          <t>11 мес.</t>
        </is>
      </c>
      <c r="C119" s="56" t="inlineStr">
        <is>
          <t>чел.</t>
        </is>
      </c>
      <c r="D119" s="57" t="inlineStr">
        <is>
          <t>В колонках лет — значение на конец года, в «Итого» — на конец пятого года. Это остаток, а не сумма.</t>
        </is>
      </c>
      <c r="E119" s="85">
        <f>W119</f>
        <v/>
      </c>
      <c r="F119" s="85">
        <f>AI119</f>
        <v/>
      </c>
      <c r="G119" s="85">
        <f>AU119</f>
        <v/>
      </c>
      <c r="H119" s="85">
        <f>BG119</f>
        <v/>
      </c>
      <c r="I119" s="85">
        <f>BS119</f>
        <v/>
      </c>
      <c r="J119" s="86">
        <f>BS119</f>
        <v/>
      </c>
      <c r="L119" s="87">
        <f>IF(AND(ПравилоПовтора="Новый сезон",11-1&gt;MOD(MONTH('03_Сеть'!L7)-9,12)),'03_Сеть'!L33*CapacityAge11*МножительДетей,0)</f>
        <v/>
      </c>
      <c r="M119" s="87">
        <f>IF(AND(ПравилоПовтора="Новый сезон",11-1&gt;MOD(MONTH('03_Сеть'!M7)-9,12)),'03_Сеть'!M33*CapacityAge11*МножительДетей,0)</f>
        <v/>
      </c>
      <c r="N119" s="87">
        <f>IF(AND(ПравилоПовтора="Новый сезон",11-1&gt;MOD(MONTH('03_Сеть'!N7)-9,12)),'03_Сеть'!N33*CapacityAge11*МножительДетей,0)</f>
        <v/>
      </c>
      <c r="O119" s="87">
        <f>IF(AND(ПравилоПовтора="Новый сезон",11-1&gt;MOD(MONTH('03_Сеть'!O7)-9,12)),'03_Сеть'!O33*CapacityAge11*МножительДетей,0)</f>
        <v/>
      </c>
      <c r="P119" s="87">
        <f>IF(AND(ПравилоПовтора="Новый сезон",11-1&gt;MOD(MONTH('03_Сеть'!P7)-9,12)),'03_Сеть'!P33*CapacityAge11*МножительДетей,0)</f>
        <v/>
      </c>
      <c r="Q119" s="87">
        <f>IF(AND(ПравилоПовтора="Новый сезон",11-1&gt;MOD(MONTH('03_Сеть'!Q7)-9,12)),'03_Сеть'!Q33*CapacityAge11*МножительДетей,0)</f>
        <v/>
      </c>
      <c r="R119" s="87">
        <f>IF(AND(ПравилоПовтора="Новый сезон",11-1&gt;MOD(MONTH('03_Сеть'!R7)-9,12)),'03_Сеть'!R33*CapacityAge11*МножительДетей,0)</f>
        <v/>
      </c>
      <c r="S119" s="87">
        <f>IF(AND(ПравилоПовтора="Новый сезон",11-1&gt;MOD(MONTH('03_Сеть'!S7)-9,12)),'03_Сеть'!S33*CapacityAge11*МножительДетей,0)</f>
        <v/>
      </c>
      <c r="T119" s="87">
        <f>IF(AND(ПравилоПовтора="Новый сезон",11-1&gt;MOD(MONTH('03_Сеть'!T7)-9,12)),'03_Сеть'!T33*CapacityAge11*МножительДетей,0)</f>
        <v/>
      </c>
      <c r="U119" s="87">
        <f>IF(AND(ПравилоПовтора="Новый сезон",11-1&gt;MOD(MONTH('03_Сеть'!U7)-9,12)),'03_Сеть'!U33*CapacityAge11*МножительДетей,0)</f>
        <v/>
      </c>
      <c r="V119" s="87">
        <f>IF(AND(ПравилоПовтора="Новый сезон",11-1&gt;MOD(MONTH('03_Сеть'!V7)-9,12)),'03_Сеть'!V33*CapacityAge11*МножительДетей,0)</f>
        <v/>
      </c>
      <c r="W119" s="87">
        <f>IF(AND(ПравилоПовтора="Новый сезон",11-1&gt;MOD(MONTH('03_Сеть'!W7)-9,12)),'03_Сеть'!W33*CapacityAge11*МножительДетей,0)</f>
        <v/>
      </c>
      <c r="X119" s="87">
        <f>IF(AND(ПравилоПовтора="Новый сезон",11-1&gt;MOD(MONTH('03_Сеть'!X7)-9,12)),'03_Сеть'!X33*CapacityAge11*МножительДетей,0)</f>
        <v/>
      </c>
      <c r="Y119" s="87">
        <f>IF(AND(ПравилоПовтора="Новый сезон",11-1&gt;MOD(MONTH('03_Сеть'!Y7)-9,12)),'03_Сеть'!Y33*CapacityAge11*МножительДетей,0)</f>
        <v/>
      </c>
      <c r="Z119" s="87">
        <f>IF(AND(ПравилоПовтора="Новый сезон",11-1&gt;MOD(MONTH('03_Сеть'!Z7)-9,12)),'03_Сеть'!Z33*CapacityAge11*МножительДетей,0)</f>
        <v/>
      </c>
      <c r="AA119" s="87">
        <f>IF(AND(ПравилоПовтора="Новый сезон",11-1&gt;MOD(MONTH('03_Сеть'!AA7)-9,12)),'03_Сеть'!AA33*CapacityAge11*МножительДетей,0)</f>
        <v/>
      </c>
      <c r="AB119" s="87">
        <f>IF(AND(ПравилоПовтора="Новый сезон",11-1&gt;MOD(MONTH('03_Сеть'!AB7)-9,12)),'03_Сеть'!AB33*CapacityAge11*МножительДетей,0)</f>
        <v/>
      </c>
      <c r="AC119" s="87">
        <f>IF(AND(ПравилоПовтора="Новый сезон",11-1&gt;MOD(MONTH('03_Сеть'!AC7)-9,12)),'03_Сеть'!AC33*CapacityAge11*МножительДетей,0)</f>
        <v/>
      </c>
      <c r="AD119" s="87">
        <f>IF(AND(ПравилоПовтора="Новый сезон",11-1&gt;MOD(MONTH('03_Сеть'!AD7)-9,12)),'03_Сеть'!AD33*CapacityAge11*МножительДетей,0)</f>
        <v/>
      </c>
      <c r="AE119" s="87">
        <f>IF(AND(ПравилоПовтора="Новый сезон",11-1&gt;MOD(MONTH('03_Сеть'!AE7)-9,12)),'03_Сеть'!AE33*CapacityAge11*МножительДетей,0)</f>
        <v/>
      </c>
      <c r="AF119" s="87">
        <f>IF(AND(ПравилоПовтора="Новый сезон",11-1&gt;MOD(MONTH('03_Сеть'!AF7)-9,12)),'03_Сеть'!AF33*CapacityAge11*МножительДетей,0)</f>
        <v/>
      </c>
      <c r="AG119" s="87">
        <f>IF(AND(ПравилоПовтора="Новый сезон",11-1&gt;MOD(MONTH('03_Сеть'!AG7)-9,12)),'03_Сеть'!AG33*CapacityAge11*МножительДетей,0)</f>
        <v/>
      </c>
      <c r="AH119" s="87">
        <f>IF(AND(ПравилоПовтора="Новый сезон",11-1&gt;MOD(MONTH('03_Сеть'!AH7)-9,12)),'03_Сеть'!AH33*CapacityAge11*МножительДетей,0)</f>
        <v/>
      </c>
      <c r="AI119" s="87">
        <f>IF(AND(ПравилоПовтора="Новый сезон",11-1&gt;MOD(MONTH('03_Сеть'!AI7)-9,12)),'03_Сеть'!AI33*CapacityAge11*МножительДетей,0)</f>
        <v/>
      </c>
      <c r="AJ119" s="87">
        <f>IF(AND(ПравилоПовтора="Новый сезон",11-1&gt;MOD(MONTH('03_Сеть'!AJ7)-9,12)),'03_Сеть'!AJ33*CapacityAge11*МножительДетей,0)</f>
        <v/>
      </c>
      <c r="AK119" s="87">
        <f>IF(AND(ПравилоПовтора="Новый сезон",11-1&gt;MOD(MONTH('03_Сеть'!AK7)-9,12)),'03_Сеть'!AK33*CapacityAge11*МножительДетей,0)</f>
        <v/>
      </c>
      <c r="AL119" s="87">
        <f>IF(AND(ПравилоПовтора="Новый сезон",11-1&gt;MOD(MONTH('03_Сеть'!AL7)-9,12)),'03_Сеть'!AL33*CapacityAge11*МножительДетей,0)</f>
        <v/>
      </c>
      <c r="AM119" s="87">
        <f>IF(AND(ПравилоПовтора="Новый сезон",11-1&gt;MOD(MONTH('03_Сеть'!AM7)-9,12)),'03_Сеть'!AM33*CapacityAge11*МножительДетей,0)</f>
        <v/>
      </c>
      <c r="AN119" s="87">
        <f>IF(AND(ПравилоПовтора="Новый сезон",11-1&gt;MOD(MONTH('03_Сеть'!AN7)-9,12)),'03_Сеть'!AN33*CapacityAge11*МножительДетей,0)</f>
        <v/>
      </c>
      <c r="AO119" s="87">
        <f>IF(AND(ПравилоПовтора="Новый сезон",11-1&gt;MOD(MONTH('03_Сеть'!AO7)-9,12)),'03_Сеть'!AO33*CapacityAge11*МножительДетей,0)</f>
        <v/>
      </c>
      <c r="AP119" s="87">
        <f>IF(AND(ПравилоПовтора="Новый сезон",11-1&gt;MOD(MONTH('03_Сеть'!AP7)-9,12)),'03_Сеть'!AP33*CapacityAge11*МножительДетей,0)</f>
        <v/>
      </c>
      <c r="AQ119" s="87">
        <f>IF(AND(ПравилоПовтора="Новый сезон",11-1&gt;MOD(MONTH('03_Сеть'!AQ7)-9,12)),'03_Сеть'!AQ33*CapacityAge11*МножительДетей,0)</f>
        <v/>
      </c>
      <c r="AR119" s="87">
        <f>IF(AND(ПравилоПовтора="Новый сезон",11-1&gt;MOD(MONTH('03_Сеть'!AR7)-9,12)),'03_Сеть'!AR33*CapacityAge11*МножительДетей,0)</f>
        <v/>
      </c>
      <c r="AS119" s="87">
        <f>IF(AND(ПравилоПовтора="Новый сезон",11-1&gt;MOD(MONTH('03_Сеть'!AS7)-9,12)),'03_Сеть'!AS33*CapacityAge11*МножительДетей,0)</f>
        <v/>
      </c>
      <c r="AT119" s="87">
        <f>IF(AND(ПравилоПовтора="Новый сезон",11-1&gt;MOD(MONTH('03_Сеть'!AT7)-9,12)),'03_Сеть'!AT33*CapacityAge11*МножительДетей,0)</f>
        <v/>
      </c>
      <c r="AU119" s="87">
        <f>IF(AND(ПравилоПовтора="Новый сезон",11-1&gt;MOD(MONTH('03_Сеть'!AU7)-9,12)),'03_Сеть'!AU33*CapacityAge11*МножительДетей,0)</f>
        <v/>
      </c>
      <c r="AV119" s="87">
        <f>IF(AND(ПравилоПовтора="Новый сезон",11-1&gt;MOD(MONTH('03_Сеть'!AV7)-9,12)),'03_Сеть'!AV33*CapacityAge11*МножительДетей,0)</f>
        <v/>
      </c>
      <c r="AW119" s="87">
        <f>IF(AND(ПравилоПовтора="Новый сезон",11-1&gt;MOD(MONTH('03_Сеть'!AW7)-9,12)),'03_Сеть'!AW33*CapacityAge11*МножительДетей,0)</f>
        <v/>
      </c>
      <c r="AX119" s="87">
        <f>IF(AND(ПравилоПовтора="Новый сезон",11-1&gt;MOD(MONTH('03_Сеть'!AX7)-9,12)),'03_Сеть'!AX33*CapacityAge11*МножительДетей,0)</f>
        <v/>
      </c>
      <c r="AY119" s="87">
        <f>IF(AND(ПравилоПовтора="Новый сезон",11-1&gt;MOD(MONTH('03_Сеть'!AY7)-9,12)),'03_Сеть'!AY33*CapacityAge11*МножительДетей,0)</f>
        <v/>
      </c>
      <c r="AZ119" s="87">
        <f>IF(AND(ПравилоПовтора="Новый сезон",11-1&gt;MOD(MONTH('03_Сеть'!AZ7)-9,12)),'03_Сеть'!AZ33*CapacityAge11*МножительДетей,0)</f>
        <v/>
      </c>
      <c r="BA119" s="87">
        <f>IF(AND(ПравилоПовтора="Новый сезон",11-1&gt;MOD(MONTH('03_Сеть'!BA7)-9,12)),'03_Сеть'!BA33*CapacityAge11*МножительДетей,0)</f>
        <v/>
      </c>
      <c r="BB119" s="87">
        <f>IF(AND(ПравилоПовтора="Новый сезон",11-1&gt;MOD(MONTH('03_Сеть'!BB7)-9,12)),'03_Сеть'!BB33*CapacityAge11*МножительДетей,0)</f>
        <v/>
      </c>
      <c r="BC119" s="87">
        <f>IF(AND(ПравилоПовтора="Новый сезон",11-1&gt;MOD(MONTH('03_Сеть'!BC7)-9,12)),'03_Сеть'!BC33*CapacityAge11*МножительДетей,0)</f>
        <v/>
      </c>
      <c r="BD119" s="87">
        <f>IF(AND(ПравилоПовтора="Новый сезон",11-1&gt;MOD(MONTH('03_Сеть'!BD7)-9,12)),'03_Сеть'!BD33*CapacityAge11*МножительДетей,0)</f>
        <v/>
      </c>
      <c r="BE119" s="87">
        <f>IF(AND(ПравилоПовтора="Новый сезон",11-1&gt;MOD(MONTH('03_Сеть'!BE7)-9,12)),'03_Сеть'!BE33*CapacityAge11*МножительДетей,0)</f>
        <v/>
      </c>
      <c r="BF119" s="87">
        <f>IF(AND(ПравилоПовтора="Новый сезон",11-1&gt;MOD(MONTH('03_Сеть'!BF7)-9,12)),'03_Сеть'!BF33*CapacityAge11*МножительДетей,0)</f>
        <v/>
      </c>
      <c r="BG119" s="87">
        <f>IF(AND(ПравилоПовтора="Новый сезон",11-1&gt;MOD(MONTH('03_Сеть'!BG7)-9,12)),'03_Сеть'!BG33*CapacityAge11*МножительДетей,0)</f>
        <v/>
      </c>
      <c r="BH119" s="87">
        <f>IF(AND(ПравилоПовтора="Новый сезон",11-1&gt;MOD(MONTH('03_Сеть'!BH7)-9,12)),'03_Сеть'!BH33*CapacityAge11*МножительДетей,0)</f>
        <v/>
      </c>
      <c r="BI119" s="87">
        <f>IF(AND(ПравилоПовтора="Новый сезон",11-1&gt;MOD(MONTH('03_Сеть'!BI7)-9,12)),'03_Сеть'!BI33*CapacityAge11*МножительДетей,0)</f>
        <v/>
      </c>
      <c r="BJ119" s="87">
        <f>IF(AND(ПравилоПовтора="Новый сезон",11-1&gt;MOD(MONTH('03_Сеть'!BJ7)-9,12)),'03_Сеть'!BJ33*CapacityAge11*МножительДетей,0)</f>
        <v/>
      </c>
      <c r="BK119" s="87">
        <f>IF(AND(ПравилоПовтора="Новый сезон",11-1&gt;MOD(MONTH('03_Сеть'!BK7)-9,12)),'03_Сеть'!BK33*CapacityAge11*МножительДетей,0)</f>
        <v/>
      </c>
      <c r="BL119" s="87">
        <f>IF(AND(ПравилоПовтора="Новый сезон",11-1&gt;MOD(MONTH('03_Сеть'!BL7)-9,12)),'03_Сеть'!BL33*CapacityAge11*МножительДетей,0)</f>
        <v/>
      </c>
      <c r="BM119" s="87">
        <f>IF(AND(ПравилоПовтора="Новый сезон",11-1&gt;MOD(MONTH('03_Сеть'!BM7)-9,12)),'03_Сеть'!BM33*CapacityAge11*МножительДетей,0)</f>
        <v/>
      </c>
      <c r="BN119" s="87">
        <f>IF(AND(ПравилоПовтора="Новый сезон",11-1&gt;MOD(MONTH('03_Сеть'!BN7)-9,12)),'03_Сеть'!BN33*CapacityAge11*МножительДетей,0)</f>
        <v/>
      </c>
      <c r="BO119" s="87">
        <f>IF(AND(ПравилоПовтора="Новый сезон",11-1&gt;MOD(MONTH('03_Сеть'!BO7)-9,12)),'03_Сеть'!BO33*CapacityAge11*МножительДетей,0)</f>
        <v/>
      </c>
      <c r="BP119" s="87">
        <f>IF(AND(ПравилоПовтора="Новый сезон",11-1&gt;MOD(MONTH('03_Сеть'!BP7)-9,12)),'03_Сеть'!BP33*CapacityAge11*МножительДетей,0)</f>
        <v/>
      </c>
      <c r="BQ119" s="87">
        <f>IF(AND(ПравилоПовтора="Новый сезон",11-1&gt;MOD(MONTH('03_Сеть'!BQ7)-9,12)),'03_Сеть'!BQ33*CapacityAge11*МножительДетей,0)</f>
        <v/>
      </c>
      <c r="BR119" s="87">
        <f>IF(AND(ПравилоПовтора="Новый сезон",11-1&gt;MOD(MONTH('03_Сеть'!BR7)-9,12)),'03_Сеть'!BR33*CapacityAge11*МножительДетей,0)</f>
        <v/>
      </c>
      <c r="BS119" s="87">
        <f>IF(AND(ПравилоПовтора="Новый сезон",11-1&gt;MOD(MONTH('03_Сеть'!BS7)-9,12)),'03_Сеть'!BS33*CapacityAge11*МножительДетей,0)</f>
        <v/>
      </c>
      <c r="BT119" s="87">
        <f>IF(AND(ПравилоПовтора="Новый сезон",11-1&gt;MOD(MONTH('03_Сеть'!BT7)-9,12)),'03_Сеть'!BT33*CapacityAge11*МножительДетей,0)</f>
        <v/>
      </c>
      <c r="BU119" s="87">
        <f>IF(AND(ПравилоПовтора="Новый сезон",11-1&gt;MOD(MONTH('03_Сеть'!BU7)-9,12)),'03_Сеть'!BU33*CapacityAge11*МножительДетей,0)</f>
        <v/>
      </c>
      <c r="BV119" s="87">
        <f>IF(AND(ПравилоПовтора="Новый сезон",11-1&gt;MOD(MONTH('03_Сеть'!BV7)-9,12)),'03_Сеть'!BV33*CapacityAge11*МножительДетей,0)</f>
        <v/>
      </c>
      <c r="BW119" s="87">
        <f>IF(AND(ПравилоПовтора="Новый сезон",11-1&gt;MOD(MONTH('03_Сеть'!BW7)-9,12)),'03_Сеть'!BW33*CapacityAge11*МножительДетей,0)</f>
        <v/>
      </c>
      <c r="BX119" s="87">
        <f>IF(AND(ПравилоПовтора="Новый сезон",11-1&gt;MOD(MONTH('03_Сеть'!BX7)-9,12)),'03_Сеть'!BX33*CapacityAge11*МножительДетей,0)</f>
        <v/>
      </c>
      <c r="BY119" s="87">
        <f>IF(AND(ПравилоПовтора="Новый сезон",11-1&gt;MOD(MONTH('03_Сеть'!BY7)-9,12)),'03_Сеть'!BY33*CapacityAge11*МножительДетей,0)</f>
        <v/>
      </c>
    </row>
    <row r="120" ht="15.75" customHeight="1" s="194">
      <c r="B120" s="56" t="inlineStr">
        <is>
          <t>12 мес.</t>
        </is>
      </c>
      <c r="C120" s="56" t="inlineStr">
        <is>
          <t>чел.</t>
        </is>
      </c>
      <c r="D120" s="57" t="inlineStr">
        <is>
          <t>В колонках лет — значение на конец года, в «Итого» — на конец пятого года. Это остаток, а не сумма.</t>
        </is>
      </c>
      <c r="E120" s="85">
        <f>W120</f>
        <v/>
      </c>
      <c r="F120" s="85">
        <f>AI120</f>
        <v/>
      </c>
      <c r="G120" s="85">
        <f>AU120</f>
        <v/>
      </c>
      <c r="H120" s="85">
        <f>BG120</f>
        <v/>
      </c>
      <c r="I120" s="85">
        <f>BS120</f>
        <v/>
      </c>
      <c r="J120" s="86">
        <f>BS120</f>
        <v/>
      </c>
      <c r="L120" s="87">
        <f>IF(AND(ПравилоПовтора="Новый сезон",12-1&gt;MOD(MONTH('03_Сеть'!L7)-9,12)),'03_Сеть'!L34*CapacityAge12*МножительДетей,0)</f>
        <v/>
      </c>
      <c r="M120" s="87">
        <f>IF(AND(ПравилоПовтора="Новый сезон",12-1&gt;MOD(MONTH('03_Сеть'!M7)-9,12)),'03_Сеть'!M34*CapacityAge12*МножительДетей,0)</f>
        <v/>
      </c>
      <c r="N120" s="87">
        <f>IF(AND(ПравилоПовтора="Новый сезон",12-1&gt;MOD(MONTH('03_Сеть'!N7)-9,12)),'03_Сеть'!N34*CapacityAge12*МножительДетей,0)</f>
        <v/>
      </c>
      <c r="O120" s="87">
        <f>IF(AND(ПравилоПовтора="Новый сезон",12-1&gt;MOD(MONTH('03_Сеть'!O7)-9,12)),'03_Сеть'!O34*CapacityAge12*МножительДетей,0)</f>
        <v/>
      </c>
      <c r="P120" s="87">
        <f>IF(AND(ПравилоПовтора="Новый сезон",12-1&gt;MOD(MONTH('03_Сеть'!P7)-9,12)),'03_Сеть'!P34*CapacityAge12*МножительДетей,0)</f>
        <v/>
      </c>
      <c r="Q120" s="87">
        <f>IF(AND(ПравилоПовтора="Новый сезон",12-1&gt;MOD(MONTH('03_Сеть'!Q7)-9,12)),'03_Сеть'!Q34*CapacityAge12*МножительДетей,0)</f>
        <v/>
      </c>
      <c r="R120" s="87">
        <f>IF(AND(ПравилоПовтора="Новый сезон",12-1&gt;MOD(MONTH('03_Сеть'!R7)-9,12)),'03_Сеть'!R34*CapacityAge12*МножительДетей,0)</f>
        <v/>
      </c>
      <c r="S120" s="87">
        <f>IF(AND(ПравилоПовтора="Новый сезон",12-1&gt;MOD(MONTH('03_Сеть'!S7)-9,12)),'03_Сеть'!S34*CapacityAge12*МножительДетей,0)</f>
        <v/>
      </c>
      <c r="T120" s="87">
        <f>IF(AND(ПравилоПовтора="Новый сезон",12-1&gt;MOD(MONTH('03_Сеть'!T7)-9,12)),'03_Сеть'!T34*CapacityAge12*МножительДетей,0)</f>
        <v/>
      </c>
      <c r="U120" s="87">
        <f>IF(AND(ПравилоПовтора="Новый сезон",12-1&gt;MOD(MONTH('03_Сеть'!U7)-9,12)),'03_Сеть'!U34*CapacityAge12*МножительДетей,0)</f>
        <v/>
      </c>
      <c r="V120" s="87">
        <f>IF(AND(ПравилоПовтора="Новый сезон",12-1&gt;MOD(MONTH('03_Сеть'!V7)-9,12)),'03_Сеть'!V34*CapacityAge12*МножительДетей,0)</f>
        <v/>
      </c>
      <c r="W120" s="87">
        <f>IF(AND(ПравилоПовтора="Новый сезон",12-1&gt;MOD(MONTH('03_Сеть'!W7)-9,12)),'03_Сеть'!W34*CapacityAge12*МножительДетей,0)</f>
        <v/>
      </c>
      <c r="X120" s="87">
        <f>IF(AND(ПравилоПовтора="Новый сезон",12-1&gt;MOD(MONTH('03_Сеть'!X7)-9,12)),'03_Сеть'!X34*CapacityAge12*МножительДетей,0)</f>
        <v/>
      </c>
      <c r="Y120" s="87">
        <f>IF(AND(ПравилоПовтора="Новый сезон",12-1&gt;MOD(MONTH('03_Сеть'!Y7)-9,12)),'03_Сеть'!Y34*CapacityAge12*МножительДетей,0)</f>
        <v/>
      </c>
      <c r="Z120" s="87">
        <f>IF(AND(ПравилоПовтора="Новый сезон",12-1&gt;MOD(MONTH('03_Сеть'!Z7)-9,12)),'03_Сеть'!Z34*CapacityAge12*МножительДетей,0)</f>
        <v/>
      </c>
      <c r="AA120" s="87">
        <f>IF(AND(ПравилоПовтора="Новый сезон",12-1&gt;MOD(MONTH('03_Сеть'!AA7)-9,12)),'03_Сеть'!AA34*CapacityAge12*МножительДетей,0)</f>
        <v/>
      </c>
      <c r="AB120" s="87">
        <f>IF(AND(ПравилоПовтора="Новый сезон",12-1&gt;MOD(MONTH('03_Сеть'!AB7)-9,12)),'03_Сеть'!AB34*CapacityAge12*МножительДетей,0)</f>
        <v/>
      </c>
      <c r="AC120" s="87">
        <f>IF(AND(ПравилоПовтора="Новый сезон",12-1&gt;MOD(MONTH('03_Сеть'!AC7)-9,12)),'03_Сеть'!AC34*CapacityAge12*МножительДетей,0)</f>
        <v/>
      </c>
      <c r="AD120" s="87">
        <f>IF(AND(ПравилоПовтора="Новый сезон",12-1&gt;MOD(MONTH('03_Сеть'!AD7)-9,12)),'03_Сеть'!AD34*CapacityAge12*МножительДетей,0)</f>
        <v/>
      </c>
      <c r="AE120" s="87">
        <f>IF(AND(ПравилоПовтора="Новый сезон",12-1&gt;MOD(MONTH('03_Сеть'!AE7)-9,12)),'03_Сеть'!AE34*CapacityAge12*МножительДетей,0)</f>
        <v/>
      </c>
      <c r="AF120" s="87">
        <f>IF(AND(ПравилоПовтора="Новый сезон",12-1&gt;MOD(MONTH('03_Сеть'!AF7)-9,12)),'03_Сеть'!AF34*CapacityAge12*МножительДетей,0)</f>
        <v/>
      </c>
      <c r="AG120" s="87">
        <f>IF(AND(ПравилоПовтора="Новый сезон",12-1&gt;MOD(MONTH('03_Сеть'!AG7)-9,12)),'03_Сеть'!AG34*CapacityAge12*МножительДетей,0)</f>
        <v/>
      </c>
      <c r="AH120" s="87">
        <f>IF(AND(ПравилоПовтора="Новый сезон",12-1&gt;MOD(MONTH('03_Сеть'!AH7)-9,12)),'03_Сеть'!AH34*CapacityAge12*МножительДетей,0)</f>
        <v/>
      </c>
      <c r="AI120" s="87">
        <f>IF(AND(ПравилоПовтора="Новый сезон",12-1&gt;MOD(MONTH('03_Сеть'!AI7)-9,12)),'03_Сеть'!AI34*CapacityAge12*МножительДетей,0)</f>
        <v/>
      </c>
      <c r="AJ120" s="87">
        <f>IF(AND(ПравилоПовтора="Новый сезон",12-1&gt;MOD(MONTH('03_Сеть'!AJ7)-9,12)),'03_Сеть'!AJ34*CapacityAge12*МножительДетей,0)</f>
        <v/>
      </c>
      <c r="AK120" s="87">
        <f>IF(AND(ПравилоПовтора="Новый сезон",12-1&gt;MOD(MONTH('03_Сеть'!AK7)-9,12)),'03_Сеть'!AK34*CapacityAge12*МножительДетей,0)</f>
        <v/>
      </c>
      <c r="AL120" s="87">
        <f>IF(AND(ПравилоПовтора="Новый сезон",12-1&gt;MOD(MONTH('03_Сеть'!AL7)-9,12)),'03_Сеть'!AL34*CapacityAge12*МножительДетей,0)</f>
        <v/>
      </c>
      <c r="AM120" s="87">
        <f>IF(AND(ПравилоПовтора="Новый сезон",12-1&gt;MOD(MONTH('03_Сеть'!AM7)-9,12)),'03_Сеть'!AM34*CapacityAge12*МножительДетей,0)</f>
        <v/>
      </c>
      <c r="AN120" s="87">
        <f>IF(AND(ПравилоПовтора="Новый сезон",12-1&gt;MOD(MONTH('03_Сеть'!AN7)-9,12)),'03_Сеть'!AN34*CapacityAge12*МножительДетей,0)</f>
        <v/>
      </c>
      <c r="AO120" s="87">
        <f>IF(AND(ПравилоПовтора="Новый сезон",12-1&gt;MOD(MONTH('03_Сеть'!AO7)-9,12)),'03_Сеть'!AO34*CapacityAge12*МножительДетей,0)</f>
        <v/>
      </c>
      <c r="AP120" s="87">
        <f>IF(AND(ПравилоПовтора="Новый сезон",12-1&gt;MOD(MONTH('03_Сеть'!AP7)-9,12)),'03_Сеть'!AP34*CapacityAge12*МножительДетей,0)</f>
        <v/>
      </c>
      <c r="AQ120" s="87">
        <f>IF(AND(ПравилоПовтора="Новый сезон",12-1&gt;MOD(MONTH('03_Сеть'!AQ7)-9,12)),'03_Сеть'!AQ34*CapacityAge12*МножительДетей,0)</f>
        <v/>
      </c>
      <c r="AR120" s="87">
        <f>IF(AND(ПравилоПовтора="Новый сезон",12-1&gt;MOD(MONTH('03_Сеть'!AR7)-9,12)),'03_Сеть'!AR34*CapacityAge12*МножительДетей,0)</f>
        <v/>
      </c>
      <c r="AS120" s="87">
        <f>IF(AND(ПравилоПовтора="Новый сезон",12-1&gt;MOD(MONTH('03_Сеть'!AS7)-9,12)),'03_Сеть'!AS34*CapacityAge12*МножительДетей,0)</f>
        <v/>
      </c>
      <c r="AT120" s="87">
        <f>IF(AND(ПравилоПовтора="Новый сезон",12-1&gt;MOD(MONTH('03_Сеть'!AT7)-9,12)),'03_Сеть'!AT34*CapacityAge12*МножительДетей,0)</f>
        <v/>
      </c>
      <c r="AU120" s="87">
        <f>IF(AND(ПравилоПовтора="Новый сезон",12-1&gt;MOD(MONTH('03_Сеть'!AU7)-9,12)),'03_Сеть'!AU34*CapacityAge12*МножительДетей,0)</f>
        <v/>
      </c>
      <c r="AV120" s="87">
        <f>IF(AND(ПравилоПовтора="Новый сезон",12-1&gt;MOD(MONTH('03_Сеть'!AV7)-9,12)),'03_Сеть'!AV34*CapacityAge12*МножительДетей,0)</f>
        <v/>
      </c>
      <c r="AW120" s="87">
        <f>IF(AND(ПравилоПовтора="Новый сезон",12-1&gt;MOD(MONTH('03_Сеть'!AW7)-9,12)),'03_Сеть'!AW34*CapacityAge12*МножительДетей,0)</f>
        <v/>
      </c>
      <c r="AX120" s="87">
        <f>IF(AND(ПравилоПовтора="Новый сезон",12-1&gt;MOD(MONTH('03_Сеть'!AX7)-9,12)),'03_Сеть'!AX34*CapacityAge12*МножительДетей,0)</f>
        <v/>
      </c>
      <c r="AY120" s="87">
        <f>IF(AND(ПравилоПовтора="Новый сезон",12-1&gt;MOD(MONTH('03_Сеть'!AY7)-9,12)),'03_Сеть'!AY34*CapacityAge12*МножительДетей,0)</f>
        <v/>
      </c>
      <c r="AZ120" s="87">
        <f>IF(AND(ПравилоПовтора="Новый сезон",12-1&gt;MOD(MONTH('03_Сеть'!AZ7)-9,12)),'03_Сеть'!AZ34*CapacityAge12*МножительДетей,0)</f>
        <v/>
      </c>
      <c r="BA120" s="87">
        <f>IF(AND(ПравилоПовтора="Новый сезон",12-1&gt;MOD(MONTH('03_Сеть'!BA7)-9,12)),'03_Сеть'!BA34*CapacityAge12*МножительДетей,0)</f>
        <v/>
      </c>
      <c r="BB120" s="87">
        <f>IF(AND(ПравилоПовтора="Новый сезон",12-1&gt;MOD(MONTH('03_Сеть'!BB7)-9,12)),'03_Сеть'!BB34*CapacityAge12*МножительДетей,0)</f>
        <v/>
      </c>
      <c r="BC120" s="87">
        <f>IF(AND(ПравилоПовтора="Новый сезон",12-1&gt;MOD(MONTH('03_Сеть'!BC7)-9,12)),'03_Сеть'!BC34*CapacityAge12*МножительДетей,0)</f>
        <v/>
      </c>
      <c r="BD120" s="87">
        <f>IF(AND(ПравилоПовтора="Новый сезон",12-1&gt;MOD(MONTH('03_Сеть'!BD7)-9,12)),'03_Сеть'!BD34*CapacityAge12*МножительДетей,0)</f>
        <v/>
      </c>
      <c r="BE120" s="87">
        <f>IF(AND(ПравилоПовтора="Новый сезон",12-1&gt;MOD(MONTH('03_Сеть'!BE7)-9,12)),'03_Сеть'!BE34*CapacityAge12*МножительДетей,0)</f>
        <v/>
      </c>
      <c r="BF120" s="87">
        <f>IF(AND(ПравилоПовтора="Новый сезон",12-1&gt;MOD(MONTH('03_Сеть'!BF7)-9,12)),'03_Сеть'!BF34*CapacityAge12*МножительДетей,0)</f>
        <v/>
      </c>
      <c r="BG120" s="87">
        <f>IF(AND(ПравилоПовтора="Новый сезон",12-1&gt;MOD(MONTH('03_Сеть'!BG7)-9,12)),'03_Сеть'!BG34*CapacityAge12*МножительДетей,0)</f>
        <v/>
      </c>
      <c r="BH120" s="87">
        <f>IF(AND(ПравилоПовтора="Новый сезон",12-1&gt;MOD(MONTH('03_Сеть'!BH7)-9,12)),'03_Сеть'!BH34*CapacityAge12*МножительДетей,0)</f>
        <v/>
      </c>
      <c r="BI120" s="87">
        <f>IF(AND(ПравилоПовтора="Новый сезон",12-1&gt;MOD(MONTH('03_Сеть'!BI7)-9,12)),'03_Сеть'!BI34*CapacityAge12*МножительДетей,0)</f>
        <v/>
      </c>
      <c r="BJ120" s="87">
        <f>IF(AND(ПравилоПовтора="Новый сезон",12-1&gt;MOD(MONTH('03_Сеть'!BJ7)-9,12)),'03_Сеть'!BJ34*CapacityAge12*МножительДетей,0)</f>
        <v/>
      </c>
      <c r="BK120" s="87">
        <f>IF(AND(ПравилоПовтора="Новый сезон",12-1&gt;MOD(MONTH('03_Сеть'!BK7)-9,12)),'03_Сеть'!BK34*CapacityAge12*МножительДетей,0)</f>
        <v/>
      </c>
      <c r="BL120" s="87">
        <f>IF(AND(ПравилоПовтора="Новый сезон",12-1&gt;MOD(MONTH('03_Сеть'!BL7)-9,12)),'03_Сеть'!BL34*CapacityAge12*МножительДетей,0)</f>
        <v/>
      </c>
      <c r="BM120" s="87">
        <f>IF(AND(ПравилоПовтора="Новый сезон",12-1&gt;MOD(MONTH('03_Сеть'!BM7)-9,12)),'03_Сеть'!BM34*CapacityAge12*МножительДетей,0)</f>
        <v/>
      </c>
      <c r="BN120" s="87">
        <f>IF(AND(ПравилоПовтора="Новый сезон",12-1&gt;MOD(MONTH('03_Сеть'!BN7)-9,12)),'03_Сеть'!BN34*CapacityAge12*МножительДетей,0)</f>
        <v/>
      </c>
      <c r="BO120" s="87">
        <f>IF(AND(ПравилоПовтора="Новый сезон",12-1&gt;MOD(MONTH('03_Сеть'!BO7)-9,12)),'03_Сеть'!BO34*CapacityAge12*МножительДетей,0)</f>
        <v/>
      </c>
      <c r="BP120" s="87">
        <f>IF(AND(ПравилоПовтора="Новый сезон",12-1&gt;MOD(MONTH('03_Сеть'!BP7)-9,12)),'03_Сеть'!BP34*CapacityAge12*МножительДетей,0)</f>
        <v/>
      </c>
      <c r="BQ120" s="87">
        <f>IF(AND(ПравилоПовтора="Новый сезон",12-1&gt;MOD(MONTH('03_Сеть'!BQ7)-9,12)),'03_Сеть'!BQ34*CapacityAge12*МножительДетей,0)</f>
        <v/>
      </c>
      <c r="BR120" s="87">
        <f>IF(AND(ПравилоПовтора="Новый сезон",12-1&gt;MOD(MONTH('03_Сеть'!BR7)-9,12)),'03_Сеть'!BR34*CapacityAge12*МножительДетей,0)</f>
        <v/>
      </c>
      <c r="BS120" s="87">
        <f>IF(AND(ПравилоПовтора="Новый сезон",12-1&gt;MOD(MONTH('03_Сеть'!BS7)-9,12)),'03_Сеть'!BS34*CapacityAge12*МножительДетей,0)</f>
        <v/>
      </c>
      <c r="BT120" s="87">
        <f>IF(AND(ПравилоПовтора="Новый сезон",12-1&gt;MOD(MONTH('03_Сеть'!BT7)-9,12)),'03_Сеть'!BT34*CapacityAge12*МножительДетей,0)</f>
        <v/>
      </c>
      <c r="BU120" s="87">
        <f>IF(AND(ПравилоПовтора="Новый сезон",12-1&gt;MOD(MONTH('03_Сеть'!BU7)-9,12)),'03_Сеть'!BU34*CapacityAge12*МножительДетей,0)</f>
        <v/>
      </c>
      <c r="BV120" s="87">
        <f>IF(AND(ПравилоПовтора="Новый сезон",12-1&gt;MOD(MONTH('03_Сеть'!BV7)-9,12)),'03_Сеть'!BV34*CapacityAge12*МножительДетей,0)</f>
        <v/>
      </c>
      <c r="BW120" s="87">
        <f>IF(AND(ПравилоПовтора="Новый сезон",12-1&gt;MOD(MONTH('03_Сеть'!BW7)-9,12)),'03_Сеть'!BW34*CapacityAge12*МножительДетей,0)</f>
        <v/>
      </c>
      <c r="BX120" s="87">
        <f>IF(AND(ПравилоПовтора="Новый сезон",12-1&gt;MOD(MONTH('03_Сеть'!BX7)-9,12)),'03_Сеть'!BX34*CapacityAge12*МножительДетей,0)</f>
        <v/>
      </c>
      <c r="BY120" s="87">
        <f>IF(AND(ПравилоПовтора="Новый сезон",12-1&gt;MOD(MONTH('03_Сеть'!BY7)-9,12)),'03_Сеть'!BY34*CapacityAge12*МножительДетей,0)</f>
        <v/>
      </c>
    </row>
    <row r="121" ht="15.75" customHeight="1" s="194">
      <c r="B121" s="56" t="inlineStr">
        <is>
          <t>13 мес. и старше</t>
        </is>
      </c>
      <c r="C121" s="56" t="inlineStr">
        <is>
          <t>чел.</t>
        </is>
      </c>
      <c r="D121" s="57" t="inlineStr">
        <is>
          <t>Школы старше года покупают форму каждый сезон В колонках лет — значение на конец года, в «Итого» — на конец пятого года. Это остаток, а не сумма.</t>
        </is>
      </c>
      <c r="E121" s="85">
        <f>W121</f>
        <v/>
      </c>
      <c r="F121" s="85">
        <f>AI121</f>
        <v/>
      </c>
      <c r="G121" s="85">
        <f>AU121</f>
        <v/>
      </c>
      <c r="H121" s="85">
        <f>BG121</f>
        <v/>
      </c>
      <c r="I121" s="85">
        <f>BS121</f>
        <v/>
      </c>
      <c r="J121" s="86">
        <f>BS121</f>
        <v/>
      </c>
      <c r="L121" s="87">
        <f>SUMPRODUCT('03_Сеть'!L35:L46,CapacityYear2)*МножительДетей+'03_Сеть'!L47*CapacityAge25*МножительДетей</f>
        <v/>
      </c>
      <c r="M121" s="87">
        <f>SUMPRODUCT('03_Сеть'!M35:M46,CapacityYear2)*МножительДетей+'03_Сеть'!M47*CapacityAge25*МножительДетей</f>
        <v/>
      </c>
      <c r="N121" s="87">
        <f>SUMPRODUCT('03_Сеть'!N35:N46,CapacityYear2)*МножительДетей+'03_Сеть'!N47*CapacityAge25*МножительДетей</f>
        <v/>
      </c>
      <c r="O121" s="87">
        <f>SUMPRODUCT('03_Сеть'!O35:O46,CapacityYear2)*МножительДетей+'03_Сеть'!O47*CapacityAge25*МножительДетей</f>
        <v/>
      </c>
      <c r="P121" s="87">
        <f>SUMPRODUCT('03_Сеть'!P35:P46,CapacityYear2)*МножительДетей+'03_Сеть'!P47*CapacityAge25*МножительДетей</f>
        <v/>
      </c>
      <c r="Q121" s="87">
        <f>SUMPRODUCT('03_Сеть'!Q35:Q46,CapacityYear2)*МножительДетей+'03_Сеть'!Q47*CapacityAge25*МножительДетей</f>
        <v/>
      </c>
      <c r="R121" s="87">
        <f>SUMPRODUCT('03_Сеть'!R35:R46,CapacityYear2)*МножительДетей+'03_Сеть'!R47*CapacityAge25*МножительДетей</f>
        <v/>
      </c>
      <c r="S121" s="87">
        <f>SUMPRODUCT('03_Сеть'!S35:S46,CapacityYear2)*МножительДетей+'03_Сеть'!S47*CapacityAge25*МножительДетей</f>
        <v/>
      </c>
      <c r="T121" s="87">
        <f>SUMPRODUCT('03_Сеть'!T35:T46,CapacityYear2)*МножительДетей+'03_Сеть'!T47*CapacityAge25*МножительДетей</f>
        <v/>
      </c>
      <c r="U121" s="87">
        <f>SUMPRODUCT('03_Сеть'!U35:U46,CapacityYear2)*МножительДетей+'03_Сеть'!U47*CapacityAge25*МножительДетей</f>
        <v/>
      </c>
      <c r="V121" s="87">
        <f>SUMPRODUCT('03_Сеть'!V35:V46,CapacityYear2)*МножительДетей+'03_Сеть'!V47*CapacityAge25*МножительДетей</f>
        <v/>
      </c>
      <c r="W121" s="87">
        <f>SUMPRODUCT('03_Сеть'!W35:W46,CapacityYear2)*МножительДетей+'03_Сеть'!W47*CapacityAge25*МножительДетей</f>
        <v/>
      </c>
      <c r="X121" s="87">
        <f>SUMPRODUCT('03_Сеть'!X35:X46,CapacityYear2)*МножительДетей+'03_Сеть'!X47*CapacityAge25*МножительДетей</f>
        <v/>
      </c>
      <c r="Y121" s="87">
        <f>SUMPRODUCT('03_Сеть'!Y35:Y46,CapacityYear2)*МножительДетей+'03_Сеть'!Y47*CapacityAge25*МножительДетей</f>
        <v/>
      </c>
      <c r="Z121" s="87">
        <f>SUMPRODUCT('03_Сеть'!Z35:Z46,CapacityYear2)*МножительДетей+'03_Сеть'!Z47*CapacityAge25*МножительДетей</f>
        <v/>
      </c>
      <c r="AA121" s="87">
        <f>SUMPRODUCT('03_Сеть'!AA35:AA46,CapacityYear2)*МножительДетей+'03_Сеть'!AA47*CapacityAge25*МножительДетей</f>
        <v/>
      </c>
      <c r="AB121" s="87">
        <f>SUMPRODUCT('03_Сеть'!AB35:AB46,CapacityYear2)*МножительДетей+'03_Сеть'!AB47*CapacityAge25*МножительДетей</f>
        <v/>
      </c>
      <c r="AC121" s="87">
        <f>SUMPRODUCT('03_Сеть'!AC35:AC46,CapacityYear2)*МножительДетей+'03_Сеть'!AC47*CapacityAge25*МножительДетей</f>
        <v/>
      </c>
      <c r="AD121" s="87">
        <f>SUMPRODUCT('03_Сеть'!AD35:AD46,CapacityYear2)*МножительДетей+'03_Сеть'!AD47*CapacityAge25*МножительДетей</f>
        <v/>
      </c>
      <c r="AE121" s="87">
        <f>SUMPRODUCT('03_Сеть'!AE35:AE46,CapacityYear2)*МножительДетей+'03_Сеть'!AE47*CapacityAge25*МножительДетей</f>
        <v/>
      </c>
      <c r="AF121" s="87">
        <f>SUMPRODUCT('03_Сеть'!AF35:AF46,CapacityYear2)*МножительДетей+'03_Сеть'!AF47*CapacityAge25*МножительДетей</f>
        <v/>
      </c>
      <c r="AG121" s="87">
        <f>SUMPRODUCT('03_Сеть'!AG35:AG46,CapacityYear2)*МножительДетей+'03_Сеть'!AG47*CapacityAge25*МножительДетей</f>
        <v/>
      </c>
      <c r="AH121" s="87">
        <f>SUMPRODUCT('03_Сеть'!AH35:AH46,CapacityYear2)*МножительДетей+'03_Сеть'!AH47*CapacityAge25*МножительДетей</f>
        <v/>
      </c>
      <c r="AI121" s="87">
        <f>SUMPRODUCT('03_Сеть'!AI35:AI46,CapacityYear2)*МножительДетей+'03_Сеть'!AI47*CapacityAge25*МножительДетей</f>
        <v/>
      </c>
      <c r="AJ121" s="87">
        <f>SUMPRODUCT('03_Сеть'!AJ35:AJ46,CapacityYear2)*МножительДетей+'03_Сеть'!AJ47*CapacityAge25*МножительДетей</f>
        <v/>
      </c>
      <c r="AK121" s="87">
        <f>SUMPRODUCT('03_Сеть'!AK35:AK46,CapacityYear2)*МножительДетей+'03_Сеть'!AK47*CapacityAge25*МножительДетей</f>
        <v/>
      </c>
      <c r="AL121" s="87">
        <f>SUMPRODUCT('03_Сеть'!AL35:AL46,CapacityYear2)*МножительДетей+'03_Сеть'!AL47*CapacityAge25*МножительДетей</f>
        <v/>
      </c>
      <c r="AM121" s="87">
        <f>SUMPRODUCT('03_Сеть'!AM35:AM46,CapacityYear2)*МножительДетей+'03_Сеть'!AM47*CapacityAge25*МножительДетей</f>
        <v/>
      </c>
      <c r="AN121" s="87">
        <f>SUMPRODUCT('03_Сеть'!AN35:AN46,CapacityYear2)*МножительДетей+'03_Сеть'!AN47*CapacityAge25*МножительДетей</f>
        <v/>
      </c>
      <c r="AO121" s="87">
        <f>SUMPRODUCT('03_Сеть'!AO35:AO46,CapacityYear2)*МножительДетей+'03_Сеть'!AO47*CapacityAge25*МножительДетей</f>
        <v/>
      </c>
      <c r="AP121" s="87">
        <f>SUMPRODUCT('03_Сеть'!AP35:AP46,CapacityYear2)*МножительДетей+'03_Сеть'!AP47*CapacityAge25*МножительДетей</f>
        <v/>
      </c>
      <c r="AQ121" s="87">
        <f>SUMPRODUCT('03_Сеть'!AQ35:AQ46,CapacityYear2)*МножительДетей+'03_Сеть'!AQ47*CapacityAge25*МножительДетей</f>
        <v/>
      </c>
      <c r="AR121" s="87">
        <f>SUMPRODUCT('03_Сеть'!AR35:AR46,CapacityYear2)*МножительДетей+'03_Сеть'!AR47*CapacityAge25*МножительДетей</f>
        <v/>
      </c>
      <c r="AS121" s="87">
        <f>SUMPRODUCT('03_Сеть'!AS35:AS46,CapacityYear2)*МножительДетей+'03_Сеть'!AS47*CapacityAge25*МножительДетей</f>
        <v/>
      </c>
      <c r="AT121" s="87">
        <f>SUMPRODUCT('03_Сеть'!AT35:AT46,CapacityYear2)*МножительДетей+'03_Сеть'!AT47*CapacityAge25*МножительДетей</f>
        <v/>
      </c>
      <c r="AU121" s="87">
        <f>SUMPRODUCT('03_Сеть'!AU35:AU46,CapacityYear2)*МножительДетей+'03_Сеть'!AU47*CapacityAge25*МножительДетей</f>
        <v/>
      </c>
      <c r="AV121" s="87">
        <f>SUMPRODUCT('03_Сеть'!AV35:AV46,CapacityYear2)*МножительДетей+'03_Сеть'!AV47*CapacityAge25*МножительДетей</f>
        <v/>
      </c>
      <c r="AW121" s="87">
        <f>SUMPRODUCT('03_Сеть'!AW35:AW46,CapacityYear2)*МножительДетей+'03_Сеть'!AW47*CapacityAge25*МножительДетей</f>
        <v/>
      </c>
      <c r="AX121" s="87">
        <f>SUMPRODUCT('03_Сеть'!AX35:AX46,CapacityYear2)*МножительДетей+'03_Сеть'!AX47*CapacityAge25*МножительДетей</f>
        <v/>
      </c>
      <c r="AY121" s="87">
        <f>SUMPRODUCT('03_Сеть'!AY35:AY46,CapacityYear2)*МножительДетей+'03_Сеть'!AY47*CapacityAge25*МножительДетей</f>
        <v/>
      </c>
      <c r="AZ121" s="87">
        <f>SUMPRODUCT('03_Сеть'!AZ35:AZ46,CapacityYear2)*МножительДетей+'03_Сеть'!AZ47*CapacityAge25*МножительДетей</f>
        <v/>
      </c>
      <c r="BA121" s="87">
        <f>SUMPRODUCT('03_Сеть'!BA35:BA46,CapacityYear2)*МножительДетей+'03_Сеть'!BA47*CapacityAge25*МножительДетей</f>
        <v/>
      </c>
      <c r="BB121" s="87">
        <f>SUMPRODUCT('03_Сеть'!BB35:BB46,CapacityYear2)*МножительДетей+'03_Сеть'!BB47*CapacityAge25*МножительДетей</f>
        <v/>
      </c>
      <c r="BC121" s="87">
        <f>SUMPRODUCT('03_Сеть'!BC35:BC46,CapacityYear2)*МножительДетей+'03_Сеть'!BC47*CapacityAge25*МножительДетей</f>
        <v/>
      </c>
      <c r="BD121" s="87">
        <f>SUMPRODUCT('03_Сеть'!BD35:BD46,CapacityYear2)*МножительДетей+'03_Сеть'!BD47*CapacityAge25*МножительДетей</f>
        <v/>
      </c>
      <c r="BE121" s="87">
        <f>SUMPRODUCT('03_Сеть'!BE35:BE46,CapacityYear2)*МножительДетей+'03_Сеть'!BE47*CapacityAge25*МножительДетей</f>
        <v/>
      </c>
      <c r="BF121" s="87">
        <f>SUMPRODUCT('03_Сеть'!BF35:BF46,CapacityYear2)*МножительДетей+'03_Сеть'!BF47*CapacityAge25*МножительДетей</f>
        <v/>
      </c>
      <c r="BG121" s="87">
        <f>SUMPRODUCT('03_Сеть'!BG35:BG46,CapacityYear2)*МножительДетей+'03_Сеть'!BG47*CapacityAge25*МножительДетей</f>
        <v/>
      </c>
      <c r="BH121" s="87">
        <f>SUMPRODUCT('03_Сеть'!BH35:BH46,CapacityYear2)*МножительДетей+'03_Сеть'!BH47*CapacityAge25*МножительДетей</f>
        <v/>
      </c>
      <c r="BI121" s="87">
        <f>SUMPRODUCT('03_Сеть'!BI35:BI46,CapacityYear2)*МножительДетей+'03_Сеть'!BI47*CapacityAge25*МножительДетей</f>
        <v/>
      </c>
      <c r="BJ121" s="87">
        <f>SUMPRODUCT('03_Сеть'!BJ35:BJ46,CapacityYear2)*МножительДетей+'03_Сеть'!BJ47*CapacityAge25*МножительДетей</f>
        <v/>
      </c>
      <c r="BK121" s="87">
        <f>SUMPRODUCT('03_Сеть'!BK35:BK46,CapacityYear2)*МножительДетей+'03_Сеть'!BK47*CapacityAge25*МножительДетей</f>
        <v/>
      </c>
      <c r="BL121" s="87">
        <f>SUMPRODUCT('03_Сеть'!BL35:BL46,CapacityYear2)*МножительДетей+'03_Сеть'!BL47*CapacityAge25*МножительДетей</f>
        <v/>
      </c>
      <c r="BM121" s="87">
        <f>SUMPRODUCT('03_Сеть'!BM35:BM46,CapacityYear2)*МножительДетей+'03_Сеть'!BM47*CapacityAge25*МножительДетей</f>
        <v/>
      </c>
      <c r="BN121" s="87">
        <f>SUMPRODUCT('03_Сеть'!BN35:BN46,CapacityYear2)*МножительДетей+'03_Сеть'!BN47*CapacityAge25*МножительДетей</f>
        <v/>
      </c>
      <c r="BO121" s="87">
        <f>SUMPRODUCT('03_Сеть'!BO35:BO46,CapacityYear2)*МножительДетей+'03_Сеть'!BO47*CapacityAge25*МножительДетей</f>
        <v/>
      </c>
      <c r="BP121" s="87">
        <f>SUMPRODUCT('03_Сеть'!BP35:BP46,CapacityYear2)*МножительДетей+'03_Сеть'!BP47*CapacityAge25*МножительДетей</f>
        <v/>
      </c>
      <c r="BQ121" s="87">
        <f>SUMPRODUCT('03_Сеть'!BQ35:BQ46,CapacityYear2)*МножительДетей+'03_Сеть'!BQ47*CapacityAge25*МножительДетей</f>
        <v/>
      </c>
      <c r="BR121" s="87">
        <f>SUMPRODUCT('03_Сеть'!BR35:BR46,CapacityYear2)*МножительДетей+'03_Сеть'!BR47*CapacityAge25*МножительДетей</f>
        <v/>
      </c>
      <c r="BS121" s="87">
        <f>SUMPRODUCT('03_Сеть'!BS35:BS46,CapacityYear2)*МножительДетей+'03_Сеть'!BS47*CapacityAge25*МножительДетей</f>
        <v/>
      </c>
      <c r="BT121" s="87">
        <f>SUMPRODUCT('03_Сеть'!BT35:BT46,CapacityYear2)*МножительДетей+'03_Сеть'!BT47*CapacityAge25*МножительДетей</f>
        <v/>
      </c>
      <c r="BU121" s="87">
        <f>SUMPRODUCT('03_Сеть'!BU35:BU46,CapacityYear2)*МножительДетей+'03_Сеть'!BU47*CapacityAge25*МножительДетей</f>
        <v/>
      </c>
      <c r="BV121" s="87">
        <f>SUMPRODUCT('03_Сеть'!BV35:BV46,CapacityYear2)*МножительДетей+'03_Сеть'!BV47*CapacityAge25*МножительДетей</f>
        <v/>
      </c>
      <c r="BW121" s="87">
        <f>SUMPRODUCT('03_Сеть'!BW35:BW46,CapacityYear2)*МножительДетей+'03_Сеть'!BW47*CapacityAge25*МножительДетей</f>
        <v/>
      </c>
      <c r="BX121" s="87">
        <f>SUMPRODUCT('03_Сеть'!BX35:BX46,CapacityYear2)*МножительДетей+'03_Сеть'!BX47*CapacityAge25*МножительДетей</f>
        <v/>
      </c>
      <c r="BY121" s="87">
        <f>SUMPRODUCT('03_Сеть'!BY35:BY46,CapacityYear2)*МножительДетей+'03_Сеть'!BY47*CapacityAge25*МножительДетей</f>
        <v/>
      </c>
    </row>
    <row r="122" ht="15.75" customHeight="1" s="194">
      <c r="B122" s="56" t="inlineStr">
        <is>
          <t>Дети для повторной формы — всего</t>
        </is>
      </c>
      <c r="C122" s="56" t="inlineStr">
        <is>
          <t>чел.</t>
        </is>
      </c>
      <c r="D122" s="57" t="inlineStr">
        <is>
          <t>В колонках лет — значение на конец года, в «Итого» — на конец пятого года. Это остаток, а не сумма.</t>
        </is>
      </c>
      <c r="E122" s="85">
        <f>W122</f>
        <v/>
      </c>
      <c r="F122" s="85">
        <f>AI122</f>
        <v/>
      </c>
      <c r="G122" s="85">
        <f>AU122</f>
        <v/>
      </c>
      <c r="H122" s="85">
        <f>BG122</f>
        <v/>
      </c>
      <c r="I122" s="85">
        <f>BS122</f>
        <v/>
      </c>
      <c r="J122" s="86">
        <f>BS122</f>
        <v/>
      </c>
      <c r="L122" s="87">
        <f>SUM(L109:L120)+L121</f>
        <v/>
      </c>
      <c r="M122" s="87">
        <f>SUM(M109:M120)+M121</f>
        <v/>
      </c>
      <c r="N122" s="87">
        <f>SUM(N109:N120)+N121</f>
        <v/>
      </c>
      <c r="O122" s="87">
        <f>SUM(O109:O120)+O121</f>
        <v/>
      </c>
      <c r="P122" s="87">
        <f>SUM(P109:P120)+P121</f>
        <v/>
      </c>
      <c r="Q122" s="87">
        <f>SUM(Q109:Q120)+Q121</f>
        <v/>
      </c>
      <c r="R122" s="87">
        <f>SUM(R109:R120)+R121</f>
        <v/>
      </c>
      <c r="S122" s="87">
        <f>SUM(S109:S120)+S121</f>
        <v/>
      </c>
      <c r="T122" s="87">
        <f>SUM(T109:T120)+T121</f>
        <v/>
      </c>
      <c r="U122" s="87">
        <f>SUM(U109:U120)+U121</f>
        <v/>
      </c>
      <c r="V122" s="87">
        <f>SUM(V109:V120)+V121</f>
        <v/>
      </c>
      <c r="W122" s="87">
        <f>SUM(W109:W120)+W121</f>
        <v/>
      </c>
      <c r="X122" s="87">
        <f>SUM(X109:X120)+X121</f>
        <v/>
      </c>
      <c r="Y122" s="87">
        <f>SUM(Y109:Y120)+Y121</f>
        <v/>
      </c>
      <c r="Z122" s="87">
        <f>SUM(Z109:Z120)+Z121</f>
        <v/>
      </c>
      <c r="AA122" s="87">
        <f>SUM(AA109:AA120)+AA121</f>
        <v/>
      </c>
      <c r="AB122" s="87">
        <f>SUM(AB109:AB120)+AB121</f>
        <v/>
      </c>
      <c r="AC122" s="87">
        <f>SUM(AC109:AC120)+AC121</f>
        <v/>
      </c>
      <c r="AD122" s="87">
        <f>SUM(AD109:AD120)+AD121</f>
        <v/>
      </c>
      <c r="AE122" s="87">
        <f>SUM(AE109:AE120)+AE121</f>
        <v/>
      </c>
      <c r="AF122" s="87">
        <f>SUM(AF109:AF120)+AF121</f>
        <v/>
      </c>
      <c r="AG122" s="87">
        <f>SUM(AG109:AG120)+AG121</f>
        <v/>
      </c>
      <c r="AH122" s="87">
        <f>SUM(AH109:AH120)+AH121</f>
        <v/>
      </c>
      <c r="AI122" s="87">
        <f>SUM(AI109:AI120)+AI121</f>
        <v/>
      </c>
      <c r="AJ122" s="87">
        <f>SUM(AJ109:AJ120)+AJ121</f>
        <v/>
      </c>
      <c r="AK122" s="87">
        <f>SUM(AK109:AK120)+AK121</f>
        <v/>
      </c>
      <c r="AL122" s="87">
        <f>SUM(AL109:AL120)+AL121</f>
        <v/>
      </c>
      <c r="AM122" s="87">
        <f>SUM(AM109:AM120)+AM121</f>
        <v/>
      </c>
      <c r="AN122" s="87">
        <f>SUM(AN109:AN120)+AN121</f>
        <v/>
      </c>
      <c r="AO122" s="87">
        <f>SUM(AO109:AO120)+AO121</f>
        <v/>
      </c>
      <c r="AP122" s="87">
        <f>SUM(AP109:AP120)+AP121</f>
        <v/>
      </c>
      <c r="AQ122" s="87">
        <f>SUM(AQ109:AQ120)+AQ121</f>
        <v/>
      </c>
      <c r="AR122" s="87">
        <f>SUM(AR109:AR120)+AR121</f>
        <v/>
      </c>
      <c r="AS122" s="87">
        <f>SUM(AS109:AS120)+AS121</f>
        <v/>
      </c>
      <c r="AT122" s="87">
        <f>SUM(AT109:AT120)+AT121</f>
        <v/>
      </c>
      <c r="AU122" s="87">
        <f>SUM(AU109:AU120)+AU121</f>
        <v/>
      </c>
      <c r="AV122" s="87">
        <f>SUM(AV109:AV120)+AV121</f>
        <v/>
      </c>
      <c r="AW122" s="87">
        <f>SUM(AW109:AW120)+AW121</f>
        <v/>
      </c>
      <c r="AX122" s="87">
        <f>SUM(AX109:AX120)+AX121</f>
        <v/>
      </c>
      <c r="AY122" s="87">
        <f>SUM(AY109:AY120)+AY121</f>
        <v/>
      </c>
      <c r="AZ122" s="87">
        <f>SUM(AZ109:AZ120)+AZ121</f>
        <v/>
      </c>
      <c r="BA122" s="87">
        <f>SUM(BA109:BA120)+BA121</f>
        <v/>
      </c>
      <c r="BB122" s="87">
        <f>SUM(BB109:BB120)+BB121</f>
        <v/>
      </c>
      <c r="BC122" s="87">
        <f>SUM(BC109:BC120)+BC121</f>
        <v/>
      </c>
      <c r="BD122" s="87">
        <f>SUM(BD109:BD120)+BD121</f>
        <v/>
      </c>
      <c r="BE122" s="87">
        <f>SUM(BE109:BE120)+BE121</f>
        <v/>
      </c>
      <c r="BF122" s="87">
        <f>SUM(BF109:BF120)+BF121</f>
        <v/>
      </c>
      <c r="BG122" s="87">
        <f>SUM(BG109:BG120)+BG121</f>
        <v/>
      </c>
      <c r="BH122" s="87">
        <f>SUM(BH109:BH120)+BH121</f>
        <v/>
      </c>
      <c r="BI122" s="87">
        <f>SUM(BI109:BI120)+BI121</f>
        <v/>
      </c>
      <c r="BJ122" s="87">
        <f>SUM(BJ109:BJ120)+BJ121</f>
        <v/>
      </c>
      <c r="BK122" s="87">
        <f>SUM(BK109:BK120)+BK121</f>
        <v/>
      </c>
      <c r="BL122" s="87">
        <f>SUM(BL109:BL120)+BL121</f>
        <v/>
      </c>
      <c r="BM122" s="87">
        <f>SUM(BM109:BM120)+BM121</f>
        <v/>
      </c>
      <c r="BN122" s="87">
        <f>SUM(BN109:BN120)+BN121</f>
        <v/>
      </c>
      <c r="BO122" s="87">
        <f>SUM(BO109:BO120)+BO121</f>
        <v/>
      </c>
      <c r="BP122" s="87">
        <f>SUM(BP109:BP120)+BP121</f>
        <v/>
      </c>
      <c r="BQ122" s="87">
        <f>SUM(BQ109:BQ120)+BQ121</f>
        <v/>
      </c>
      <c r="BR122" s="87">
        <f>SUM(BR109:BR120)+BR121</f>
        <v/>
      </c>
      <c r="BS122" s="87">
        <f>SUM(BS109:BS120)+BS121</f>
        <v/>
      </c>
      <c r="BT122" s="87">
        <f>SUM(BT109:BT120)+BT121</f>
        <v/>
      </c>
      <c r="BU122" s="87">
        <f>SUM(BU109:BU120)+BU121</f>
        <v/>
      </c>
      <c r="BV122" s="87">
        <f>SUM(BV109:BV120)+BV121</f>
        <v/>
      </c>
      <c r="BW122" s="87">
        <f>SUM(BW109:BW120)+BW121</f>
        <v/>
      </c>
      <c r="BX122" s="87">
        <f>SUM(BX109:BX120)+BX121</f>
        <v/>
      </c>
      <c r="BY122" s="87">
        <f>SUM(BY109:BY120)+BY121</f>
        <v/>
      </c>
    </row>
    <row r="123" ht="15.75" customHeight="1" s="194">
      <c r="B123" s="56" t="inlineStr">
        <is>
          <t>Первичная закупка новых школ, комплекты</t>
        </is>
      </c>
      <c r="C123" s="56" t="inlineStr">
        <is>
          <t>шт.</t>
        </is>
      </c>
      <c r="D123" s="57" t="inlineStr">
        <is>
          <t>Комплекты для только что открывшихся школ: закупка растянута на три месяца после открытия</t>
        </is>
      </c>
      <c r="E123" s="59">
        <f>SUM(L123:W123)</f>
        <v/>
      </c>
      <c r="F123" s="59">
        <f>SUM(X123:AI123)</f>
        <v/>
      </c>
      <c r="G123" s="59">
        <f>SUM(AJ123:AU123)</f>
        <v/>
      </c>
      <c r="H123" s="59">
        <f>SUM(AV123:BG123)</f>
        <v/>
      </c>
      <c r="I123" s="59">
        <f>SUM(BH123:BS123)</f>
        <v/>
      </c>
      <c r="J123" s="61">
        <f>SUM(L123:BS123)</f>
        <v/>
      </c>
      <c r="L123" s="62">
        <f>0</f>
        <v/>
      </c>
      <c r="M123" s="62">
        <f>('03_Сеть'!L14*ПервичнаяМес1*КоэффСохранения)*ДетиК12Мес*КоэффМерча</f>
        <v/>
      </c>
      <c r="N123" s="62">
        <f>('03_Сеть'!M14*ПервичнаяМес1*КоэффСохранения+'03_Сеть'!L14*ПервичнаяМес2*КоэффСохранения^2)*ДетиК12Мес*КоэффМерча</f>
        <v/>
      </c>
      <c r="O123" s="62">
        <f>('03_Сеть'!N14*ПервичнаяМес1*КоэффСохранения+'03_Сеть'!M14*ПервичнаяМес2*КоэффСохранения^2+'03_Сеть'!L14*ПервичнаяМес3*КоэффСохранения^3)*ДетиК12Мес*КоэффМерча</f>
        <v/>
      </c>
      <c r="P123" s="62">
        <f>('03_Сеть'!O14*ПервичнаяМес1*КоэффСохранения+'03_Сеть'!N14*ПервичнаяМес2*КоэффСохранения^2+'03_Сеть'!M14*ПервичнаяМес3*КоэффСохранения^3)*ДетиК12Мес*КоэффМерча</f>
        <v/>
      </c>
      <c r="Q123" s="62">
        <f>('03_Сеть'!P14*ПервичнаяМес1*КоэффСохранения+'03_Сеть'!O14*ПервичнаяМес2*КоэффСохранения^2+'03_Сеть'!N14*ПервичнаяМес3*КоэффСохранения^3)*ДетиК12Мес*КоэффМерча</f>
        <v/>
      </c>
      <c r="R123" s="62">
        <f>('03_Сеть'!Q14*ПервичнаяМес1*КоэффСохранения+'03_Сеть'!P14*ПервичнаяМес2*КоэффСохранения^2+'03_Сеть'!O14*ПервичнаяМес3*КоэффСохранения^3)*ДетиК12Мес*КоэффМерча</f>
        <v/>
      </c>
      <c r="S123" s="62">
        <f>('03_Сеть'!R14*ПервичнаяМес1*КоэффСохранения+'03_Сеть'!Q14*ПервичнаяМес2*КоэффСохранения^2+'03_Сеть'!P14*ПервичнаяМес3*КоэффСохранения^3)*ДетиК12Мес*КоэффМерча</f>
        <v/>
      </c>
      <c r="T123" s="62">
        <f>('03_Сеть'!S14*ПервичнаяМес1*КоэффСохранения+'03_Сеть'!R14*ПервичнаяМес2*КоэффСохранения^2+'03_Сеть'!Q14*ПервичнаяМес3*КоэффСохранения^3)*ДетиК12Мес*КоэффМерча</f>
        <v/>
      </c>
      <c r="U123" s="62">
        <f>('03_Сеть'!T14*ПервичнаяМес1*КоэффСохранения+'03_Сеть'!S14*ПервичнаяМес2*КоэффСохранения^2+'03_Сеть'!R14*ПервичнаяМес3*КоэффСохранения^3)*ДетиК12Мес*КоэффМерча</f>
        <v/>
      </c>
      <c r="V123" s="62">
        <f>('03_Сеть'!U14*ПервичнаяМес1*КоэффСохранения+'03_Сеть'!T14*ПервичнаяМес2*КоэффСохранения^2+'03_Сеть'!S14*ПервичнаяМес3*КоэффСохранения^3)*ДетиК12Мес*КоэффМерча</f>
        <v/>
      </c>
      <c r="W123" s="62">
        <f>('03_Сеть'!V14*ПервичнаяМес1*КоэффСохранения+'03_Сеть'!U14*ПервичнаяМес2*КоэффСохранения^2+'03_Сеть'!T14*ПервичнаяМес3*КоэффСохранения^3)*ДетиК12Мес*КоэффМерча</f>
        <v/>
      </c>
      <c r="X123" s="62">
        <f>('03_Сеть'!W14*ПервичнаяМес1*КоэффСохранения+'03_Сеть'!V14*ПервичнаяМес2*КоэффСохранения^2+'03_Сеть'!U14*ПервичнаяМес3*КоэффСохранения^3)*ДетиК12Мес*КоэффМерча</f>
        <v/>
      </c>
      <c r="Y123" s="62">
        <f>('03_Сеть'!X14*ПервичнаяМес1*КоэффСохранения+'03_Сеть'!W14*ПервичнаяМес2*КоэффСохранения^2+'03_Сеть'!V14*ПервичнаяМес3*КоэффСохранения^3)*ДетиК12Мес*КоэффМерча</f>
        <v/>
      </c>
      <c r="Z123" s="62">
        <f>('03_Сеть'!Y14*ПервичнаяМес1*КоэффСохранения+'03_Сеть'!X14*ПервичнаяМес2*КоэффСохранения^2+'03_Сеть'!W14*ПервичнаяМес3*КоэффСохранения^3)*ДетиК12Мес*КоэффМерча</f>
        <v/>
      </c>
      <c r="AA123" s="62">
        <f>('03_Сеть'!Z14*ПервичнаяМес1*КоэффСохранения+'03_Сеть'!Y14*ПервичнаяМес2*КоэффСохранения^2+'03_Сеть'!X14*ПервичнаяМес3*КоэффСохранения^3)*ДетиК12Мес*КоэффМерча</f>
        <v/>
      </c>
      <c r="AB123" s="62">
        <f>('03_Сеть'!AA14*ПервичнаяМес1*КоэффСохранения+'03_Сеть'!Z14*ПервичнаяМес2*КоэффСохранения^2+'03_Сеть'!Y14*ПервичнаяМес3*КоэффСохранения^3)*ДетиК12Мес*КоэффМерча</f>
        <v/>
      </c>
      <c r="AC123" s="62">
        <f>('03_Сеть'!AB14*ПервичнаяМес1*КоэффСохранения+'03_Сеть'!AA14*ПервичнаяМес2*КоэффСохранения^2+'03_Сеть'!Z14*ПервичнаяМес3*КоэффСохранения^3)*ДетиК12Мес*КоэффМерча</f>
        <v/>
      </c>
      <c r="AD123" s="62">
        <f>('03_Сеть'!AC14*ПервичнаяМес1*КоэффСохранения+'03_Сеть'!AB14*ПервичнаяМес2*КоэффСохранения^2+'03_Сеть'!AA14*ПервичнаяМес3*КоэффСохранения^3)*ДетиК12Мес*КоэффМерча</f>
        <v/>
      </c>
      <c r="AE123" s="62">
        <f>('03_Сеть'!AD14*ПервичнаяМес1*КоэффСохранения+'03_Сеть'!AC14*ПервичнаяМес2*КоэффСохранения^2+'03_Сеть'!AB14*ПервичнаяМес3*КоэффСохранения^3)*ДетиК12Мес*КоэффМерча</f>
        <v/>
      </c>
      <c r="AF123" s="62">
        <f>('03_Сеть'!AE14*ПервичнаяМес1*КоэффСохранения+'03_Сеть'!AD14*ПервичнаяМес2*КоэффСохранения^2+'03_Сеть'!AC14*ПервичнаяМес3*КоэффСохранения^3)*ДетиК12Мес*КоэффМерча</f>
        <v/>
      </c>
      <c r="AG123" s="62">
        <f>('03_Сеть'!AF14*ПервичнаяМес1*КоэффСохранения+'03_Сеть'!AE14*ПервичнаяМес2*КоэффСохранения^2+'03_Сеть'!AD14*ПервичнаяМес3*КоэффСохранения^3)*ДетиК12Мес*КоэффМерча</f>
        <v/>
      </c>
      <c r="AH123" s="62">
        <f>('03_Сеть'!AG14*ПервичнаяМес1*КоэффСохранения+'03_Сеть'!AF14*ПервичнаяМес2*КоэффСохранения^2+'03_Сеть'!AE14*ПервичнаяМес3*КоэффСохранения^3)*ДетиК12Мес*КоэффМерча</f>
        <v/>
      </c>
      <c r="AI123" s="62">
        <f>('03_Сеть'!AH14*ПервичнаяМес1*КоэффСохранения+'03_Сеть'!AG14*ПервичнаяМес2*КоэффСохранения^2+'03_Сеть'!AF14*ПервичнаяМес3*КоэффСохранения^3)*ДетиК12Мес*КоэффМерча</f>
        <v/>
      </c>
      <c r="AJ123" s="62">
        <f>('03_Сеть'!AI14*ПервичнаяМес1*КоэффСохранения+'03_Сеть'!AH14*ПервичнаяМес2*КоэффСохранения^2+'03_Сеть'!AG14*ПервичнаяМес3*КоэффСохранения^3)*ДетиК12Мес*КоэффМерча</f>
        <v/>
      </c>
      <c r="AK123" s="62">
        <f>('03_Сеть'!AJ14*ПервичнаяМес1*КоэффСохранения+'03_Сеть'!AI14*ПервичнаяМес2*КоэффСохранения^2+'03_Сеть'!AH14*ПервичнаяМес3*КоэффСохранения^3)*ДетиК12Мес*КоэффМерча</f>
        <v/>
      </c>
      <c r="AL123" s="62">
        <f>('03_Сеть'!AK14*ПервичнаяМес1*КоэффСохранения+'03_Сеть'!AJ14*ПервичнаяМес2*КоэффСохранения^2+'03_Сеть'!AI14*ПервичнаяМес3*КоэффСохранения^3)*ДетиК12Мес*КоэффМерча</f>
        <v/>
      </c>
      <c r="AM123" s="62">
        <f>('03_Сеть'!AL14*ПервичнаяМес1*КоэффСохранения+'03_Сеть'!AK14*ПервичнаяМес2*КоэффСохранения^2+'03_Сеть'!AJ14*ПервичнаяМес3*КоэффСохранения^3)*ДетиК12Мес*КоэффМерча</f>
        <v/>
      </c>
      <c r="AN123" s="62">
        <f>('03_Сеть'!AM14*ПервичнаяМес1*КоэффСохранения+'03_Сеть'!AL14*ПервичнаяМес2*КоэффСохранения^2+'03_Сеть'!AK14*ПервичнаяМес3*КоэффСохранения^3)*ДетиК12Мес*КоэффМерча</f>
        <v/>
      </c>
      <c r="AO123" s="62">
        <f>('03_Сеть'!AN14*ПервичнаяМес1*КоэффСохранения+'03_Сеть'!AM14*ПервичнаяМес2*КоэффСохранения^2+'03_Сеть'!AL14*ПервичнаяМес3*КоэффСохранения^3)*ДетиК12Мес*КоэффМерча</f>
        <v/>
      </c>
      <c r="AP123" s="62">
        <f>('03_Сеть'!AO14*ПервичнаяМес1*КоэффСохранения+'03_Сеть'!AN14*ПервичнаяМес2*КоэффСохранения^2+'03_Сеть'!AM14*ПервичнаяМес3*КоэффСохранения^3)*ДетиК12Мес*КоэффМерча</f>
        <v/>
      </c>
      <c r="AQ123" s="62">
        <f>('03_Сеть'!AP14*ПервичнаяМес1*КоэффСохранения+'03_Сеть'!AO14*ПервичнаяМес2*КоэффСохранения^2+'03_Сеть'!AN14*ПервичнаяМес3*КоэффСохранения^3)*ДетиК12Мес*КоэффМерча</f>
        <v/>
      </c>
      <c r="AR123" s="62">
        <f>('03_Сеть'!AQ14*ПервичнаяМес1*КоэффСохранения+'03_Сеть'!AP14*ПервичнаяМес2*КоэффСохранения^2+'03_Сеть'!AO14*ПервичнаяМес3*КоэффСохранения^3)*ДетиК12Мес*КоэффМерча</f>
        <v/>
      </c>
      <c r="AS123" s="62">
        <f>('03_Сеть'!AR14*ПервичнаяМес1*КоэффСохранения+'03_Сеть'!AQ14*ПервичнаяМес2*КоэффСохранения^2+'03_Сеть'!AP14*ПервичнаяМес3*КоэффСохранения^3)*ДетиК12Мес*КоэффМерча</f>
        <v/>
      </c>
      <c r="AT123" s="62">
        <f>('03_Сеть'!AS14*ПервичнаяМес1*КоэффСохранения+'03_Сеть'!AR14*ПервичнаяМес2*КоэффСохранения^2+'03_Сеть'!AQ14*ПервичнаяМес3*КоэффСохранения^3)*ДетиК12Мес*КоэффМерча</f>
        <v/>
      </c>
      <c r="AU123" s="62">
        <f>('03_Сеть'!AT14*ПервичнаяМес1*КоэффСохранения+'03_Сеть'!AS14*ПервичнаяМес2*КоэффСохранения^2+'03_Сеть'!AR14*ПервичнаяМес3*КоэффСохранения^3)*ДетиК12Мес*КоэффМерча</f>
        <v/>
      </c>
      <c r="AV123" s="62">
        <f>('03_Сеть'!AU14*ПервичнаяМес1*КоэффСохранения+'03_Сеть'!AT14*ПервичнаяМес2*КоэффСохранения^2+'03_Сеть'!AS14*ПервичнаяМес3*КоэффСохранения^3)*ДетиК12Мес*КоэффМерча</f>
        <v/>
      </c>
      <c r="AW123" s="62">
        <f>('03_Сеть'!AV14*ПервичнаяМес1*КоэффСохранения+'03_Сеть'!AU14*ПервичнаяМес2*КоэффСохранения^2+'03_Сеть'!AT14*ПервичнаяМес3*КоэффСохранения^3)*ДетиК12Мес*КоэффМерча</f>
        <v/>
      </c>
      <c r="AX123" s="62">
        <f>('03_Сеть'!AW14*ПервичнаяМес1*КоэффСохранения+'03_Сеть'!AV14*ПервичнаяМес2*КоэффСохранения^2+'03_Сеть'!AU14*ПервичнаяМес3*КоэффСохранения^3)*ДетиК12Мес*КоэффМерча</f>
        <v/>
      </c>
      <c r="AY123" s="62">
        <f>('03_Сеть'!AX14*ПервичнаяМес1*КоэффСохранения+'03_Сеть'!AW14*ПервичнаяМес2*КоэффСохранения^2+'03_Сеть'!AV14*ПервичнаяМес3*КоэффСохранения^3)*ДетиК12Мес*КоэффМерча</f>
        <v/>
      </c>
      <c r="AZ123" s="62">
        <f>('03_Сеть'!AY14*ПервичнаяМес1*КоэффСохранения+'03_Сеть'!AX14*ПервичнаяМес2*КоэффСохранения^2+'03_Сеть'!AW14*ПервичнаяМес3*КоэффСохранения^3)*ДетиК12Мес*КоэффМерча</f>
        <v/>
      </c>
      <c r="BA123" s="62">
        <f>('03_Сеть'!AZ14*ПервичнаяМес1*КоэффСохранения+'03_Сеть'!AY14*ПервичнаяМес2*КоэффСохранения^2+'03_Сеть'!AX14*ПервичнаяМес3*КоэффСохранения^3)*ДетиК12Мес*КоэффМерча</f>
        <v/>
      </c>
      <c r="BB123" s="62">
        <f>('03_Сеть'!BA14*ПервичнаяМес1*КоэффСохранения+'03_Сеть'!AZ14*ПервичнаяМес2*КоэффСохранения^2+'03_Сеть'!AY14*ПервичнаяМес3*КоэффСохранения^3)*ДетиК12Мес*КоэффМерча</f>
        <v/>
      </c>
      <c r="BC123" s="62">
        <f>('03_Сеть'!BB14*ПервичнаяМес1*КоэффСохранения+'03_Сеть'!BA14*ПервичнаяМес2*КоэффСохранения^2+'03_Сеть'!AZ14*ПервичнаяМес3*КоэффСохранения^3)*ДетиК12Мес*КоэффМерча</f>
        <v/>
      </c>
      <c r="BD123" s="62">
        <f>('03_Сеть'!BC14*ПервичнаяМес1*КоэффСохранения+'03_Сеть'!BB14*ПервичнаяМес2*КоэффСохранения^2+'03_Сеть'!BA14*ПервичнаяМес3*КоэффСохранения^3)*ДетиК12Мес*КоэффМерча</f>
        <v/>
      </c>
      <c r="BE123" s="62">
        <f>('03_Сеть'!BD14*ПервичнаяМес1*КоэффСохранения+'03_Сеть'!BC14*ПервичнаяМес2*КоэффСохранения^2+'03_Сеть'!BB14*ПервичнаяМес3*КоэффСохранения^3)*ДетиК12Мес*КоэффМерча</f>
        <v/>
      </c>
      <c r="BF123" s="62">
        <f>('03_Сеть'!BE14*ПервичнаяМес1*КоэффСохранения+'03_Сеть'!BD14*ПервичнаяМес2*КоэффСохранения^2+'03_Сеть'!BC14*ПервичнаяМес3*КоэффСохранения^3)*ДетиК12Мес*КоэффМерча</f>
        <v/>
      </c>
      <c r="BG123" s="62">
        <f>('03_Сеть'!BF14*ПервичнаяМес1*КоэффСохранения+'03_Сеть'!BE14*ПервичнаяМес2*КоэффСохранения^2+'03_Сеть'!BD14*ПервичнаяМес3*КоэффСохранения^3)*ДетиК12Мес*КоэффМерча</f>
        <v/>
      </c>
      <c r="BH123" s="62">
        <f>('03_Сеть'!BG14*ПервичнаяМес1*КоэффСохранения+'03_Сеть'!BF14*ПервичнаяМес2*КоэффСохранения^2+'03_Сеть'!BE14*ПервичнаяМес3*КоэффСохранения^3)*ДетиК12Мес*КоэффМерча</f>
        <v/>
      </c>
      <c r="BI123" s="62">
        <f>('03_Сеть'!BH14*ПервичнаяМес1*КоэффСохранения+'03_Сеть'!BG14*ПервичнаяМес2*КоэффСохранения^2+'03_Сеть'!BF14*ПервичнаяМес3*КоэффСохранения^3)*ДетиК12Мес*КоэффМерча</f>
        <v/>
      </c>
      <c r="BJ123" s="62">
        <f>('03_Сеть'!BI14*ПервичнаяМес1*КоэффСохранения+'03_Сеть'!BH14*ПервичнаяМес2*КоэффСохранения^2+'03_Сеть'!BG14*ПервичнаяМес3*КоэффСохранения^3)*ДетиК12Мес*КоэффМерча</f>
        <v/>
      </c>
      <c r="BK123" s="62">
        <f>('03_Сеть'!BJ14*ПервичнаяМес1*КоэффСохранения+'03_Сеть'!BI14*ПервичнаяМес2*КоэффСохранения^2+'03_Сеть'!BH14*ПервичнаяМес3*КоэффСохранения^3)*ДетиК12Мес*КоэффМерча</f>
        <v/>
      </c>
      <c r="BL123" s="62">
        <f>('03_Сеть'!BK14*ПервичнаяМес1*КоэффСохранения+'03_Сеть'!BJ14*ПервичнаяМес2*КоэффСохранения^2+'03_Сеть'!BI14*ПервичнаяМес3*КоэффСохранения^3)*ДетиК12Мес*КоэффМерча</f>
        <v/>
      </c>
      <c r="BM123" s="62">
        <f>('03_Сеть'!BL14*ПервичнаяМес1*КоэффСохранения+'03_Сеть'!BK14*ПервичнаяМес2*КоэффСохранения^2+'03_Сеть'!BJ14*ПервичнаяМес3*КоэффСохранения^3)*ДетиК12Мес*КоэффМерча</f>
        <v/>
      </c>
      <c r="BN123" s="62">
        <f>('03_Сеть'!BM14*ПервичнаяМес1*КоэффСохранения+'03_Сеть'!BL14*ПервичнаяМес2*КоэффСохранения^2+'03_Сеть'!BK14*ПервичнаяМес3*КоэффСохранения^3)*ДетиК12Мес*КоэффМерча</f>
        <v/>
      </c>
      <c r="BO123" s="62">
        <f>('03_Сеть'!BN14*ПервичнаяМес1*КоэффСохранения+'03_Сеть'!BM14*ПервичнаяМес2*КоэффСохранения^2+'03_Сеть'!BL14*ПервичнаяМес3*КоэффСохранения^3)*ДетиК12Мес*КоэффМерча</f>
        <v/>
      </c>
      <c r="BP123" s="62">
        <f>('03_Сеть'!BO14*ПервичнаяМес1*КоэффСохранения+'03_Сеть'!BN14*ПервичнаяМес2*КоэффСохранения^2+'03_Сеть'!BM14*ПервичнаяМес3*КоэффСохранения^3)*ДетиК12Мес*КоэффМерча</f>
        <v/>
      </c>
      <c r="BQ123" s="62">
        <f>('03_Сеть'!BP14*ПервичнаяМес1*КоэффСохранения+'03_Сеть'!BO14*ПервичнаяМес2*КоэффСохранения^2+'03_Сеть'!BN14*ПервичнаяМес3*КоэффСохранения^3)*ДетиК12Мес*КоэффМерча</f>
        <v/>
      </c>
      <c r="BR123" s="62">
        <f>('03_Сеть'!BQ14*ПервичнаяМес1*КоэффСохранения+'03_Сеть'!BP14*ПервичнаяМес2*КоэффСохранения^2+'03_Сеть'!BO14*ПервичнаяМес3*КоэффСохранения^3)*ДетиК12Мес*КоэффМерча</f>
        <v/>
      </c>
      <c r="BS123" s="62">
        <f>('03_Сеть'!BR14*ПервичнаяМес1*КоэффСохранения+'03_Сеть'!BQ14*ПервичнаяМес2*КоэффСохранения^2+'03_Сеть'!BP14*ПервичнаяМес3*КоэффСохранения^3)*ДетиК12Мес*КоэффМерча</f>
        <v/>
      </c>
      <c r="BT123" s="62">
        <f>('03_Сеть'!BS14*ПервичнаяМес1*КоэффСохранения+'03_Сеть'!BR14*ПервичнаяМес2*КоэффСохранения^2+'03_Сеть'!BQ14*ПервичнаяМес3*КоэффСохранения^3)*ДетиК12Мес*КоэффМерча</f>
        <v/>
      </c>
      <c r="BU123" s="62">
        <f>('03_Сеть'!BT14*ПервичнаяМес1*КоэффСохранения+'03_Сеть'!BS14*ПервичнаяМес2*КоэффСохранения^2+'03_Сеть'!BR14*ПервичнаяМес3*КоэффСохранения^3)*ДетиК12Мес*КоэффМерча</f>
        <v/>
      </c>
      <c r="BV123" s="62">
        <f>('03_Сеть'!BU14*ПервичнаяМес1*КоэффСохранения+'03_Сеть'!BT14*ПервичнаяМес2*КоэффСохранения^2+'03_Сеть'!BS14*ПервичнаяМес3*КоэффСохранения^3)*ДетиК12Мес*КоэффМерча</f>
        <v/>
      </c>
      <c r="BW123" s="62">
        <f>('03_Сеть'!BV14*ПервичнаяМес1*КоэффСохранения+'03_Сеть'!BU14*ПервичнаяМес2*КоэффСохранения^2+'03_Сеть'!BT14*ПервичнаяМес3*КоэффСохранения^3)*ДетиК12Мес*КоэффМерча</f>
        <v/>
      </c>
      <c r="BX123" s="62">
        <f>('03_Сеть'!BW14*ПервичнаяМес1*КоэффСохранения+'03_Сеть'!BV14*ПервичнаяМес2*КоэффСохранения^2+'03_Сеть'!BU14*ПервичнаяМес3*КоэффСохранения^3)*ДетиК12Мес*КоэффМерча</f>
        <v/>
      </c>
      <c r="BY123" s="62">
        <f>('03_Сеть'!BX14*ПервичнаяМес1*КоэффСохранения+'03_Сеть'!BW14*ПервичнаяМес2*КоэффСохранения^2+'03_Сеть'!BV14*ПервичнаяМес3*КоэффСохранения^3)*ДетиК12Мес*КоэффМерча</f>
        <v/>
      </c>
    </row>
    <row r="124" ht="15.75" customHeight="1" s="194">
      <c r="B124" s="56" t="inlineStr">
        <is>
          <t>Повторная закупка новых школ, комплекты</t>
        </is>
      </c>
      <c r="C124" s="56" t="inlineStr">
        <is>
          <t>шт.</t>
        </is>
      </c>
      <c r="D124" s="57" t="n"/>
      <c r="E124" s="59">
        <f>SUM(L124:W124)</f>
        <v/>
      </c>
      <c r="F124" s="59">
        <f>SUM(X124:AI124)</f>
        <v/>
      </c>
      <c r="G124" s="59">
        <f>SUM(AJ124:AU124)</f>
        <v/>
      </c>
      <c r="H124" s="59">
        <f>SUM(AV124:BG124)</f>
        <v/>
      </c>
      <c r="I124" s="59">
        <f>SUM(BH124:BS124)</f>
        <v/>
      </c>
      <c r="J124" s="61">
        <f>SUM(L124:BS124)</f>
        <v/>
      </c>
      <c r="L124" s="62">
        <f>L122*КоэффМерча*L106</f>
        <v/>
      </c>
      <c r="M124" s="62">
        <f>M122*КоэффМерча*M106</f>
        <v/>
      </c>
      <c r="N124" s="62">
        <f>N122*КоэффМерча*N106</f>
        <v/>
      </c>
      <c r="O124" s="62">
        <f>O122*КоэффМерча*O106</f>
        <v/>
      </c>
      <c r="P124" s="62">
        <f>P122*КоэффМерча*P106</f>
        <v/>
      </c>
      <c r="Q124" s="62">
        <f>Q122*КоэффМерча*Q106</f>
        <v/>
      </c>
      <c r="R124" s="62">
        <f>R122*КоэффМерча*R106</f>
        <v/>
      </c>
      <c r="S124" s="62">
        <f>S122*КоэффМерча*S106</f>
        <v/>
      </c>
      <c r="T124" s="62">
        <f>T122*КоэффМерча*T106</f>
        <v/>
      </c>
      <c r="U124" s="62">
        <f>U122*КоэффМерча*U106</f>
        <v/>
      </c>
      <c r="V124" s="62">
        <f>V122*КоэффМерча*V106</f>
        <v/>
      </c>
      <c r="W124" s="62">
        <f>W122*КоэффМерча*W106</f>
        <v/>
      </c>
      <c r="X124" s="62">
        <f>X122*КоэффМерча*X106</f>
        <v/>
      </c>
      <c r="Y124" s="62">
        <f>Y122*КоэффМерча*Y106</f>
        <v/>
      </c>
      <c r="Z124" s="62">
        <f>Z122*КоэффМерча*Z106</f>
        <v/>
      </c>
      <c r="AA124" s="62">
        <f>AA122*КоэффМерча*AA106</f>
        <v/>
      </c>
      <c r="AB124" s="62">
        <f>AB122*КоэффМерча*AB106</f>
        <v/>
      </c>
      <c r="AC124" s="62">
        <f>AC122*КоэффМерча*AC106</f>
        <v/>
      </c>
      <c r="AD124" s="62">
        <f>AD122*КоэффМерча*AD106</f>
        <v/>
      </c>
      <c r="AE124" s="62">
        <f>AE122*КоэффМерча*AE106</f>
        <v/>
      </c>
      <c r="AF124" s="62">
        <f>AF122*КоэффМерча*AF106</f>
        <v/>
      </c>
      <c r="AG124" s="62">
        <f>AG122*КоэффМерча*AG106</f>
        <v/>
      </c>
      <c r="AH124" s="62">
        <f>AH122*КоэффМерча*AH106</f>
        <v/>
      </c>
      <c r="AI124" s="62">
        <f>AI122*КоэффМерча*AI106</f>
        <v/>
      </c>
      <c r="AJ124" s="62">
        <f>AJ122*КоэффМерча*AJ106</f>
        <v/>
      </c>
      <c r="AK124" s="62">
        <f>AK122*КоэффМерча*AK106</f>
        <v/>
      </c>
      <c r="AL124" s="62">
        <f>AL122*КоэффМерча*AL106</f>
        <v/>
      </c>
      <c r="AM124" s="62">
        <f>AM122*КоэффМерча*AM106</f>
        <v/>
      </c>
      <c r="AN124" s="62">
        <f>AN122*КоэффМерча*AN106</f>
        <v/>
      </c>
      <c r="AO124" s="62">
        <f>AO122*КоэффМерча*AO106</f>
        <v/>
      </c>
      <c r="AP124" s="62">
        <f>AP122*КоэффМерча*AP106</f>
        <v/>
      </c>
      <c r="AQ124" s="62">
        <f>AQ122*КоэффМерча*AQ106</f>
        <v/>
      </c>
      <c r="AR124" s="62">
        <f>AR122*КоэффМерча*AR106</f>
        <v/>
      </c>
      <c r="AS124" s="62">
        <f>AS122*КоэффМерча*AS106</f>
        <v/>
      </c>
      <c r="AT124" s="62">
        <f>AT122*КоэффМерча*AT106</f>
        <v/>
      </c>
      <c r="AU124" s="62">
        <f>AU122*КоэффМерча*AU106</f>
        <v/>
      </c>
      <c r="AV124" s="62">
        <f>AV122*КоэффМерча*AV106</f>
        <v/>
      </c>
      <c r="AW124" s="62">
        <f>AW122*КоэффМерча*AW106</f>
        <v/>
      </c>
      <c r="AX124" s="62">
        <f>AX122*КоэффМерча*AX106</f>
        <v/>
      </c>
      <c r="AY124" s="62">
        <f>AY122*КоэффМерча*AY106</f>
        <v/>
      </c>
      <c r="AZ124" s="62">
        <f>AZ122*КоэффМерча*AZ106</f>
        <v/>
      </c>
      <c r="BA124" s="62">
        <f>BA122*КоэффМерча*BA106</f>
        <v/>
      </c>
      <c r="BB124" s="62">
        <f>BB122*КоэффМерча*BB106</f>
        <v/>
      </c>
      <c r="BC124" s="62">
        <f>BC122*КоэффМерча*BC106</f>
        <v/>
      </c>
      <c r="BD124" s="62">
        <f>BD122*КоэффМерча*BD106</f>
        <v/>
      </c>
      <c r="BE124" s="62">
        <f>BE122*КоэффМерча*BE106</f>
        <v/>
      </c>
      <c r="BF124" s="62">
        <f>BF122*КоэффМерча*BF106</f>
        <v/>
      </c>
      <c r="BG124" s="62">
        <f>BG122*КоэффМерча*BG106</f>
        <v/>
      </c>
      <c r="BH124" s="62">
        <f>BH122*КоэффМерча*BH106</f>
        <v/>
      </c>
      <c r="BI124" s="62">
        <f>BI122*КоэффМерча*BI106</f>
        <v/>
      </c>
      <c r="BJ124" s="62">
        <f>BJ122*КоэффМерча*BJ106</f>
        <v/>
      </c>
      <c r="BK124" s="62">
        <f>BK122*КоэффМерча*BK106</f>
        <v/>
      </c>
      <c r="BL124" s="62">
        <f>BL122*КоэффМерча*BL106</f>
        <v/>
      </c>
      <c r="BM124" s="62">
        <f>BM122*КоэффМерча*BM106</f>
        <v/>
      </c>
      <c r="BN124" s="62">
        <f>BN122*КоэффМерча*BN106</f>
        <v/>
      </c>
      <c r="BO124" s="62">
        <f>BO122*КоэффМерча*BO106</f>
        <v/>
      </c>
      <c r="BP124" s="62">
        <f>BP122*КоэффМерча*BP106</f>
        <v/>
      </c>
      <c r="BQ124" s="62">
        <f>BQ122*КоэффМерча*BQ106</f>
        <v/>
      </c>
      <c r="BR124" s="62">
        <f>BR122*КоэффМерча*BR106</f>
        <v/>
      </c>
      <c r="BS124" s="62">
        <f>BS122*КоэффМерча*BS106</f>
        <v/>
      </c>
      <c r="BT124" s="62">
        <f>BT122*КоэффМерча*BT106</f>
        <v/>
      </c>
      <c r="BU124" s="62">
        <f>BU122*КоэффМерча*BU106</f>
        <v/>
      </c>
      <c r="BV124" s="62">
        <f>BV122*КоэффМерча*BV106</f>
        <v/>
      </c>
      <c r="BW124" s="62">
        <f>BW122*КоэффМерча*BW106</f>
        <v/>
      </c>
      <c r="BX124" s="62">
        <f>BX122*КоэффМерча*BX106</f>
        <v/>
      </c>
      <c r="BY124" s="62">
        <f>BY122*КоэффМерча*BY106</f>
        <v/>
      </c>
    </row>
    <row r="125" ht="15.75" customHeight="1" s="194"/>
    <row r="126" ht="15.75" customHeight="1" s="194">
      <c r="B126" s="54" t="inlineStr">
        <is>
          <t>Мерч: деньги</t>
        </is>
      </c>
      <c r="C126" s="55" t="n"/>
      <c r="D126" s="55" t="n"/>
      <c r="E126" s="55" t="n"/>
      <c r="F126" s="55" t="n"/>
      <c r="G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  <c r="W126" s="55" t="n"/>
      <c r="X126" s="55" t="n"/>
      <c r="Y126" s="55" t="n"/>
      <c r="Z126" s="55" t="n"/>
      <c r="AA126" s="55" t="n"/>
      <c r="AB126" s="55" t="n"/>
      <c r="AC126" s="55" t="n"/>
      <c r="AD126" s="55" t="n"/>
      <c r="AE126" s="55" t="n"/>
      <c r="AF126" s="55" t="n"/>
      <c r="AG126" s="55" t="n"/>
      <c r="AH126" s="55" t="n"/>
      <c r="AI126" s="55" t="n"/>
      <c r="AJ126" s="55" t="n"/>
      <c r="AK126" s="55" t="n"/>
      <c r="AL126" s="55" t="n"/>
      <c r="AM126" s="55" t="n"/>
      <c r="AN126" s="55" t="n"/>
      <c r="AO126" s="55" t="n"/>
      <c r="AP126" s="55" t="n"/>
      <c r="AQ126" s="55" t="n"/>
      <c r="AR126" s="55" t="n"/>
      <c r="AS126" s="55" t="n"/>
      <c r="AT126" s="55" t="n"/>
      <c r="AU126" s="55" t="n"/>
      <c r="AV126" s="55" t="n"/>
      <c r="AW126" s="55" t="n"/>
      <c r="AX126" s="55" t="n"/>
      <c r="AY126" s="55" t="n"/>
      <c r="AZ126" s="55" t="n"/>
      <c r="BA126" s="55" t="n"/>
      <c r="BB126" s="55" t="n"/>
      <c r="BC126" s="55" t="n"/>
      <c r="BD126" s="55" t="n"/>
      <c r="BE126" s="55" t="n"/>
      <c r="BF126" s="55" t="n"/>
      <c r="BG126" s="55" t="n"/>
      <c r="BH126" s="55" t="n"/>
      <c r="BI126" s="55" t="n"/>
      <c r="BJ126" s="55" t="n"/>
      <c r="BK126" s="55" t="n"/>
      <c r="BL126" s="55" t="n"/>
      <c r="BM126" s="55" t="n"/>
      <c r="BN126" s="55" t="n"/>
      <c r="BO126" s="55" t="n"/>
      <c r="BP126" s="55" t="n"/>
      <c r="BQ126" s="55" t="n"/>
      <c r="BR126" s="55" t="n"/>
      <c r="BS126" s="55" t="n"/>
      <c r="BT126" s="55" t="n"/>
      <c r="BU126" s="55" t="n"/>
      <c r="BV126" s="55" t="n"/>
      <c r="BW126" s="55" t="n"/>
      <c r="BX126" s="55" t="n"/>
      <c r="BY126" s="55" t="n"/>
    </row>
    <row r="127" ht="15.75" customHeight="1" s="194">
      <c r="B127" s="56" t="inlineStr">
        <is>
          <t>Новые школы — выручка с НДС</t>
        </is>
      </c>
      <c r="C127" s="56" t="inlineStr">
        <is>
          <t>₽</t>
        </is>
      </c>
      <c r="D127" s="57" t="n"/>
      <c r="E127" s="85">
        <f>SUM(L127:W127)</f>
        <v/>
      </c>
      <c r="F127" s="85">
        <f>SUM(X127:AI127)</f>
        <v/>
      </c>
      <c r="G127" s="85">
        <f>SUM(AJ127:AU127)</f>
        <v/>
      </c>
      <c r="H127" s="85">
        <f>SUM(AV127:BG127)</f>
        <v/>
      </c>
      <c r="I127" s="85">
        <f>SUM(BH127:BS127)</f>
        <v/>
      </c>
      <c r="J127" s="86">
        <f>SUM(L127:BS127)</f>
        <v/>
      </c>
      <c r="L127" s="87">
        <f>(L123+L124)*'07_Тарифы'!B$10</f>
        <v/>
      </c>
      <c r="M127" s="87">
        <f>(M123+M124)*'07_Тарифы'!C$10</f>
        <v/>
      </c>
      <c r="N127" s="87">
        <f>(N123+N124)*'07_Тарифы'!D$10</f>
        <v/>
      </c>
      <c r="O127" s="87">
        <f>(O123+O124)*'07_Тарифы'!E$10</f>
        <v/>
      </c>
      <c r="P127" s="87">
        <f>(P123+P124)*'07_Тарифы'!F$10</f>
        <v/>
      </c>
      <c r="Q127" s="87">
        <f>(Q123+Q124)*'07_Тарифы'!G$10</f>
        <v/>
      </c>
      <c r="R127" s="87">
        <f>(R123+R124)*'07_Тарифы'!H$10</f>
        <v/>
      </c>
      <c r="S127" s="87">
        <f>(S123+S124)*'07_Тарифы'!I$10</f>
        <v/>
      </c>
      <c r="T127" s="87">
        <f>(T123+T124)*'07_Тарифы'!J$10</f>
        <v/>
      </c>
      <c r="U127" s="87">
        <f>(U123+U124)*'07_Тарифы'!K$10</f>
        <v/>
      </c>
      <c r="V127" s="87">
        <f>(V123+V124)*'07_Тарифы'!L$10</f>
        <v/>
      </c>
      <c r="W127" s="87">
        <f>(W123+W124)*'07_Тарифы'!M$10</f>
        <v/>
      </c>
      <c r="X127" s="87">
        <f>(X123+X124)*'07_Тарифы'!N$10</f>
        <v/>
      </c>
      <c r="Y127" s="87">
        <f>(Y123+Y124)*'07_Тарифы'!O$10</f>
        <v/>
      </c>
      <c r="Z127" s="87">
        <f>(Z123+Z124)*'07_Тарифы'!P$10</f>
        <v/>
      </c>
      <c r="AA127" s="87">
        <f>(AA123+AA124)*'07_Тарифы'!Q$10</f>
        <v/>
      </c>
      <c r="AB127" s="87">
        <f>(AB123+AB124)*'07_Тарифы'!R$10</f>
        <v/>
      </c>
      <c r="AC127" s="87">
        <f>(AC123+AC124)*'07_Тарифы'!S$10</f>
        <v/>
      </c>
      <c r="AD127" s="87">
        <f>(AD123+AD124)*'07_Тарифы'!T$10</f>
        <v/>
      </c>
      <c r="AE127" s="87">
        <f>(AE123+AE124)*'07_Тарифы'!U$10</f>
        <v/>
      </c>
      <c r="AF127" s="87">
        <f>(AF123+AF124)*'07_Тарифы'!V$10</f>
        <v/>
      </c>
      <c r="AG127" s="87">
        <f>(AG123+AG124)*'07_Тарифы'!W$10</f>
        <v/>
      </c>
      <c r="AH127" s="87">
        <f>(AH123+AH124)*'07_Тарифы'!X$10</f>
        <v/>
      </c>
      <c r="AI127" s="87">
        <f>(AI123+AI124)*'07_Тарифы'!Y$10</f>
        <v/>
      </c>
      <c r="AJ127" s="87">
        <f>(AJ123+AJ124)*'07_Тарифы'!Z$10</f>
        <v/>
      </c>
      <c r="AK127" s="87">
        <f>(AK123+AK124)*'07_Тарифы'!AA$10</f>
        <v/>
      </c>
      <c r="AL127" s="87">
        <f>(AL123+AL124)*'07_Тарифы'!AB$10</f>
        <v/>
      </c>
      <c r="AM127" s="87">
        <f>(AM123+AM124)*'07_Тарифы'!AC$10</f>
        <v/>
      </c>
      <c r="AN127" s="87">
        <f>(AN123+AN124)*'07_Тарифы'!AD$10</f>
        <v/>
      </c>
      <c r="AO127" s="87">
        <f>(AO123+AO124)*'07_Тарифы'!AE$10</f>
        <v/>
      </c>
      <c r="AP127" s="87">
        <f>(AP123+AP124)*'07_Тарифы'!AF$10</f>
        <v/>
      </c>
      <c r="AQ127" s="87">
        <f>(AQ123+AQ124)*'07_Тарифы'!AG$10</f>
        <v/>
      </c>
      <c r="AR127" s="87">
        <f>(AR123+AR124)*'07_Тарифы'!AH$10</f>
        <v/>
      </c>
      <c r="AS127" s="87">
        <f>(AS123+AS124)*'07_Тарифы'!AI$10</f>
        <v/>
      </c>
      <c r="AT127" s="87">
        <f>(AT123+AT124)*'07_Тарифы'!AJ$10</f>
        <v/>
      </c>
      <c r="AU127" s="87">
        <f>(AU123+AU124)*'07_Тарифы'!AK$10</f>
        <v/>
      </c>
      <c r="AV127" s="87">
        <f>(AV123+AV124)*'07_Тарифы'!AL$10</f>
        <v/>
      </c>
      <c r="AW127" s="87">
        <f>(AW123+AW124)*'07_Тарифы'!AM$10</f>
        <v/>
      </c>
      <c r="AX127" s="87">
        <f>(AX123+AX124)*'07_Тарифы'!AN$10</f>
        <v/>
      </c>
      <c r="AY127" s="87">
        <f>(AY123+AY124)*'07_Тарифы'!AO$10</f>
        <v/>
      </c>
      <c r="AZ127" s="87">
        <f>(AZ123+AZ124)*'07_Тарифы'!AP$10</f>
        <v/>
      </c>
      <c r="BA127" s="87">
        <f>(BA123+BA124)*'07_Тарифы'!AQ$10</f>
        <v/>
      </c>
      <c r="BB127" s="87">
        <f>(BB123+BB124)*'07_Тарифы'!AR$10</f>
        <v/>
      </c>
      <c r="BC127" s="87">
        <f>(BC123+BC124)*'07_Тарифы'!AS$10</f>
        <v/>
      </c>
      <c r="BD127" s="87">
        <f>(BD123+BD124)*'07_Тарифы'!AT$10</f>
        <v/>
      </c>
      <c r="BE127" s="87">
        <f>(BE123+BE124)*'07_Тарифы'!AU$10</f>
        <v/>
      </c>
      <c r="BF127" s="87">
        <f>(BF123+BF124)*'07_Тарифы'!AV$10</f>
        <v/>
      </c>
      <c r="BG127" s="87">
        <f>(BG123+BG124)*'07_Тарифы'!AW$10</f>
        <v/>
      </c>
      <c r="BH127" s="87">
        <f>(BH123+BH124)*'07_Тарифы'!AX$10</f>
        <v/>
      </c>
      <c r="BI127" s="87">
        <f>(BI123+BI124)*'07_Тарифы'!AY$10</f>
        <v/>
      </c>
      <c r="BJ127" s="87">
        <f>(BJ123+BJ124)*'07_Тарифы'!AZ$10</f>
        <v/>
      </c>
      <c r="BK127" s="87">
        <f>(BK123+BK124)*'07_Тарифы'!BA$10</f>
        <v/>
      </c>
      <c r="BL127" s="87">
        <f>(BL123+BL124)*'07_Тарифы'!BB$10</f>
        <v/>
      </c>
      <c r="BM127" s="87">
        <f>(BM123+BM124)*'07_Тарифы'!BC$10</f>
        <v/>
      </c>
      <c r="BN127" s="87">
        <f>(BN123+BN124)*'07_Тарифы'!BD$10</f>
        <v/>
      </c>
      <c r="BO127" s="87">
        <f>(BO123+BO124)*'07_Тарифы'!BE$10</f>
        <v/>
      </c>
      <c r="BP127" s="87">
        <f>(BP123+BP124)*'07_Тарифы'!BF$10</f>
        <v/>
      </c>
      <c r="BQ127" s="87">
        <f>(BQ123+BQ124)*'07_Тарифы'!BG$10</f>
        <v/>
      </c>
      <c r="BR127" s="87">
        <f>(BR123+BR124)*'07_Тарифы'!BH$10</f>
        <v/>
      </c>
      <c r="BS127" s="87">
        <f>(BS123+BS124)*'07_Тарифы'!BI$10</f>
        <v/>
      </c>
      <c r="BT127" s="87">
        <f>(BT123+BT124)*'07_Тарифы'!BJ$10</f>
        <v/>
      </c>
      <c r="BU127" s="87">
        <f>(BU123+BU124)*'07_Тарифы'!BK$10</f>
        <v/>
      </c>
      <c r="BV127" s="87">
        <f>(BV123+BV124)*'07_Тарифы'!BL$10</f>
        <v/>
      </c>
      <c r="BW127" s="87">
        <f>(BW123+BW124)*'07_Тарифы'!BM$10</f>
        <v/>
      </c>
      <c r="BX127" s="87">
        <f>(BX123+BX124)*'07_Тарифы'!BN$10</f>
        <v/>
      </c>
      <c r="BY127" s="87">
        <f>(BY123+BY124)*'07_Тарифы'!BO$10</f>
        <v/>
      </c>
    </row>
    <row r="128" ht="15.75" customHeight="1" s="194">
      <c r="B128" s="56" t="inlineStr">
        <is>
          <t>Новые школы — COGS</t>
        </is>
      </c>
      <c r="C128" s="56" t="inlineStr">
        <is>
          <t>₽</t>
        </is>
      </c>
      <c r="D128" s="57" t="n"/>
      <c r="E128" s="85">
        <f>SUM(L128:W128)</f>
        <v/>
      </c>
      <c r="F128" s="85">
        <f>SUM(X128:AI128)</f>
        <v/>
      </c>
      <c r="G128" s="85">
        <f>SUM(AJ128:AU128)</f>
        <v/>
      </c>
      <c r="H128" s="85">
        <f>SUM(AV128:BG128)</f>
        <v/>
      </c>
      <c r="I128" s="85">
        <f>SUM(BH128:BS128)</f>
        <v/>
      </c>
      <c r="J128" s="86">
        <f>SUM(L128:BS128)</f>
        <v/>
      </c>
      <c r="L128" s="87">
        <f>(L123+L124)*'07_Тарифы'!B$9</f>
        <v/>
      </c>
      <c r="M128" s="87">
        <f>(M123+M124)*'07_Тарифы'!C$9</f>
        <v/>
      </c>
      <c r="N128" s="87">
        <f>(N123+N124)*'07_Тарифы'!D$9</f>
        <v/>
      </c>
      <c r="O128" s="87">
        <f>(O123+O124)*'07_Тарифы'!E$9</f>
        <v/>
      </c>
      <c r="P128" s="87">
        <f>(P123+P124)*'07_Тарифы'!F$9</f>
        <v/>
      </c>
      <c r="Q128" s="87">
        <f>(Q123+Q124)*'07_Тарифы'!G$9</f>
        <v/>
      </c>
      <c r="R128" s="87">
        <f>(R123+R124)*'07_Тарифы'!H$9</f>
        <v/>
      </c>
      <c r="S128" s="87">
        <f>(S123+S124)*'07_Тарифы'!I$9</f>
        <v/>
      </c>
      <c r="T128" s="87">
        <f>(T123+T124)*'07_Тарифы'!J$9</f>
        <v/>
      </c>
      <c r="U128" s="87">
        <f>(U123+U124)*'07_Тарифы'!K$9</f>
        <v/>
      </c>
      <c r="V128" s="87">
        <f>(V123+V124)*'07_Тарифы'!L$9</f>
        <v/>
      </c>
      <c r="W128" s="87">
        <f>(W123+W124)*'07_Тарифы'!M$9</f>
        <v/>
      </c>
      <c r="X128" s="87">
        <f>(X123+X124)*'07_Тарифы'!N$9</f>
        <v/>
      </c>
      <c r="Y128" s="87">
        <f>(Y123+Y124)*'07_Тарифы'!O$9</f>
        <v/>
      </c>
      <c r="Z128" s="87">
        <f>(Z123+Z124)*'07_Тарифы'!P$9</f>
        <v/>
      </c>
      <c r="AA128" s="87">
        <f>(AA123+AA124)*'07_Тарифы'!Q$9</f>
        <v/>
      </c>
      <c r="AB128" s="87">
        <f>(AB123+AB124)*'07_Тарифы'!R$9</f>
        <v/>
      </c>
      <c r="AC128" s="87">
        <f>(AC123+AC124)*'07_Тарифы'!S$9</f>
        <v/>
      </c>
      <c r="AD128" s="87">
        <f>(AD123+AD124)*'07_Тарифы'!T$9</f>
        <v/>
      </c>
      <c r="AE128" s="87">
        <f>(AE123+AE124)*'07_Тарифы'!U$9</f>
        <v/>
      </c>
      <c r="AF128" s="87">
        <f>(AF123+AF124)*'07_Тарифы'!V$9</f>
        <v/>
      </c>
      <c r="AG128" s="87">
        <f>(AG123+AG124)*'07_Тарифы'!W$9</f>
        <v/>
      </c>
      <c r="AH128" s="87">
        <f>(AH123+AH124)*'07_Тарифы'!X$9</f>
        <v/>
      </c>
      <c r="AI128" s="87">
        <f>(AI123+AI124)*'07_Тарифы'!Y$9</f>
        <v/>
      </c>
      <c r="AJ128" s="87">
        <f>(AJ123+AJ124)*'07_Тарифы'!Z$9</f>
        <v/>
      </c>
      <c r="AK128" s="87">
        <f>(AK123+AK124)*'07_Тарифы'!AA$9</f>
        <v/>
      </c>
      <c r="AL128" s="87">
        <f>(AL123+AL124)*'07_Тарифы'!AB$9</f>
        <v/>
      </c>
      <c r="AM128" s="87">
        <f>(AM123+AM124)*'07_Тарифы'!AC$9</f>
        <v/>
      </c>
      <c r="AN128" s="87">
        <f>(AN123+AN124)*'07_Тарифы'!AD$9</f>
        <v/>
      </c>
      <c r="AO128" s="87">
        <f>(AO123+AO124)*'07_Тарифы'!AE$9</f>
        <v/>
      </c>
      <c r="AP128" s="87">
        <f>(AP123+AP124)*'07_Тарифы'!AF$9</f>
        <v/>
      </c>
      <c r="AQ128" s="87">
        <f>(AQ123+AQ124)*'07_Тарифы'!AG$9</f>
        <v/>
      </c>
      <c r="AR128" s="87">
        <f>(AR123+AR124)*'07_Тарифы'!AH$9</f>
        <v/>
      </c>
      <c r="AS128" s="87">
        <f>(AS123+AS124)*'07_Тарифы'!AI$9</f>
        <v/>
      </c>
      <c r="AT128" s="87">
        <f>(AT123+AT124)*'07_Тарифы'!AJ$9</f>
        <v/>
      </c>
      <c r="AU128" s="87">
        <f>(AU123+AU124)*'07_Тарифы'!AK$9</f>
        <v/>
      </c>
      <c r="AV128" s="87">
        <f>(AV123+AV124)*'07_Тарифы'!AL$9</f>
        <v/>
      </c>
      <c r="AW128" s="87">
        <f>(AW123+AW124)*'07_Тарифы'!AM$9</f>
        <v/>
      </c>
      <c r="AX128" s="87">
        <f>(AX123+AX124)*'07_Тарифы'!AN$9</f>
        <v/>
      </c>
      <c r="AY128" s="87">
        <f>(AY123+AY124)*'07_Тарифы'!AO$9</f>
        <v/>
      </c>
      <c r="AZ128" s="87">
        <f>(AZ123+AZ124)*'07_Тарифы'!AP$9</f>
        <v/>
      </c>
      <c r="BA128" s="87">
        <f>(BA123+BA124)*'07_Тарифы'!AQ$9</f>
        <v/>
      </c>
      <c r="BB128" s="87">
        <f>(BB123+BB124)*'07_Тарифы'!AR$9</f>
        <v/>
      </c>
      <c r="BC128" s="87">
        <f>(BC123+BC124)*'07_Тарифы'!AS$9</f>
        <v/>
      </c>
      <c r="BD128" s="87">
        <f>(BD123+BD124)*'07_Тарифы'!AT$9</f>
        <v/>
      </c>
      <c r="BE128" s="87">
        <f>(BE123+BE124)*'07_Тарифы'!AU$9</f>
        <v/>
      </c>
      <c r="BF128" s="87">
        <f>(BF123+BF124)*'07_Тарифы'!AV$9</f>
        <v/>
      </c>
      <c r="BG128" s="87">
        <f>(BG123+BG124)*'07_Тарифы'!AW$9</f>
        <v/>
      </c>
      <c r="BH128" s="87">
        <f>(BH123+BH124)*'07_Тарифы'!AX$9</f>
        <v/>
      </c>
      <c r="BI128" s="87">
        <f>(BI123+BI124)*'07_Тарифы'!AY$9</f>
        <v/>
      </c>
      <c r="BJ128" s="87">
        <f>(BJ123+BJ124)*'07_Тарифы'!AZ$9</f>
        <v/>
      </c>
      <c r="BK128" s="87">
        <f>(BK123+BK124)*'07_Тарифы'!BA$9</f>
        <v/>
      </c>
      <c r="BL128" s="87">
        <f>(BL123+BL124)*'07_Тарифы'!BB$9</f>
        <v/>
      </c>
      <c r="BM128" s="87">
        <f>(BM123+BM124)*'07_Тарифы'!BC$9</f>
        <v/>
      </c>
      <c r="BN128" s="87">
        <f>(BN123+BN124)*'07_Тарифы'!BD$9</f>
        <v/>
      </c>
      <c r="BO128" s="87">
        <f>(BO123+BO124)*'07_Тарифы'!BE$9</f>
        <v/>
      </c>
      <c r="BP128" s="87">
        <f>(BP123+BP124)*'07_Тарифы'!BF$9</f>
        <v/>
      </c>
      <c r="BQ128" s="87">
        <f>(BQ123+BQ124)*'07_Тарифы'!BG$9</f>
        <v/>
      </c>
      <c r="BR128" s="87">
        <f>(BR123+BR124)*'07_Тарифы'!BH$9</f>
        <v/>
      </c>
      <c r="BS128" s="87">
        <f>(BS123+BS124)*'07_Тарифы'!BI$9</f>
        <v/>
      </c>
      <c r="BT128" s="87">
        <f>(BT123+BT124)*'07_Тарифы'!BJ$9</f>
        <v/>
      </c>
      <c r="BU128" s="87">
        <f>(BU123+BU124)*'07_Тарифы'!BK$9</f>
        <v/>
      </c>
      <c r="BV128" s="87">
        <f>(BV123+BV124)*'07_Тарифы'!BL$9</f>
        <v/>
      </c>
      <c r="BW128" s="87">
        <f>(BW123+BW124)*'07_Тарифы'!BM$9</f>
        <v/>
      </c>
      <c r="BX128" s="87">
        <f>(BX123+BX124)*'07_Тарифы'!BN$9</f>
        <v/>
      </c>
      <c r="BY128" s="87">
        <f>(BY123+BY124)*'07_Тарифы'!BO$9</f>
        <v/>
      </c>
    </row>
    <row r="129" ht="15.75" customHeight="1" s="194">
      <c r="B129" s="56" t="inlineStr">
        <is>
          <t>Действующая сеть — выручка с НДС</t>
        </is>
      </c>
      <c r="C129" s="56" t="inlineStr">
        <is>
          <t>₽</t>
        </is>
      </c>
      <c r="D129" s="57" t="inlineStr">
        <is>
          <t>Сентябрь–декабрь 2026 — согласованный факт</t>
        </is>
      </c>
      <c r="E129" s="85">
        <f>SUM(L129:W129)</f>
        <v/>
      </c>
      <c r="F129" s="85">
        <f>SUM(X129:AI129)</f>
        <v/>
      </c>
      <c r="G129" s="85">
        <f>SUM(AJ129:AU129)</f>
        <v/>
      </c>
      <c r="H129" s="85">
        <f>SUM(AV129:BG129)</f>
        <v/>
      </c>
      <c r="I129" s="85">
        <f>SUM(BH129:BS129)</f>
        <v/>
      </c>
      <c r="J129" s="86">
        <f>SUM(L129:BS129)</f>
        <v/>
      </c>
      <c r="L129" s="87">
        <f>IF(COUNTIF('01_Вводные'!$B$98:$E$98,'03_Сеть'!L7)&gt;0,SUMIF('01_Вводные'!$B$98:$E$98,'03_Сеть'!L7,'01_Вводные'!$B$100:$E$100),L107*'07_Тарифы'!B$10)</f>
        <v/>
      </c>
      <c r="M129" s="87">
        <f>IF(COUNTIF('01_Вводные'!$B$98:$E$98,'03_Сеть'!M7)&gt;0,SUMIF('01_Вводные'!$B$98:$E$98,'03_Сеть'!M7,'01_Вводные'!$B$100:$E$100),M107*'07_Тарифы'!C$10)</f>
        <v/>
      </c>
      <c r="N129" s="87">
        <f>IF(COUNTIF('01_Вводные'!$B$98:$E$98,'03_Сеть'!N7)&gt;0,SUMIF('01_Вводные'!$B$98:$E$98,'03_Сеть'!N7,'01_Вводные'!$B$100:$E$100),N107*'07_Тарифы'!D$10)</f>
        <v/>
      </c>
      <c r="O129" s="87">
        <f>IF(COUNTIF('01_Вводные'!$B$98:$E$98,'03_Сеть'!O7)&gt;0,SUMIF('01_Вводные'!$B$98:$E$98,'03_Сеть'!O7,'01_Вводные'!$B$100:$E$100),O107*'07_Тарифы'!E$10)</f>
        <v/>
      </c>
      <c r="P129" s="87">
        <f>IF(COUNTIF('01_Вводные'!$B$98:$E$98,'03_Сеть'!P7)&gt;0,SUMIF('01_Вводные'!$B$98:$E$98,'03_Сеть'!P7,'01_Вводные'!$B$100:$E$100),P107*'07_Тарифы'!F$10)</f>
        <v/>
      </c>
      <c r="Q129" s="87">
        <f>IF(COUNTIF('01_Вводные'!$B$98:$E$98,'03_Сеть'!Q7)&gt;0,SUMIF('01_Вводные'!$B$98:$E$98,'03_Сеть'!Q7,'01_Вводные'!$B$100:$E$100),Q107*'07_Тарифы'!G$10)</f>
        <v/>
      </c>
      <c r="R129" s="87">
        <f>IF(COUNTIF('01_Вводные'!$B$98:$E$98,'03_Сеть'!R7)&gt;0,SUMIF('01_Вводные'!$B$98:$E$98,'03_Сеть'!R7,'01_Вводные'!$B$100:$E$100),R107*'07_Тарифы'!H$10)</f>
        <v/>
      </c>
      <c r="S129" s="87">
        <f>IF(COUNTIF('01_Вводные'!$B$98:$E$98,'03_Сеть'!S7)&gt;0,SUMIF('01_Вводные'!$B$98:$E$98,'03_Сеть'!S7,'01_Вводные'!$B$100:$E$100),S107*'07_Тарифы'!I$10)</f>
        <v/>
      </c>
      <c r="T129" s="87">
        <f>IF(COUNTIF('01_Вводные'!$B$98:$E$98,'03_Сеть'!T7)&gt;0,SUMIF('01_Вводные'!$B$98:$E$98,'03_Сеть'!T7,'01_Вводные'!$B$100:$E$100),T107*'07_Тарифы'!J$10)</f>
        <v/>
      </c>
      <c r="U129" s="87">
        <f>IF(COUNTIF('01_Вводные'!$B$98:$E$98,'03_Сеть'!U7)&gt;0,SUMIF('01_Вводные'!$B$98:$E$98,'03_Сеть'!U7,'01_Вводные'!$B$100:$E$100),U107*'07_Тарифы'!K$10)</f>
        <v/>
      </c>
      <c r="V129" s="87">
        <f>IF(COUNTIF('01_Вводные'!$B$98:$E$98,'03_Сеть'!V7)&gt;0,SUMIF('01_Вводные'!$B$98:$E$98,'03_Сеть'!V7,'01_Вводные'!$B$100:$E$100),V107*'07_Тарифы'!L$10)</f>
        <v/>
      </c>
      <c r="W129" s="87">
        <f>IF(COUNTIF('01_Вводные'!$B$98:$E$98,'03_Сеть'!W7)&gt;0,SUMIF('01_Вводные'!$B$98:$E$98,'03_Сеть'!W7,'01_Вводные'!$B$100:$E$100),W107*'07_Тарифы'!M$10)</f>
        <v/>
      </c>
      <c r="X129" s="87">
        <f>IF(COUNTIF('01_Вводные'!$B$98:$E$98,'03_Сеть'!X7)&gt;0,SUMIF('01_Вводные'!$B$98:$E$98,'03_Сеть'!X7,'01_Вводные'!$B$100:$E$100),X107*'07_Тарифы'!N$10)</f>
        <v/>
      </c>
      <c r="Y129" s="87">
        <f>IF(COUNTIF('01_Вводные'!$B$98:$E$98,'03_Сеть'!Y7)&gt;0,SUMIF('01_Вводные'!$B$98:$E$98,'03_Сеть'!Y7,'01_Вводные'!$B$100:$E$100),Y107*'07_Тарифы'!O$10)</f>
        <v/>
      </c>
      <c r="Z129" s="87">
        <f>IF(COUNTIF('01_Вводные'!$B$98:$E$98,'03_Сеть'!Z7)&gt;0,SUMIF('01_Вводные'!$B$98:$E$98,'03_Сеть'!Z7,'01_Вводные'!$B$100:$E$100),Z107*'07_Тарифы'!P$10)</f>
        <v/>
      </c>
      <c r="AA129" s="87">
        <f>IF(COUNTIF('01_Вводные'!$B$98:$E$98,'03_Сеть'!AA7)&gt;0,SUMIF('01_Вводные'!$B$98:$E$98,'03_Сеть'!AA7,'01_Вводные'!$B$100:$E$100),AA107*'07_Тарифы'!Q$10)</f>
        <v/>
      </c>
      <c r="AB129" s="87">
        <f>IF(COUNTIF('01_Вводные'!$B$98:$E$98,'03_Сеть'!AB7)&gt;0,SUMIF('01_Вводные'!$B$98:$E$98,'03_Сеть'!AB7,'01_Вводные'!$B$100:$E$100),AB107*'07_Тарифы'!R$10)</f>
        <v/>
      </c>
      <c r="AC129" s="87">
        <f>IF(COUNTIF('01_Вводные'!$B$98:$E$98,'03_Сеть'!AC7)&gt;0,SUMIF('01_Вводные'!$B$98:$E$98,'03_Сеть'!AC7,'01_Вводные'!$B$100:$E$100),AC107*'07_Тарифы'!S$10)</f>
        <v/>
      </c>
      <c r="AD129" s="87">
        <f>IF(COUNTIF('01_Вводные'!$B$98:$E$98,'03_Сеть'!AD7)&gt;0,SUMIF('01_Вводные'!$B$98:$E$98,'03_Сеть'!AD7,'01_Вводные'!$B$100:$E$100),AD107*'07_Тарифы'!T$10)</f>
        <v/>
      </c>
      <c r="AE129" s="87">
        <f>IF(COUNTIF('01_Вводные'!$B$98:$E$98,'03_Сеть'!AE7)&gt;0,SUMIF('01_Вводные'!$B$98:$E$98,'03_Сеть'!AE7,'01_Вводные'!$B$100:$E$100),AE107*'07_Тарифы'!U$10)</f>
        <v/>
      </c>
      <c r="AF129" s="87">
        <f>IF(COUNTIF('01_Вводные'!$B$98:$E$98,'03_Сеть'!AF7)&gt;0,SUMIF('01_Вводные'!$B$98:$E$98,'03_Сеть'!AF7,'01_Вводные'!$B$100:$E$100),AF107*'07_Тарифы'!V$10)</f>
        <v/>
      </c>
      <c r="AG129" s="87">
        <f>IF(COUNTIF('01_Вводные'!$B$98:$E$98,'03_Сеть'!AG7)&gt;0,SUMIF('01_Вводные'!$B$98:$E$98,'03_Сеть'!AG7,'01_Вводные'!$B$100:$E$100),AG107*'07_Тарифы'!W$10)</f>
        <v/>
      </c>
      <c r="AH129" s="87">
        <f>IF(COUNTIF('01_Вводные'!$B$98:$E$98,'03_Сеть'!AH7)&gt;0,SUMIF('01_Вводные'!$B$98:$E$98,'03_Сеть'!AH7,'01_Вводные'!$B$100:$E$100),AH107*'07_Тарифы'!X$10)</f>
        <v/>
      </c>
      <c r="AI129" s="87">
        <f>IF(COUNTIF('01_Вводные'!$B$98:$E$98,'03_Сеть'!AI7)&gt;0,SUMIF('01_Вводные'!$B$98:$E$98,'03_Сеть'!AI7,'01_Вводные'!$B$100:$E$100),AI107*'07_Тарифы'!Y$10)</f>
        <v/>
      </c>
      <c r="AJ129" s="87">
        <f>IF(COUNTIF('01_Вводные'!$B$98:$E$98,'03_Сеть'!AJ7)&gt;0,SUMIF('01_Вводные'!$B$98:$E$98,'03_Сеть'!AJ7,'01_Вводные'!$B$100:$E$100),AJ107*'07_Тарифы'!Z$10)</f>
        <v/>
      </c>
      <c r="AK129" s="87">
        <f>IF(COUNTIF('01_Вводные'!$B$98:$E$98,'03_Сеть'!AK7)&gt;0,SUMIF('01_Вводные'!$B$98:$E$98,'03_Сеть'!AK7,'01_Вводные'!$B$100:$E$100),AK107*'07_Тарифы'!AA$10)</f>
        <v/>
      </c>
      <c r="AL129" s="87">
        <f>IF(COUNTIF('01_Вводные'!$B$98:$E$98,'03_Сеть'!AL7)&gt;0,SUMIF('01_Вводные'!$B$98:$E$98,'03_Сеть'!AL7,'01_Вводные'!$B$100:$E$100),AL107*'07_Тарифы'!AB$10)</f>
        <v/>
      </c>
      <c r="AM129" s="87">
        <f>IF(COUNTIF('01_Вводные'!$B$98:$E$98,'03_Сеть'!AM7)&gt;0,SUMIF('01_Вводные'!$B$98:$E$98,'03_Сеть'!AM7,'01_Вводные'!$B$100:$E$100),AM107*'07_Тарифы'!AC$10)</f>
        <v/>
      </c>
      <c r="AN129" s="87">
        <f>IF(COUNTIF('01_Вводные'!$B$98:$E$98,'03_Сеть'!AN7)&gt;0,SUMIF('01_Вводные'!$B$98:$E$98,'03_Сеть'!AN7,'01_Вводные'!$B$100:$E$100),AN107*'07_Тарифы'!AD$10)</f>
        <v/>
      </c>
      <c r="AO129" s="87">
        <f>IF(COUNTIF('01_Вводные'!$B$98:$E$98,'03_Сеть'!AO7)&gt;0,SUMIF('01_Вводные'!$B$98:$E$98,'03_Сеть'!AO7,'01_Вводные'!$B$100:$E$100),AO107*'07_Тарифы'!AE$10)</f>
        <v/>
      </c>
      <c r="AP129" s="87">
        <f>IF(COUNTIF('01_Вводные'!$B$98:$E$98,'03_Сеть'!AP7)&gt;0,SUMIF('01_Вводные'!$B$98:$E$98,'03_Сеть'!AP7,'01_Вводные'!$B$100:$E$100),AP107*'07_Тарифы'!AF$10)</f>
        <v/>
      </c>
      <c r="AQ129" s="87">
        <f>IF(COUNTIF('01_Вводные'!$B$98:$E$98,'03_Сеть'!AQ7)&gt;0,SUMIF('01_Вводные'!$B$98:$E$98,'03_Сеть'!AQ7,'01_Вводные'!$B$100:$E$100),AQ107*'07_Тарифы'!AG$10)</f>
        <v/>
      </c>
      <c r="AR129" s="87">
        <f>IF(COUNTIF('01_Вводные'!$B$98:$E$98,'03_Сеть'!AR7)&gt;0,SUMIF('01_Вводные'!$B$98:$E$98,'03_Сеть'!AR7,'01_Вводные'!$B$100:$E$100),AR107*'07_Тарифы'!AH$10)</f>
        <v/>
      </c>
      <c r="AS129" s="87">
        <f>IF(COUNTIF('01_Вводные'!$B$98:$E$98,'03_Сеть'!AS7)&gt;0,SUMIF('01_Вводные'!$B$98:$E$98,'03_Сеть'!AS7,'01_Вводные'!$B$100:$E$100),AS107*'07_Тарифы'!AI$10)</f>
        <v/>
      </c>
      <c r="AT129" s="87">
        <f>IF(COUNTIF('01_Вводные'!$B$98:$E$98,'03_Сеть'!AT7)&gt;0,SUMIF('01_Вводные'!$B$98:$E$98,'03_Сеть'!AT7,'01_Вводные'!$B$100:$E$100),AT107*'07_Тарифы'!AJ$10)</f>
        <v/>
      </c>
      <c r="AU129" s="87">
        <f>IF(COUNTIF('01_Вводные'!$B$98:$E$98,'03_Сеть'!AU7)&gt;0,SUMIF('01_Вводные'!$B$98:$E$98,'03_Сеть'!AU7,'01_Вводные'!$B$100:$E$100),AU107*'07_Тарифы'!AK$10)</f>
        <v/>
      </c>
      <c r="AV129" s="87">
        <f>IF(COUNTIF('01_Вводные'!$B$98:$E$98,'03_Сеть'!AV7)&gt;0,SUMIF('01_Вводные'!$B$98:$E$98,'03_Сеть'!AV7,'01_Вводные'!$B$100:$E$100),AV107*'07_Тарифы'!AL$10)</f>
        <v/>
      </c>
      <c r="AW129" s="87">
        <f>IF(COUNTIF('01_Вводные'!$B$98:$E$98,'03_Сеть'!AW7)&gt;0,SUMIF('01_Вводные'!$B$98:$E$98,'03_Сеть'!AW7,'01_Вводные'!$B$100:$E$100),AW107*'07_Тарифы'!AM$10)</f>
        <v/>
      </c>
      <c r="AX129" s="87">
        <f>IF(COUNTIF('01_Вводные'!$B$98:$E$98,'03_Сеть'!AX7)&gt;0,SUMIF('01_Вводные'!$B$98:$E$98,'03_Сеть'!AX7,'01_Вводные'!$B$100:$E$100),AX107*'07_Тарифы'!AN$10)</f>
        <v/>
      </c>
      <c r="AY129" s="87">
        <f>IF(COUNTIF('01_Вводные'!$B$98:$E$98,'03_Сеть'!AY7)&gt;0,SUMIF('01_Вводные'!$B$98:$E$98,'03_Сеть'!AY7,'01_Вводные'!$B$100:$E$100),AY107*'07_Тарифы'!AO$10)</f>
        <v/>
      </c>
      <c r="AZ129" s="87">
        <f>IF(COUNTIF('01_Вводные'!$B$98:$E$98,'03_Сеть'!AZ7)&gt;0,SUMIF('01_Вводные'!$B$98:$E$98,'03_Сеть'!AZ7,'01_Вводные'!$B$100:$E$100),AZ107*'07_Тарифы'!AP$10)</f>
        <v/>
      </c>
      <c r="BA129" s="87">
        <f>IF(COUNTIF('01_Вводные'!$B$98:$E$98,'03_Сеть'!BA7)&gt;0,SUMIF('01_Вводные'!$B$98:$E$98,'03_Сеть'!BA7,'01_Вводные'!$B$100:$E$100),BA107*'07_Тарифы'!AQ$10)</f>
        <v/>
      </c>
      <c r="BB129" s="87">
        <f>IF(COUNTIF('01_Вводные'!$B$98:$E$98,'03_Сеть'!BB7)&gt;0,SUMIF('01_Вводные'!$B$98:$E$98,'03_Сеть'!BB7,'01_Вводные'!$B$100:$E$100),BB107*'07_Тарифы'!AR$10)</f>
        <v/>
      </c>
      <c r="BC129" s="87">
        <f>IF(COUNTIF('01_Вводные'!$B$98:$E$98,'03_Сеть'!BC7)&gt;0,SUMIF('01_Вводные'!$B$98:$E$98,'03_Сеть'!BC7,'01_Вводные'!$B$100:$E$100),BC107*'07_Тарифы'!AS$10)</f>
        <v/>
      </c>
      <c r="BD129" s="87">
        <f>IF(COUNTIF('01_Вводные'!$B$98:$E$98,'03_Сеть'!BD7)&gt;0,SUMIF('01_Вводные'!$B$98:$E$98,'03_Сеть'!BD7,'01_Вводные'!$B$100:$E$100),BD107*'07_Тарифы'!AT$10)</f>
        <v/>
      </c>
      <c r="BE129" s="87">
        <f>IF(COUNTIF('01_Вводные'!$B$98:$E$98,'03_Сеть'!BE7)&gt;0,SUMIF('01_Вводные'!$B$98:$E$98,'03_Сеть'!BE7,'01_Вводные'!$B$100:$E$100),BE107*'07_Тарифы'!AU$10)</f>
        <v/>
      </c>
      <c r="BF129" s="87">
        <f>IF(COUNTIF('01_Вводные'!$B$98:$E$98,'03_Сеть'!BF7)&gt;0,SUMIF('01_Вводные'!$B$98:$E$98,'03_Сеть'!BF7,'01_Вводные'!$B$100:$E$100),BF107*'07_Тарифы'!AV$10)</f>
        <v/>
      </c>
      <c r="BG129" s="87">
        <f>IF(COUNTIF('01_Вводные'!$B$98:$E$98,'03_Сеть'!BG7)&gt;0,SUMIF('01_Вводные'!$B$98:$E$98,'03_Сеть'!BG7,'01_Вводные'!$B$100:$E$100),BG107*'07_Тарифы'!AW$10)</f>
        <v/>
      </c>
      <c r="BH129" s="87">
        <f>IF(COUNTIF('01_Вводные'!$B$98:$E$98,'03_Сеть'!BH7)&gt;0,SUMIF('01_Вводные'!$B$98:$E$98,'03_Сеть'!BH7,'01_Вводные'!$B$100:$E$100),BH107*'07_Тарифы'!AX$10)</f>
        <v/>
      </c>
      <c r="BI129" s="87">
        <f>IF(COUNTIF('01_Вводные'!$B$98:$E$98,'03_Сеть'!BI7)&gt;0,SUMIF('01_Вводные'!$B$98:$E$98,'03_Сеть'!BI7,'01_Вводные'!$B$100:$E$100),BI107*'07_Тарифы'!AY$10)</f>
        <v/>
      </c>
      <c r="BJ129" s="87">
        <f>IF(COUNTIF('01_Вводные'!$B$98:$E$98,'03_Сеть'!BJ7)&gt;0,SUMIF('01_Вводные'!$B$98:$E$98,'03_Сеть'!BJ7,'01_Вводные'!$B$100:$E$100),BJ107*'07_Тарифы'!AZ$10)</f>
        <v/>
      </c>
      <c r="BK129" s="87">
        <f>IF(COUNTIF('01_Вводные'!$B$98:$E$98,'03_Сеть'!BK7)&gt;0,SUMIF('01_Вводные'!$B$98:$E$98,'03_Сеть'!BK7,'01_Вводные'!$B$100:$E$100),BK107*'07_Тарифы'!BA$10)</f>
        <v/>
      </c>
      <c r="BL129" s="87">
        <f>IF(COUNTIF('01_Вводные'!$B$98:$E$98,'03_Сеть'!BL7)&gt;0,SUMIF('01_Вводные'!$B$98:$E$98,'03_Сеть'!BL7,'01_Вводные'!$B$100:$E$100),BL107*'07_Тарифы'!BB$10)</f>
        <v/>
      </c>
      <c r="BM129" s="87">
        <f>IF(COUNTIF('01_Вводные'!$B$98:$E$98,'03_Сеть'!BM7)&gt;0,SUMIF('01_Вводные'!$B$98:$E$98,'03_Сеть'!BM7,'01_Вводные'!$B$100:$E$100),BM107*'07_Тарифы'!BC$10)</f>
        <v/>
      </c>
      <c r="BN129" s="87">
        <f>IF(COUNTIF('01_Вводные'!$B$98:$E$98,'03_Сеть'!BN7)&gt;0,SUMIF('01_Вводные'!$B$98:$E$98,'03_Сеть'!BN7,'01_Вводные'!$B$100:$E$100),BN107*'07_Тарифы'!BD$10)</f>
        <v/>
      </c>
      <c r="BO129" s="87">
        <f>IF(COUNTIF('01_Вводные'!$B$98:$E$98,'03_Сеть'!BO7)&gt;0,SUMIF('01_Вводные'!$B$98:$E$98,'03_Сеть'!BO7,'01_Вводные'!$B$100:$E$100),BO107*'07_Тарифы'!BE$10)</f>
        <v/>
      </c>
      <c r="BP129" s="87">
        <f>IF(COUNTIF('01_Вводные'!$B$98:$E$98,'03_Сеть'!BP7)&gt;0,SUMIF('01_Вводные'!$B$98:$E$98,'03_Сеть'!BP7,'01_Вводные'!$B$100:$E$100),BP107*'07_Тарифы'!BF$10)</f>
        <v/>
      </c>
      <c r="BQ129" s="87">
        <f>IF(COUNTIF('01_Вводные'!$B$98:$E$98,'03_Сеть'!BQ7)&gt;0,SUMIF('01_Вводные'!$B$98:$E$98,'03_Сеть'!BQ7,'01_Вводные'!$B$100:$E$100),BQ107*'07_Тарифы'!BG$10)</f>
        <v/>
      </c>
      <c r="BR129" s="87">
        <f>IF(COUNTIF('01_Вводные'!$B$98:$E$98,'03_Сеть'!BR7)&gt;0,SUMIF('01_Вводные'!$B$98:$E$98,'03_Сеть'!BR7,'01_Вводные'!$B$100:$E$100),BR107*'07_Тарифы'!BH$10)</f>
        <v/>
      </c>
      <c r="BS129" s="87">
        <f>IF(COUNTIF('01_Вводные'!$B$98:$E$98,'03_Сеть'!BS7)&gt;0,SUMIF('01_Вводные'!$B$98:$E$98,'03_Сеть'!BS7,'01_Вводные'!$B$100:$E$100),BS107*'07_Тарифы'!BI$10)</f>
        <v/>
      </c>
      <c r="BT129" s="87">
        <f>IF(COUNTIF('01_Вводные'!$B$98:$E$98,'03_Сеть'!BT7)&gt;0,SUMIF('01_Вводные'!$B$98:$E$98,'03_Сеть'!BT7,'01_Вводные'!$B$100:$E$100),BT107*'07_Тарифы'!BJ$10)</f>
        <v/>
      </c>
      <c r="BU129" s="87">
        <f>IF(COUNTIF('01_Вводные'!$B$98:$E$98,'03_Сеть'!BU7)&gt;0,SUMIF('01_Вводные'!$B$98:$E$98,'03_Сеть'!BU7,'01_Вводные'!$B$100:$E$100),BU107*'07_Тарифы'!BK$10)</f>
        <v/>
      </c>
      <c r="BV129" s="87">
        <f>IF(COUNTIF('01_Вводные'!$B$98:$E$98,'03_Сеть'!BV7)&gt;0,SUMIF('01_Вводные'!$B$98:$E$98,'03_Сеть'!BV7,'01_Вводные'!$B$100:$E$100),BV107*'07_Тарифы'!BL$10)</f>
        <v/>
      </c>
      <c r="BW129" s="87">
        <f>IF(COUNTIF('01_Вводные'!$B$98:$E$98,'03_Сеть'!BW7)&gt;0,SUMIF('01_Вводные'!$B$98:$E$98,'03_Сеть'!BW7,'01_Вводные'!$B$100:$E$100),BW107*'07_Тарифы'!BM$10)</f>
        <v/>
      </c>
      <c r="BX129" s="87">
        <f>IF(COUNTIF('01_Вводные'!$B$98:$E$98,'03_Сеть'!BX7)&gt;0,SUMIF('01_Вводные'!$B$98:$E$98,'03_Сеть'!BX7,'01_Вводные'!$B$100:$E$100),BX107*'07_Тарифы'!BN$10)</f>
        <v/>
      </c>
      <c r="BY129" s="87">
        <f>IF(COUNTIF('01_Вводные'!$B$98:$E$98,'03_Сеть'!BY7)&gt;0,SUMIF('01_Вводные'!$B$98:$E$98,'03_Сеть'!BY7,'01_Вводные'!$B$100:$E$100),BY107*'07_Тарифы'!BO$10)</f>
        <v/>
      </c>
    </row>
    <row r="130" ht="15.75" customHeight="1" s="194">
      <c r="B130" s="56" t="inlineStr">
        <is>
          <t>Действующая сеть — COGS</t>
        </is>
      </c>
      <c r="C130" s="56" t="inlineStr">
        <is>
          <t>₽</t>
        </is>
      </c>
      <c r="D130" s="57" t="inlineStr">
        <is>
          <t>Сентябрь–декабрь 2026 — согласованный факт</t>
        </is>
      </c>
      <c r="E130" s="85">
        <f>SUM(L130:W130)</f>
        <v/>
      </c>
      <c r="F130" s="85">
        <f>SUM(X130:AI130)</f>
        <v/>
      </c>
      <c r="G130" s="85">
        <f>SUM(AJ130:AU130)</f>
        <v/>
      </c>
      <c r="H130" s="85">
        <f>SUM(AV130:BG130)</f>
        <v/>
      </c>
      <c r="I130" s="85">
        <f>SUM(BH130:BS130)</f>
        <v/>
      </c>
      <c r="J130" s="86">
        <f>SUM(L130:BS130)</f>
        <v/>
      </c>
      <c r="L130" s="87">
        <f>IF(COUNTIF('01_Вводные'!$B$98:$E$98,'03_Сеть'!L7)&gt;0,SUMIF('01_Вводные'!$B$98:$E$98,'03_Сеть'!L7,'01_Вводные'!$B$101:$E$101),L107*'07_Тарифы'!B$9)</f>
        <v/>
      </c>
      <c r="M130" s="87">
        <f>IF(COUNTIF('01_Вводные'!$B$98:$E$98,'03_Сеть'!M7)&gt;0,SUMIF('01_Вводные'!$B$98:$E$98,'03_Сеть'!M7,'01_Вводные'!$B$101:$E$101),M107*'07_Тарифы'!C$9)</f>
        <v/>
      </c>
      <c r="N130" s="87">
        <f>IF(COUNTIF('01_Вводные'!$B$98:$E$98,'03_Сеть'!N7)&gt;0,SUMIF('01_Вводные'!$B$98:$E$98,'03_Сеть'!N7,'01_Вводные'!$B$101:$E$101),N107*'07_Тарифы'!D$9)</f>
        <v/>
      </c>
      <c r="O130" s="87">
        <f>IF(COUNTIF('01_Вводные'!$B$98:$E$98,'03_Сеть'!O7)&gt;0,SUMIF('01_Вводные'!$B$98:$E$98,'03_Сеть'!O7,'01_Вводные'!$B$101:$E$101),O107*'07_Тарифы'!E$9)</f>
        <v/>
      </c>
      <c r="P130" s="87">
        <f>IF(COUNTIF('01_Вводные'!$B$98:$E$98,'03_Сеть'!P7)&gt;0,SUMIF('01_Вводные'!$B$98:$E$98,'03_Сеть'!P7,'01_Вводные'!$B$101:$E$101),P107*'07_Тарифы'!F$9)</f>
        <v/>
      </c>
      <c r="Q130" s="87">
        <f>IF(COUNTIF('01_Вводные'!$B$98:$E$98,'03_Сеть'!Q7)&gt;0,SUMIF('01_Вводные'!$B$98:$E$98,'03_Сеть'!Q7,'01_Вводные'!$B$101:$E$101),Q107*'07_Тарифы'!G$9)</f>
        <v/>
      </c>
      <c r="R130" s="87">
        <f>IF(COUNTIF('01_Вводные'!$B$98:$E$98,'03_Сеть'!R7)&gt;0,SUMIF('01_Вводные'!$B$98:$E$98,'03_Сеть'!R7,'01_Вводные'!$B$101:$E$101),R107*'07_Тарифы'!H$9)</f>
        <v/>
      </c>
      <c r="S130" s="87">
        <f>IF(COUNTIF('01_Вводные'!$B$98:$E$98,'03_Сеть'!S7)&gt;0,SUMIF('01_Вводные'!$B$98:$E$98,'03_Сеть'!S7,'01_Вводные'!$B$101:$E$101),S107*'07_Тарифы'!I$9)</f>
        <v/>
      </c>
      <c r="T130" s="87">
        <f>IF(COUNTIF('01_Вводные'!$B$98:$E$98,'03_Сеть'!T7)&gt;0,SUMIF('01_Вводные'!$B$98:$E$98,'03_Сеть'!T7,'01_Вводные'!$B$101:$E$101),T107*'07_Тарифы'!J$9)</f>
        <v/>
      </c>
      <c r="U130" s="87">
        <f>IF(COUNTIF('01_Вводные'!$B$98:$E$98,'03_Сеть'!U7)&gt;0,SUMIF('01_Вводные'!$B$98:$E$98,'03_Сеть'!U7,'01_Вводные'!$B$101:$E$101),U107*'07_Тарифы'!K$9)</f>
        <v/>
      </c>
      <c r="V130" s="87">
        <f>IF(COUNTIF('01_Вводные'!$B$98:$E$98,'03_Сеть'!V7)&gt;0,SUMIF('01_Вводные'!$B$98:$E$98,'03_Сеть'!V7,'01_Вводные'!$B$101:$E$101),V107*'07_Тарифы'!L$9)</f>
        <v/>
      </c>
      <c r="W130" s="87">
        <f>IF(COUNTIF('01_Вводные'!$B$98:$E$98,'03_Сеть'!W7)&gt;0,SUMIF('01_Вводные'!$B$98:$E$98,'03_Сеть'!W7,'01_Вводные'!$B$101:$E$101),W107*'07_Тарифы'!M$9)</f>
        <v/>
      </c>
      <c r="X130" s="87">
        <f>IF(COUNTIF('01_Вводные'!$B$98:$E$98,'03_Сеть'!X7)&gt;0,SUMIF('01_Вводные'!$B$98:$E$98,'03_Сеть'!X7,'01_Вводные'!$B$101:$E$101),X107*'07_Тарифы'!N$9)</f>
        <v/>
      </c>
      <c r="Y130" s="87">
        <f>IF(COUNTIF('01_Вводные'!$B$98:$E$98,'03_Сеть'!Y7)&gt;0,SUMIF('01_Вводные'!$B$98:$E$98,'03_Сеть'!Y7,'01_Вводные'!$B$101:$E$101),Y107*'07_Тарифы'!O$9)</f>
        <v/>
      </c>
      <c r="Z130" s="87">
        <f>IF(COUNTIF('01_Вводные'!$B$98:$E$98,'03_Сеть'!Z7)&gt;0,SUMIF('01_Вводные'!$B$98:$E$98,'03_Сеть'!Z7,'01_Вводные'!$B$101:$E$101),Z107*'07_Тарифы'!P$9)</f>
        <v/>
      </c>
      <c r="AA130" s="87">
        <f>IF(COUNTIF('01_Вводные'!$B$98:$E$98,'03_Сеть'!AA7)&gt;0,SUMIF('01_Вводные'!$B$98:$E$98,'03_Сеть'!AA7,'01_Вводные'!$B$101:$E$101),AA107*'07_Тарифы'!Q$9)</f>
        <v/>
      </c>
      <c r="AB130" s="87">
        <f>IF(COUNTIF('01_Вводные'!$B$98:$E$98,'03_Сеть'!AB7)&gt;0,SUMIF('01_Вводные'!$B$98:$E$98,'03_Сеть'!AB7,'01_Вводные'!$B$101:$E$101),AB107*'07_Тарифы'!R$9)</f>
        <v/>
      </c>
      <c r="AC130" s="87">
        <f>IF(COUNTIF('01_Вводные'!$B$98:$E$98,'03_Сеть'!AC7)&gt;0,SUMIF('01_Вводные'!$B$98:$E$98,'03_Сеть'!AC7,'01_Вводные'!$B$101:$E$101),AC107*'07_Тарифы'!S$9)</f>
        <v/>
      </c>
      <c r="AD130" s="87">
        <f>IF(COUNTIF('01_Вводные'!$B$98:$E$98,'03_Сеть'!AD7)&gt;0,SUMIF('01_Вводные'!$B$98:$E$98,'03_Сеть'!AD7,'01_Вводные'!$B$101:$E$101),AD107*'07_Тарифы'!T$9)</f>
        <v/>
      </c>
      <c r="AE130" s="87">
        <f>IF(COUNTIF('01_Вводные'!$B$98:$E$98,'03_Сеть'!AE7)&gt;0,SUMIF('01_Вводные'!$B$98:$E$98,'03_Сеть'!AE7,'01_Вводные'!$B$101:$E$101),AE107*'07_Тарифы'!U$9)</f>
        <v/>
      </c>
      <c r="AF130" s="87">
        <f>IF(COUNTIF('01_Вводные'!$B$98:$E$98,'03_Сеть'!AF7)&gt;0,SUMIF('01_Вводные'!$B$98:$E$98,'03_Сеть'!AF7,'01_Вводные'!$B$101:$E$101),AF107*'07_Тарифы'!V$9)</f>
        <v/>
      </c>
      <c r="AG130" s="87">
        <f>IF(COUNTIF('01_Вводные'!$B$98:$E$98,'03_Сеть'!AG7)&gt;0,SUMIF('01_Вводные'!$B$98:$E$98,'03_Сеть'!AG7,'01_Вводные'!$B$101:$E$101),AG107*'07_Тарифы'!W$9)</f>
        <v/>
      </c>
      <c r="AH130" s="87">
        <f>IF(COUNTIF('01_Вводные'!$B$98:$E$98,'03_Сеть'!AH7)&gt;0,SUMIF('01_Вводные'!$B$98:$E$98,'03_Сеть'!AH7,'01_Вводные'!$B$101:$E$101),AH107*'07_Тарифы'!X$9)</f>
        <v/>
      </c>
      <c r="AI130" s="87">
        <f>IF(COUNTIF('01_Вводные'!$B$98:$E$98,'03_Сеть'!AI7)&gt;0,SUMIF('01_Вводные'!$B$98:$E$98,'03_Сеть'!AI7,'01_Вводные'!$B$101:$E$101),AI107*'07_Тарифы'!Y$9)</f>
        <v/>
      </c>
      <c r="AJ130" s="87">
        <f>IF(COUNTIF('01_Вводные'!$B$98:$E$98,'03_Сеть'!AJ7)&gt;0,SUMIF('01_Вводные'!$B$98:$E$98,'03_Сеть'!AJ7,'01_Вводные'!$B$101:$E$101),AJ107*'07_Тарифы'!Z$9)</f>
        <v/>
      </c>
      <c r="AK130" s="87">
        <f>IF(COUNTIF('01_Вводные'!$B$98:$E$98,'03_Сеть'!AK7)&gt;0,SUMIF('01_Вводные'!$B$98:$E$98,'03_Сеть'!AK7,'01_Вводные'!$B$101:$E$101),AK107*'07_Тарифы'!AA$9)</f>
        <v/>
      </c>
      <c r="AL130" s="87">
        <f>IF(COUNTIF('01_Вводные'!$B$98:$E$98,'03_Сеть'!AL7)&gt;0,SUMIF('01_Вводные'!$B$98:$E$98,'03_Сеть'!AL7,'01_Вводные'!$B$101:$E$101),AL107*'07_Тарифы'!AB$9)</f>
        <v/>
      </c>
      <c r="AM130" s="87">
        <f>IF(COUNTIF('01_Вводные'!$B$98:$E$98,'03_Сеть'!AM7)&gt;0,SUMIF('01_Вводные'!$B$98:$E$98,'03_Сеть'!AM7,'01_Вводные'!$B$101:$E$101),AM107*'07_Тарифы'!AC$9)</f>
        <v/>
      </c>
      <c r="AN130" s="87">
        <f>IF(COUNTIF('01_Вводные'!$B$98:$E$98,'03_Сеть'!AN7)&gt;0,SUMIF('01_Вводные'!$B$98:$E$98,'03_Сеть'!AN7,'01_Вводные'!$B$101:$E$101),AN107*'07_Тарифы'!AD$9)</f>
        <v/>
      </c>
      <c r="AO130" s="87">
        <f>IF(COUNTIF('01_Вводные'!$B$98:$E$98,'03_Сеть'!AO7)&gt;0,SUMIF('01_Вводные'!$B$98:$E$98,'03_Сеть'!AO7,'01_Вводные'!$B$101:$E$101),AO107*'07_Тарифы'!AE$9)</f>
        <v/>
      </c>
      <c r="AP130" s="87">
        <f>IF(COUNTIF('01_Вводные'!$B$98:$E$98,'03_Сеть'!AP7)&gt;0,SUMIF('01_Вводные'!$B$98:$E$98,'03_Сеть'!AP7,'01_Вводные'!$B$101:$E$101),AP107*'07_Тарифы'!AF$9)</f>
        <v/>
      </c>
      <c r="AQ130" s="87">
        <f>IF(COUNTIF('01_Вводные'!$B$98:$E$98,'03_Сеть'!AQ7)&gt;0,SUMIF('01_Вводные'!$B$98:$E$98,'03_Сеть'!AQ7,'01_Вводные'!$B$101:$E$101),AQ107*'07_Тарифы'!AG$9)</f>
        <v/>
      </c>
      <c r="AR130" s="87">
        <f>IF(COUNTIF('01_Вводные'!$B$98:$E$98,'03_Сеть'!AR7)&gt;0,SUMIF('01_Вводные'!$B$98:$E$98,'03_Сеть'!AR7,'01_Вводные'!$B$101:$E$101),AR107*'07_Тарифы'!AH$9)</f>
        <v/>
      </c>
      <c r="AS130" s="87">
        <f>IF(COUNTIF('01_Вводные'!$B$98:$E$98,'03_Сеть'!AS7)&gt;0,SUMIF('01_Вводные'!$B$98:$E$98,'03_Сеть'!AS7,'01_Вводные'!$B$101:$E$101),AS107*'07_Тарифы'!AI$9)</f>
        <v/>
      </c>
      <c r="AT130" s="87">
        <f>IF(COUNTIF('01_Вводные'!$B$98:$E$98,'03_Сеть'!AT7)&gt;0,SUMIF('01_Вводные'!$B$98:$E$98,'03_Сеть'!AT7,'01_Вводные'!$B$101:$E$101),AT107*'07_Тарифы'!AJ$9)</f>
        <v/>
      </c>
      <c r="AU130" s="87">
        <f>IF(COUNTIF('01_Вводные'!$B$98:$E$98,'03_Сеть'!AU7)&gt;0,SUMIF('01_Вводные'!$B$98:$E$98,'03_Сеть'!AU7,'01_Вводные'!$B$101:$E$101),AU107*'07_Тарифы'!AK$9)</f>
        <v/>
      </c>
      <c r="AV130" s="87">
        <f>IF(COUNTIF('01_Вводные'!$B$98:$E$98,'03_Сеть'!AV7)&gt;0,SUMIF('01_Вводные'!$B$98:$E$98,'03_Сеть'!AV7,'01_Вводные'!$B$101:$E$101),AV107*'07_Тарифы'!AL$9)</f>
        <v/>
      </c>
      <c r="AW130" s="87">
        <f>IF(COUNTIF('01_Вводные'!$B$98:$E$98,'03_Сеть'!AW7)&gt;0,SUMIF('01_Вводные'!$B$98:$E$98,'03_Сеть'!AW7,'01_Вводные'!$B$101:$E$101),AW107*'07_Тарифы'!AM$9)</f>
        <v/>
      </c>
      <c r="AX130" s="87">
        <f>IF(COUNTIF('01_Вводные'!$B$98:$E$98,'03_Сеть'!AX7)&gt;0,SUMIF('01_Вводные'!$B$98:$E$98,'03_Сеть'!AX7,'01_Вводные'!$B$101:$E$101),AX107*'07_Тарифы'!AN$9)</f>
        <v/>
      </c>
      <c r="AY130" s="87">
        <f>IF(COUNTIF('01_Вводные'!$B$98:$E$98,'03_Сеть'!AY7)&gt;0,SUMIF('01_Вводные'!$B$98:$E$98,'03_Сеть'!AY7,'01_Вводные'!$B$101:$E$101),AY107*'07_Тарифы'!AO$9)</f>
        <v/>
      </c>
      <c r="AZ130" s="87">
        <f>IF(COUNTIF('01_Вводные'!$B$98:$E$98,'03_Сеть'!AZ7)&gt;0,SUMIF('01_Вводные'!$B$98:$E$98,'03_Сеть'!AZ7,'01_Вводные'!$B$101:$E$101),AZ107*'07_Тарифы'!AP$9)</f>
        <v/>
      </c>
      <c r="BA130" s="87">
        <f>IF(COUNTIF('01_Вводные'!$B$98:$E$98,'03_Сеть'!BA7)&gt;0,SUMIF('01_Вводные'!$B$98:$E$98,'03_Сеть'!BA7,'01_Вводные'!$B$101:$E$101),BA107*'07_Тарифы'!AQ$9)</f>
        <v/>
      </c>
      <c r="BB130" s="87">
        <f>IF(COUNTIF('01_Вводные'!$B$98:$E$98,'03_Сеть'!BB7)&gt;0,SUMIF('01_Вводные'!$B$98:$E$98,'03_Сеть'!BB7,'01_Вводные'!$B$101:$E$101),BB107*'07_Тарифы'!AR$9)</f>
        <v/>
      </c>
      <c r="BC130" s="87">
        <f>IF(COUNTIF('01_Вводные'!$B$98:$E$98,'03_Сеть'!BC7)&gt;0,SUMIF('01_Вводные'!$B$98:$E$98,'03_Сеть'!BC7,'01_Вводные'!$B$101:$E$101),BC107*'07_Тарифы'!AS$9)</f>
        <v/>
      </c>
      <c r="BD130" s="87">
        <f>IF(COUNTIF('01_Вводные'!$B$98:$E$98,'03_Сеть'!BD7)&gt;0,SUMIF('01_Вводные'!$B$98:$E$98,'03_Сеть'!BD7,'01_Вводные'!$B$101:$E$101),BD107*'07_Тарифы'!AT$9)</f>
        <v/>
      </c>
      <c r="BE130" s="87">
        <f>IF(COUNTIF('01_Вводные'!$B$98:$E$98,'03_Сеть'!BE7)&gt;0,SUMIF('01_Вводные'!$B$98:$E$98,'03_Сеть'!BE7,'01_Вводные'!$B$101:$E$101),BE107*'07_Тарифы'!AU$9)</f>
        <v/>
      </c>
      <c r="BF130" s="87">
        <f>IF(COUNTIF('01_Вводные'!$B$98:$E$98,'03_Сеть'!BF7)&gt;0,SUMIF('01_Вводные'!$B$98:$E$98,'03_Сеть'!BF7,'01_Вводные'!$B$101:$E$101),BF107*'07_Тарифы'!AV$9)</f>
        <v/>
      </c>
      <c r="BG130" s="87">
        <f>IF(COUNTIF('01_Вводные'!$B$98:$E$98,'03_Сеть'!BG7)&gt;0,SUMIF('01_Вводные'!$B$98:$E$98,'03_Сеть'!BG7,'01_Вводные'!$B$101:$E$101),BG107*'07_Тарифы'!AW$9)</f>
        <v/>
      </c>
      <c r="BH130" s="87">
        <f>IF(COUNTIF('01_Вводные'!$B$98:$E$98,'03_Сеть'!BH7)&gt;0,SUMIF('01_Вводные'!$B$98:$E$98,'03_Сеть'!BH7,'01_Вводные'!$B$101:$E$101),BH107*'07_Тарифы'!AX$9)</f>
        <v/>
      </c>
      <c r="BI130" s="87">
        <f>IF(COUNTIF('01_Вводные'!$B$98:$E$98,'03_Сеть'!BI7)&gt;0,SUMIF('01_Вводные'!$B$98:$E$98,'03_Сеть'!BI7,'01_Вводные'!$B$101:$E$101),BI107*'07_Тарифы'!AY$9)</f>
        <v/>
      </c>
      <c r="BJ130" s="87">
        <f>IF(COUNTIF('01_Вводные'!$B$98:$E$98,'03_Сеть'!BJ7)&gt;0,SUMIF('01_Вводные'!$B$98:$E$98,'03_Сеть'!BJ7,'01_Вводные'!$B$101:$E$101),BJ107*'07_Тарифы'!AZ$9)</f>
        <v/>
      </c>
      <c r="BK130" s="87">
        <f>IF(COUNTIF('01_Вводные'!$B$98:$E$98,'03_Сеть'!BK7)&gt;0,SUMIF('01_Вводные'!$B$98:$E$98,'03_Сеть'!BK7,'01_Вводные'!$B$101:$E$101),BK107*'07_Тарифы'!BA$9)</f>
        <v/>
      </c>
      <c r="BL130" s="87">
        <f>IF(COUNTIF('01_Вводные'!$B$98:$E$98,'03_Сеть'!BL7)&gt;0,SUMIF('01_Вводные'!$B$98:$E$98,'03_Сеть'!BL7,'01_Вводные'!$B$101:$E$101),BL107*'07_Тарифы'!BB$9)</f>
        <v/>
      </c>
      <c r="BM130" s="87">
        <f>IF(COUNTIF('01_Вводные'!$B$98:$E$98,'03_Сеть'!BM7)&gt;0,SUMIF('01_Вводные'!$B$98:$E$98,'03_Сеть'!BM7,'01_Вводные'!$B$101:$E$101),BM107*'07_Тарифы'!BC$9)</f>
        <v/>
      </c>
      <c r="BN130" s="87">
        <f>IF(COUNTIF('01_Вводные'!$B$98:$E$98,'03_Сеть'!BN7)&gt;0,SUMIF('01_Вводные'!$B$98:$E$98,'03_Сеть'!BN7,'01_Вводные'!$B$101:$E$101),BN107*'07_Тарифы'!BD$9)</f>
        <v/>
      </c>
      <c r="BO130" s="87">
        <f>IF(COUNTIF('01_Вводные'!$B$98:$E$98,'03_Сеть'!BO7)&gt;0,SUMIF('01_Вводные'!$B$98:$E$98,'03_Сеть'!BO7,'01_Вводные'!$B$101:$E$101),BO107*'07_Тарифы'!BE$9)</f>
        <v/>
      </c>
      <c r="BP130" s="87">
        <f>IF(COUNTIF('01_Вводные'!$B$98:$E$98,'03_Сеть'!BP7)&gt;0,SUMIF('01_Вводные'!$B$98:$E$98,'03_Сеть'!BP7,'01_Вводные'!$B$101:$E$101),BP107*'07_Тарифы'!BF$9)</f>
        <v/>
      </c>
      <c r="BQ130" s="87">
        <f>IF(COUNTIF('01_Вводные'!$B$98:$E$98,'03_Сеть'!BQ7)&gt;0,SUMIF('01_Вводные'!$B$98:$E$98,'03_Сеть'!BQ7,'01_Вводные'!$B$101:$E$101),BQ107*'07_Тарифы'!BG$9)</f>
        <v/>
      </c>
      <c r="BR130" s="87">
        <f>IF(COUNTIF('01_Вводные'!$B$98:$E$98,'03_Сеть'!BR7)&gt;0,SUMIF('01_Вводные'!$B$98:$E$98,'03_Сеть'!BR7,'01_Вводные'!$B$101:$E$101),BR107*'07_Тарифы'!BH$9)</f>
        <v/>
      </c>
      <c r="BS130" s="87">
        <f>IF(COUNTIF('01_Вводные'!$B$98:$E$98,'03_Сеть'!BS7)&gt;0,SUMIF('01_Вводные'!$B$98:$E$98,'03_Сеть'!BS7,'01_Вводные'!$B$101:$E$101),BS107*'07_Тарифы'!BI$9)</f>
        <v/>
      </c>
      <c r="BT130" s="87">
        <f>IF(COUNTIF('01_Вводные'!$B$98:$E$98,'03_Сеть'!BT7)&gt;0,SUMIF('01_Вводные'!$B$98:$E$98,'03_Сеть'!BT7,'01_Вводные'!$B$101:$E$101),BT107*'07_Тарифы'!BJ$9)</f>
        <v/>
      </c>
      <c r="BU130" s="87">
        <f>IF(COUNTIF('01_Вводные'!$B$98:$E$98,'03_Сеть'!BU7)&gt;0,SUMIF('01_Вводные'!$B$98:$E$98,'03_Сеть'!BU7,'01_Вводные'!$B$101:$E$101),BU107*'07_Тарифы'!BK$9)</f>
        <v/>
      </c>
      <c r="BV130" s="87">
        <f>IF(COUNTIF('01_Вводные'!$B$98:$E$98,'03_Сеть'!BV7)&gt;0,SUMIF('01_Вводные'!$B$98:$E$98,'03_Сеть'!BV7,'01_Вводные'!$B$101:$E$101),BV107*'07_Тарифы'!BL$9)</f>
        <v/>
      </c>
      <c r="BW130" s="87">
        <f>IF(COUNTIF('01_Вводные'!$B$98:$E$98,'03_Сеть'!BW7)&gt;0,SUMIF('01_Вводные'!$B$98:$E$98,'03_Сеть'!BW7,'01_Вводные'!$B$101:$E$101),BW107*'07_Тарифы'!BM$9)</f>
        <v/>
      </c>
      <c r="BX130" s="87">
        <f>IF(COUNTIF('01_Вводные'!$B$98:$E$98,'03_Сеть'!BX7)&gt;0,SUMIF('01_Вводные'!$B$98:$E$98,'03_Сеть'!BX7,'01_Вводные'!$B$101:$E$101),BX107*'07_Тарифы'!BN$9)</f>
        <v/>
      </c>
      <c r="BY130" s="87">
        <f>IF(COUNTIF('01_Вводные'!$B$98:$E$98,'03_Сеть'!BY7)&gt;0,SUMIF('01_Вводные'!$B$98:$E$98,'03_Сеть'!BY7,'01_Вводные'!$B$101:$E$101),BY107*'07_Тарифы'!BO$9)</f>
        <v/>
      </c>
    </row>
    <row r="131" ht="15.75" customHeight="1" s="194">
      <c r="B131" s="56" t="inlineStr">
        <is>
          <t>Выручка мерча, с НДС</t>
        </is>
      </c>
      <c r="C131" s="56" t="inlineStr">
        <is>
          <t>₽</t>
        </is>
      </c>
      <c r="D131" s="57" t="n"/>
      <c r="E131" s="85">
        <f>SUM(L131:W131)</f>
        <v/>
      </c>
      <c r="F131" s="85">
        <f>SUM(X131:AI131)</f>
        <v/>
      </c>
      <c r="G131" s="85">
        <f>SUM(AJ131:AU131)</f>
        <v/>
      </c>
      <c r="H131" s="85">
        <f>SUM(AV131:BG131)</f>
        <v/>
      </c>
      <c r="I131" s="85">
        <f>SUM(BH131:BS131)</f>
        <v/>
      </c>
      <c r="J131" s="86">
        <f>SUM(L131:BS131)</f>
        <v/>
      </c>
      <c r="L131" s="87">
        <f>L129+L127</f>
        <v/>
      </c>
      <c r="M131" s="87">
        <f>M129+M127</f>
        <v/>
      </c>
      <c r="N131" s="87">
        <f>N129+N127</f>
        <v/>
      </c>
      <c r="O131" s="87">
        <f>O129+O127</f>
        <v/>
      </c>
      <c r="P131" s="87">
        <f>P129+P127</f>
        <v/>
      </c>
      <c r="Q131" s="87">
        <f>Q129+Q127</f>
        <v/>
      </c>
      <c r="R131" s="87">
        <f>R129+R127</f>
        <v/>
      </c>
      <c r="S131" s="87">
        <f>S129+S127</f>
        <v/>
      </c>
      <c r="T131" s="87">
        <f>T129+T127</f>
        <v/>
      </c>
      <c r="U131" s="87">
        <f>U129+U127</f>
        <v/>
      </c>
      <c r="V131" s="87">
        <f>V129+V127</f>
        <v/>
      </c>
      <c r="W131" s="87">
        <f>W129+W127</f>
        <v/>
      </c>
      <c r="X131" s="87">
        <f>X129+X127</f>
        <v/>
      </c>
      <c r="Y131" s="87">
        <f>Y129+Y127</f>
        <v/>
      </c>
      <c r="Z131" s="87">
        <f>Z129+Z127</f>
        <v/>
      </c>
      <c r="AA131" s="87">
        <f>AA129+AA127</f>
        <v/>
      </c>
      <c r="AB131" s="87">
        <f>AB129+AB127</f>
        <v/>
      </c>
      <c r="AC131" s="87">
        <f>AC129+AC127</f>
        <v/>
      </c>
      <c r="AD131" s="87">
        <f>AD129+AD127</f>
        <v/>
      </c>
      <c r="AE131" s="87">
        <f>AE129+AE127</f>
        <v/>
      </c>
      <c r="AF131" s="87">
        <f>AF129+AF127</f>
        <v/>
      </c>
      <c r="AG131" s="87">
        <f>AG129+AG127</f>
        <v/>
      </c>
      <c r="AH131" s="87">
        <f>AH129+AH127</f>
        <v/>
      </c>
      <c r="AI131" s="87">
        <f>AI129+AI127</f>
        <v/>
      </c>
      <c r="AJ131" s="87">
        <f>AJ129+AJ127</f>
        <v/>
      </c>
      <c r="AK131" s="87">
        <f>AK129+AK127</f>
        <v/>
      </c>
      <c r="AL131" s="87">
        <f>AL129+AL127</f>
        <v/>
      </c>
      <c r="AM131" s="87">
        <f>AM129+AM127</f>
        <v/>
      </c>
      <c r="AN131" s="87">
        <f>AN129+AN127</f>
        <v/>
      </c>
      <c r="AO131" s="87">
        <f>AO129+AO127</f>
        <v/>
      </c>
      <c r="AP131" s="87">
        <f>AP129+AP127</f>
        <v/>
      </c>
      <c r="AQ131" s="87">
        <f>AQ129+AQ127</f>
        <v/>
      </c>
      <c r="AR131" s="87">
        <f>AR129+AR127</f>
        <v/>
      </c>
      <c r="AS131" s="87">
        <f>AS129+AS127</f>
        <v/>
      </c>
      <c r="AT131" s="87">
        <f>AT129+AT127</f>
        <v/>
      </c>
      <c r="AU131" s="87">
        <f>AU129+AU127</f>
        <v/>
      </c>
      <c r="AV131" s="87">
        <f>AV129+AV127</f>
        <v/>
      </c>
      <c r="AW131" s="87">
        <f>AW129+AW127</f>
        <v/>
      </c>
      <c r="AX131" s="87">
        <f>AX129+AX127</f>
        <v/>
      </c>
      <c r="AY131" s="87">
        <f>AY129+AY127</f>
        <v/>
      </c>
      <c r="AZ131" s="87">
        <f>AZ129+AZ127</f>
        <v/>
      </c>
      <c r="BA131" s="87">
        <f>BA129+BA127</f>
        <v/>
      </c>
      <c r="BB131" s="87">
        <f>BB129+BB127</f>
        <v/>
      </c>
      <c r="BC131" s="87">
        <f>BC129+BC127</f>
        <v/>
      </c>
      <c r="BD131" s="87">
        <f>BD129+BD127</f>
        <v/>
      </c>
      <c r="BE131" s="87">
        <f>BE129+BE127</f>
        <v/>
      </c>
      <c r="BF131" s="87">
        <f>BF129+BF127</f>
        <v/>
      </c>
      <c r="BG131" s="87">
        <f>BG129+BG127</f>
        <v/>
      </c>
      <c r="BH131" s="87">
        <f>BH129+BH127</f>
        <v/>
      </c>
      <c r="BI131" s="87">
        <f>BI129+BI127</f>
        <v/>
      </c>
      <c r="BJ131" s="87">
        <f>BJ129+BJ127</f>
        <v/>
      </c>
      <c r="BK131" s="87">
        <f>BK129+BK127</f>
        <v/>
      </c>
      <c r="BL131" s="87">
        <f>BL129+BL127</f>
        <v/>
      </c>
      <c r="BM131" s="87">
        <f>BM129+BM127</f>
        <v/>
      </c>
      <c r="BN131" s="87">
        <f>BN129+BN127</f>
        <v/>
      </c>
      <c r="BO131" s="87">
        <f>BO129+BO127</f>
        <v/>
      </c>
      <c r="BP131" s="87">
        <f>BP129+BP127</f>
        <v/>
      </c>
      <c r="BQ131" s="87">
        <f>BQ129+BQ127</f>
        <v/>
      </c>
      <c r="BR131" s="87">
        <f>BR129+BR127</f>
        <v/>
      </c>
      <c r="BS131" s="87">
        <f>BS129+BS127</f>
        <v/>
      </c>
      <c r="BT131" s="87">
        <f>BT129+BT127</f>
        <v/>
      </c>
      <c r="BU131" s="87">
        <f>BU129+BU127</f>
        <v/>
      </c>
      <c r="BV131" s="87">
        <f>BV129+BV127</f>
        <v/>
      </c>
      <c r="BW131" s="87">
        <f>BW129+BW127</f>
        <v/>
      </c>
      <c r="BX131" s="87">
        <f>BX129+BX127</f>
        <v/>
      </c>
      <c r="BY131" s="87">
        <f>BY129+BY127</f>
        <v/>
      </c>
    </row>
    <row r="132" ht="15.75" customHeight="1" s="194">
      <c r="B132" s="130" t="inlineStr">
        <is>
          <t>Выручка мерча, без НДС</t>
        </is>
      </c>
      <c r="C132" s="130" t="inlineStr">
        <is>
          <t>₽</t>
        </is>
      </c>
      <c r="D132" s="156" t="n"/>
      <c r="E132" s="157">
        <f>SUM(L132:W132)</f>
        <v/>
      </c>
      <c r="F132" s="157">
        <f>SUM(X132:AI132)</f>
        <v/>
      </c>
      <c r="G132" s="157">
        <f>SUM(AJ132:AU132)</f>
        <v/>
      </c>
      <c r="H132" s="157">
        <f>SUM(AV132:BG132)</f>
        <v/>
      </c>
      <c r="I132" s="157">
        <f>SUM(BH132:BS132)</f>
        <v/>
      </c>
      <c r="J132" s="134">
        <f>SUM(L132:BS132)</f>
        <v/>
      </c>
      <c r="L132" s="133">
        <f>L131/(1+НДС)</f>
        <v/>
      </c>
      <c r="M132" s="133">
        <f>M131/(1+НДС)</f>
        <v/>
      </c>
      <c r="N132" s="133">
        <f>N131/(1+НДС)</f>
        <v/>
      </c>
      <c r="O132" s="133">
        <f>O131/(1+НДС)</f>
        <v/>
      </c>
      <c r="P132" s="133">
        <f>P131/(1+НДС)</f>
        <v/>
      </c>
      <c r="Q132" s="133">
        <f>Q131/(1+НДС)</f>
        <v/>
      </c>
      <c r="R132" s="133">
        <f>R131/(1+НДС)</f>
        <v/>
      </c>
      <c r="S132" s="133">
        <f>S131/(1+НДС)</f>
        <v/>
      </c>
      <c r="T132" s="133">
        <f>T131/(1+НДС)</f>
        <v/>
      </c>
      <c r="U132" s="133">
        <f>U131/(1+НДС)</f>
        <v/>
      </c>
      <c r="V132" s="133">
        <f>V131/(1+НДС)</f>
        <v/>
      </c>
      <c r="W132" s="133">
        <f>W131/(1+НДС)</f>
        <v/>
      </c>
      <c r="X132" s="133">
        <f>X131/(1+НДС)</f>
        <v/>
      </c>
      <c r="Y132" s="133">
        <f>Y131/(1+НДС)</f>
        <v/>
      </c>
      <c r="Z132" s="133">
        <f>Z131/(1+НДС)</f>
        <v/>
      </c>
      <c r="AA132" s="133">
        <f>AA131/(1+НДС)</f>
        <v/>
      </c>
      <c r="AB132" s="133">
        <f>AB131/(1+НДС)</f>
        <v/>
      </c>
      <c r="AC132" s="133">
        <f>AC131/(1+НДС)</f>
        <v/>
      </c>
      <c r="AD132" s="133">
        <f>AD131/(1+НДС)</f>
        <v/>
      </c>
      <c r="AE132" s="133">
        <f>AE131/(1+НДС)</f>
        <v/>
      </c>
      <c r="AF132" s="133">
        <f>AF131/(1+НДС)</f>
        <v/>
      </c>
      <c r="AG132" s="133">
        <f>AG131/(1+НДС)</f>
        <v/>
      </c>
      <c r="AH132" s="133">
        <f>AH131/(1+НДС)</f>
        <v/>
      </c>
      <c r="AI132" s="133">
        <f>AI131/(1+НДС)</f>
        <v/>
      </c>
      <c r="AJ132" s="133">
        <f>AJ131/(1+НДС)</f>
        <v/>
      </c>
      <c r="AK132" s="133">
        <f>AK131/(1+НДС)</f>
        <v/>
      </c>
      <c r="AL132" s="133">
        <f>AL131/(1+НДС)</f>
        <v/>
      </c>
      <c r="AM132" s="133">
        <f>AM131/(1+НДС)</f>
        <v/>
      </c>
      <c r="AN132" s="133">
        <f>AN131/(1+НДС)</f>
        <v/>
      </c>
      <c r="AO132" s="133">
        <f>AO131/(1+НДС)</f>
        <v/>
      </c>
      <c r="AP132" s="133">
        <f>AP131/(1+НДС)</f>
        <v/>
      </c>
      <c r="AQ132" s="133">
        <f>AQ131/(1+НДС)</f>
        <v/>
      </c>
      <c r="AR132" s="133">
        <f>AR131/(1+НДС)</f>
        <v/>
      </c>
      <c r="AS132" s="133">
        <f>AS131/(1+НДС)</f>
        <v/>
      </c>
      <c r="AT132" s="133">
        <f>AT131/(1+НДС)</f>
        <v/>
      </c>
      <c r="AU132" s="133">
        <f>AU131/(1+НДС)</f>
        <v/>
      </c>
      <c r="AV132" s="133">
        <f>AV131/(1+НДС)</f>
        <v/>
      </c>
      <c r="AW132" s="133">
        <f>AW131/(1+НДС)</f>
        <v/>
      </c>
      <c r="AX132" s="133">
        <f>AX131/(1+НДС)</f>
        <v/>
      </c>
      <c r="AY132" s="133">
        <f>AY131/(1+НДС)</f>
        <v/>
      </c>
      <c r="AZ132" s="133">
        <f>AZ131/(1+НДС)</f>
        <v/>
      </c>
      <c r="BA132" s="133">
        <f>BA131/(1+НДС)</f>
        <v/>
      </c>
      <c r="BB132" s="133">
        <f>BB131/(1+НДС)</f>
        <v/>
      </c>
      <c r="BC132" s="133">
        <f>BC131/(1+НДС)</f>
        <v/>
      </c>
      <c r="BD132" s="133">
        <f>BD131/(1+НДС)</f>
        <v/>
      </c>
      <c r="BE132" s="133">
        <f>BE131/(1+НДС)</f>
        <v/>
      </c>
      <c r="BF132" s="133">
        <f>BF131/(1+НДС)</f>
        <v/>
      </c>
      <c r="BG132" s="133">
        <f>BG131/(1+НДС)</f>
        <v/>
      </c>
      <c r="BH132" s="133">
        <f>BH131/(1+НДС)</f>
        <v/>
      </c>
      <c r="BI132" s="133">
        <f>BI131/(1+НДС)</f>
        <v/>
      </c>
      <c r="BJ132" s="133">
        <f>BJ131/(1+НДС)</f>
        <v/>
      </c>
      <c r="BK132" s="133">
        <f>BK131/(1+НДС)</f>
        <v/>
      </c>
      <c r="BL132" s="133">
        <f>BL131/(1+НДС)</f>
        <v/>
      </c>
      <c r="BM132" s="133">
        <f>BM131/(1+НДС)</f>
        <v/>
      </c>
      <c r="BN132" s="133">
        <f>BN131/(1+НДС)</f>
        <v/>
      </c>
      <c r="BO132" s="133">
        <f>BO131/(1+НДС)</f>
        <v/>
      </c>
      <c r="BP132" s="133">
        <f>BP131/(1+НДС)</f>
        <v/>
      </c>
      <c r="BQ132" s="133">
        <f>BQ131/(1+НДС)</f>
        <v/>
      </c>
      <c r="BR132" s="133">
        <f>BR131/(1+НДС)</f>
        <v/>
      </c>
      <c r="BS132" s="133">
        <f>BS131/(1+НДС)</f>
        <v/>
      </c>
      <c r="BT132" s="133">
        <f>BT131/(1+НДС)</f>
        <v/>
      </c>
      <c r="BU132" s="133">
        <f>BU131/(1+НДС)</f>
        <v/>
      </c>
      <c r="BV132" s="133">
        <f>BV131/(1+НДС)</f>
        <v/>
      </c>
      <c r="BW132" s="133">
        <f>BW131/(1+НДС)</f>
        <v/>
      </c>
      <c r="BX132" s="133">
        <f>BX131/(1+НДС)</f>
        <v/>
      </c>
      <c r="BY132" s="133">
        <f>BY131/(1+НДС)</f>
        <v/>
      </c>
    </row>
    <row r="133" ht="15.75" customHeight="1" s="194">
      <c r="B133" s="56" t="inlineStr">
        <is>
          <t>COGS мерча</t>
        </is>
      </c>
      <c r="C133" s="56" t="inlineStr">
        <is>
          <t>₽</t>
        </is>
      </c>
      <c r="D133" s="57" t="n"/>
      <c r="E133" s="85">
        <f>SUM(L133:W133)</f>
        <v/>
      </c>
      <c r="F133" s="85">
        <f>SUM(X133:AI133)</f>
        <v/>
      </c>
      <c r="G133" s="85">
        <f>SUM(AJ133:AU133)</f>
        <v/>
      </c>
      <c r="H133" s="85">
        <f>SUM(AV133:BG133)</f>
        <v/>
      </c>
      <c r="I133" s="85">
        <f>SUM(BH133:BS133)</f>
        <v/>
      </c>
      <c r="J133" s="86">
        <f>SUM(L133:BS133)</f>
        <v/>
      </c>
      <c r="L133" s="87">
        <f>L130+L128</f>
        <v/>
      </c>
      <c r="M133" s="87">
        <f>M130+M128</f>
        <v/>
      </c>
      <c r="N133" s="87">
        <f>N130+N128</f>
        <v/>
      </c>
      <c r="O133" s="87">
        <f>O130+O128</f>
        <v/>
      </c>
      <c r="P133" s="87">
        <f>P130+P128</f>
        <v/>
      </c>
      <c r="Q133" s="87">
        <f>Q130+Q128</f>
        <v/>
      </c>
      <c r="R133" s="87">
        <f>R130+R128</f>
        <v/>
      </c>
      <c r="S133" s="87">
        <f>S130+S128</f>
        <v/>
      </c>
      <c r="T133" s="87">
        <f>T130+T128</f>
        <v/>
      </c>
      <c r="U133" s="87">
        <f>U130+U128</f>
        <v/>
      </c>
      <c r="V133" s="87">
        <f>V130+V128</f>
        <v/>
      </c>
      <c r="W133" s="87">
        <f>W130+W128</f>
        <v/>
      </c>
      <c r="X133" s="87">
        <f>X130+X128</f>
        <v/>
      </c>
      <c r="Y133" s="87">
        <f>Y130+Y128</f>
        <v/>
      </c>
      <c r="Z133" s="87">
        <f>Z130+Z128</f>
        <v/>
      </c>
      <c r="AA133" s="87">
        <f>AA130+AA128</f>
        <v/>
      </c>
      <c r="AB133" s="87">
        <f>AB130+AB128</f>
        <v/>
      </c>
      <c r="AC133" s="87">
        <f>AC130+AC128</f>
        <v/>
      </c>
      <c r="AD133" s="87">
        <f>AD130+AD128</f>
        <v/>
      </c>
      <c r="AE133" s="87">
        <f>AE130+AE128</f>
        <v/>
      </c>
      <c r="AF133" s="87">
        <f>AF130+AF128</f>
        <v/>
      </c>
      <c r="AG133" s="87">
        <f>AG130+AG128</f>
        <v/>
      </c>
      <c r="AH133" s="87">
        <f>AH130+AH128</f>
        <v/>
      </c>
      <c r="AI133" s="87">
        <f>AI130+AI128</f>
        <v/>
      </c>
      <c r="AJ133" s="87">
        <f>AJ130+AJ128</f>
        <v/>
      </c>
      <c r="AK133" s="87">
        <f>AK130+AK128</f>
        <v/>
      </c>
      <c r="AL133" s="87">
        <f>AL130+AL128</f>
        <v/>
      </c>
      <c r="AM133" s="87">
        <f>AM130+AM128</f>
        <v/>
      </c>
      <c r="AN133" s="87">
        <f>AN130+AN128</f>
        <v/>
      </c>
      <c r="AO133" s="87">
        <f>AO130+AO128</f>
        <v/>
      </c>
      <c r="AP133" s="87">
        <f>AP130+AP128</f>
        <v/>
      </c>
      <c r="AQ133" s="87">
        <f>AQ130+AQ128</f>
        <v/>
      </c>
      <c r="AR133" s="87">
        <f>AR130+AR128</f>
        <v/>
      </c>
      <c r="AS133" s="87">
        <f>AS130+AS128</f>
        <v/>
      </c>
      <c r="AT133" s="87">
        <f>AT130+AT128</f>
        <v/>
      </c>
      <c r="AU133" s="87">
        <f>AU130+AU128</f>
        <v/>
      </c>
      <c r="AV133" s="87">
        <f>AV130+AV128</f>
        <v/>
      </c>
      <c r="AW133" s="87">
        <f>AW130+AW128</f>
        <v/>
      </c>
      <c r="AX133" s="87">
        <f>AX130+AX128</f>
        <v/>
      </c>
      <c r="AY133" s="87">
        <f>AY130+AY128</f>
        <v/>
      </c>
      <c r="AZ133" s="87">
        <f>AZ130+AZ128</f>
        <v/>
      </c>
      <c r="BA133" s="87">
        <f>BA130+BA128</f>
        <v/>
      </c>
      <c r="BB133" s="87">
        <f>BB130+BB128</f>
        <v/>
      </c>
      <c r="BC133" s="87">
        <f>BC130+BC128</f>
        <v/>
      </c>
      <c r="BD133" s="87">
        <f>BD130+BD128</f>
        <v/>
      </c>
      <c r="BE133" s="87">
        <f>BE130+BE128</f>
        <v/>
      </c>
      <c r="BF133" s="87">
        <f>BF130+BF128</f>
        <v/>
      </c>
      <c r="BG133" s="87">
        <f>BG130+BG128</f>
        <v/>
      </c>
      <c r="BH133" s="87">
        <f>BH130+BH128</f>
        <v/>
      </c>
      <c r="BI133" s="87">
        <f>BI130+BI128</f>
        <v/>
      </c>
      <c r="BJ133" s="87">
        <f>BJ130+BJ128</f>
        <v/>
      </c>
      <c r="BK133" s="87">
        <f>BK130+BK128</f>
        <v/>
      </c>
      <c r="BL133" s="87">
        <f>BL130+BL128</f>
        <v/>
      </c>
      <c r="BM133" s="87">
        <f>BM130+BM128</f>
        <v/>
      </c>
      <c r="BN133" s="87">
        <f>BN130+BN128</f>
        <v/>
      </c>
      <c r="BO133" s="87">
        <f>BO130+BO128</f>
        <v/>
      </c>
      <c r="BP133" s="87">
        <f>BP130+BP128</f>
        <v/>
      </c>
      <c r="BQ133" s="87">
        <f>BQ130+BQ128</f>
        <v/>
      </c>
      <c r="BR133" s="87">
        <f>BR130+BR128</f>
        <v/>
      </c>
      <c r="BS133" s="87">
        <f>BS130+BS128</f>
        <v/>
      </c>
      <c r="BT133" s="87">
        <f>BT130+BT128</f>
        <v/>
      </c>
      <c r="BU133" s="87">
        <f>BU130+BU128</f>
        <v/>
      </c>
      <c r="BV133" s="87">
        <f>BV130+BV128</f>
        <v/>
      </c>
      <c r="BW133" s="87">
        <f>BW130+BW128</f>
        <v/>
      </c>
      <c r="BX133" s="87">
        <f>BX130+BX128</f>
        <v/>
      </c>
      <c r="BY133" s="87">
        <f>BY130+BY128</f>
        <v/>
      </c>
    </row>
    <row r="134" ht="15.75" customHeight="1" s="194">
      <c r="B134" s="56" t="inlineStr">
        <is>
          <t>Логистика, возвраты, брак</t>
        </is>
      </c>
      <c r="C134" s="56" t="inlineStr">
        <is>
          <t>₽</t>
        </is>
      </c>
      <c r="D134" s="57" t="n"/>
      <c r="E134" s="85">
        <f>SUM(L134:W134)</f>
        <v/>
      </c>
      <c r="F134" s="85">
        <f>SUM(X134:AI134)</f>
        <v/>
      </c>
      <c r="G134" s="85">
        <f>SUM(AJ134:AU134)</f>
        <v/>
      </c>
      <c r="H134" s="85">
        <f>SUM(AV134:BG134)</f>
        <v/>
      </c>
      <c r="I134" s="85">
        <f>SUM(BH134:BS134)</f>
        <v/>
      </c>
      <c r="J134" s="86">
        <f>SUM(L134:BS134)</f>
        <v/>
      </c>
      <c r="L134" s="87">
        <f>L132*ЛогистикаМерча</f>
        <v/>
      </c>
      <c r="M134" s="87">
        <f>M132*ЛогистикаМерча</f>
        <v/>
      </c>
      <c r="N134" s="87">
        <f>N132*ЛогистикаМерча</f>
        <v/>
      </c>
      <c r="O134" s="87">
        <f>O132*ЛогистикаМерча</f>
        <v/>
      </c>
      <c r="P134" s="87">
        <f>P132*ЛогистикаМерча</f>
        <v/>
      </c>
      <c r="Q134" s="87">
        <f>Q132*ЛогистикаМерча</f>
        <v/>
      </c>
      <c r="R134" s="87">
        <f>R132*ЛогистикаМерча</f>
        <v/>
      </c>
      <c r="S134" s="87">
        <f>S132*ЛогистикаМерча</f>
        <v/>
      </c>
      <c r="T134" s="87">
        <f>T132*ЛогистикаМерча</f>
        <v/>
      </c>
      <c r="U134" s="87">
        <f>U132*ЛогистикаМерча</f>
        <v/>
      </c>
      <c r="V134" s="87">
        <f>V132*ЛогистикаМерча</f>
        <v/>
      </c>
      <c r="W134" s="87">
        <f>W132*ЛогистикаМерча</f>
        <v/>
      </c>
      <c r="X134" s="87">
        <f>X132*ЛогистикаМерча</f>
        <v/>
      </c>
      <c r="Y134" s="87">
        <f>Y132*ЛогистикаМерча</f>
        <v/>
      </c>
      <c r="Z134" s="87">
        <f>Z132*ЛогистикаМерча</f>
        <v/>
      </c>
      <c r="AA134" s="87">
        <f>AA132*ЛогистикаМерча</f>
        <v/>
      </c>
      <c r="AB134" s="87">
        <f>AB132*ЛогистикаМерча</f>
        <v/>
      </c>
      <c r="AC134" s="87">
        <f>AC132*ЛогистикаМерча</f>
        <v/>
      </c>
      <c r="AD134" s="87">
        <f>AD132*ЛогистикаМерча</f>
        <v/>
      </c>
      <c r="AE134" s="87">
        <f>AE132*ЛогистикаМерча</f>
        <v/>
      </c>
      <c r="AF134" s="87">
        <f>AF132*ЛогистикаМерча</f>
        <v/>
      </c>
      <c r="AG134" s="87">
        <f>AG132*ЛогистикаМерча</f>
        <v/>
      </c>
      <c r="AH134" s="87">
        <f>AH132*ЛогистикаМерча</f>
        <v/>
      </c>
      <c r="AI134" s="87">
        <f>AI132*ЛогистикаМерча</f>
        <v/>
      </c>
      <c r="AJ134" s="87">
        <f>AJ132*ЛогистикаМерча</f>
        <v/>
      </c>
      <c r="AK134" s="87">
        <f>AK132*ЛогистикаМерча</f>
        <v/>
      </c>
      <c r="AL134" s="87">
        <f>AL132*ЛогистикаМерча</f>
        <v/>
      </c>
      <c r="AM134" s="87">
        <f>AM132*ЛогистикаМерча</f>
        <v/>
      </c>
      <c r="AN134" s="87">
        <f>AN132*ЛогистикаМерча</f>
        <v/>
      </c>
      <c r="AO134" s="87">
        <f>AO132*ЛогистикаМерча</f>
        <v/>
      </c>
      <c r="AP134" s="87">
        <f>AP132*ЛогистикаМерча</f>
        <v/>
      </c>
      <c r="AQ134" s="87">
        <f>AQ132*ЛогистикаМерча</f>
        <v/>
      </c>
      <c r="AR134" s="87">
        <f>AR132*ЛогистикаМерча</f>
        <v/>
      </c>
      <c r="AS134" s="87">
        <f>AS132*ЛогистикаМерча</f>
        <v/>
      </c>
      <c r="AT134" s="87">
        <f>AT132*ЛогистикаМерча</f>
        <v/>
      </c>
      <c r="AU134" s="87">
        <f>AU132*ЛогистикаМерча</f>
        <v/>
      </c>
      <c r="AV134" s="87">
        <f>AV132*ЛогистикаМерча</f>
        <v/>
      </c>
      <c r="AW134" s="87">
        <f>AW132*ЛогистикаМерча</f>
        <v/>
      </c>
      <c r="AX134" s="87">
        <f>AX132*ЛогистикаМерча</f>
        <v/>
      </c>
      <c r="AY134" s="87">
        <f>AY132*ЛогистикаМерча</f>
        <v/>
      </c>
      <c r="AZ134" s="87">
        <f>AZ132*ЛогистикаМерча</f>
        <v/>
      </c>
      <c r="BA134" s="87">
        <f>BA132*ЛогистикаМерча</f>
        <v/>
      </c>
      <c r="BB134" s="87">
        <f>BB132*ЛогистикаМерча</f>
        <v/>
      </c>
      <c r="BC134" s="87">
        <f>BC132*ЛогистикаМерча</f>
        <v/>
      </c>
      <c r="BD134" s="87">
        <f>BD132*ЛогистикаМерча</f>
        <v/>
      </c>
      <c r="BE134" s="87">
        <f>BE132*ЛогистикаМерча</f>
        <v/>
      </c>
      <c r="BF134" s="87">
        <f>BF132*ЛогистикаМерча</f>
        <v/>
      </c>
      <c r="BG134" s="87">
        <f>BG132*ЛогистикаМерча</f>
        <v/>
      </c>
      <c r="BH134" s="87">
        <f>BH132*ЛогистикаМерча</f>
        <v/>
      </c>
      <c r="BI134" s="87">
        <f>BI132*ЛогистикаМерча</f>
        <v/>
      </c>
      <c r="BJ134" s="87">
        <f>BJ132*ЛогистикаМерча</f>
        <v/>
      </c>
      <c r="BK134" s="87">
        <f>BK132*ЛогистикаМерча</f>
        <v/>
      </c>
      <c r="BL134" s="87">
        <f>BL132*ЛогистикаМерча</f>
        <v/>
      </c>
      <c r="BM134" s="87">
        <f>BM132*ЛогистикаМерча</f>
        <v/>
      </c>
      <c r="BN134" s="87">
        <f>BN132*ЛогистикаМерча</f>
        <v/>
      </c>
      <c r="BO134" s="87">
        <f>BO132*ЛогистикаМерча</f>
        <v/>
      </c>
      <c r="BP134" s="87">
        <f>BP132*ЛогистикаМерча</f>
        <v/>
      </c>
      <c r="BQ134" s="87">
        <f>BQ132*ЛогистикаМерча</f>
        <v/>
      </c>
      <c r="BR134" s="87">
        <f>BR132*ЛогистикаМерча</f>
        <v/>
      </c>
      <c r="BS134" s="87">
        <f>BS132*ЛогистикаМерча</f>
        <v/>
      </c>
      <c r="BT134" s="87">
        <f>BT132*ЛогистикаМерча</f>
        <v/>
      </c>
      <c r="BU134" s="87">
        <f>BU132*ЛогистикаМерча</f>
        <v/>
      </c>
      <c r="BV134" s="87">
        <f>BV132*ЛогистикаМерча</f>
        <v/>
      </c>
      <c r="BW134" s="87">
        <f>BW132*ЛогистикаМерча</f>
        <v/>
      </c>
      <c r="BX134" s="87">
        <f>BX132*ЛогистикаМерча</f>
        <v/>
      </c>
      <c r="BY134" s="87">
        <f>BY132*ЛогистикаМерча</f>
        <v/>
      </c>
    </row>
    <row r="135" ht="15.75" customHeight="1" s="194">
      <c r="B135" s="130" t="inlineStr">
        <is>
          <t>Прибыль мерча до доли ФК</t>
        </is>
      </c>
      <c r="C135" s="130" t="inlineStr">
        <is>
          <t>₽</t>
        </is>
      </c>
      <c r="D135" s="156" t="inlineStr">
        <is>
          <t>Ниже нуля не опускается: делить убыток с клубом нечем</t>
        </is>
      </c>
      <c r="E135" s="157">
        <f>SUM(L135:W135)</f>
        <v/>
      </c>
      <c r="F135" s="157">
        <f>SUM(X135:AI135)</f>
        <v/>
      </c>
      <c r="G135" s="157">
        <f>SUM(AJ135:AU135)</f>
        <v/>
      </c>
      <c r="H135" s="157">
        <f>SUM(AV135:BG135)</f>
        <v/>
      </c>
      <c r="I135" s="157">
        <f>SUM(BH135:BS135)</f>
        <v/>
      </c>
      <c r="J135" s="134">
        <f>SUM(L135:BS135)</f>
        <v/>
      </c>
      <c r="L135" s="133">
        <f>MAX(0,L132-L133-L134)</f>
        <v/>
      </c>
      <c r="M135" s="133">
        <f>MAX(0,M132-M133-M134)</f>
        <v/>
      </c>
      <c r="N135" s="133">
        <f>MAX(0,N132-N133-N134)</f>
        <v/>
      </c>
      <c r="O135" s="133">
        <f>MAX(0,O132-O133-O134)</f>
        <v/>
      </c>
      <c r="P135" s="133">
        <f>MAX(0,P132-P133-P134)</f>
        <v/>
      </c>
      <c r="Q135" s="133">
        <f>MAX(0,Q132-Q133-Q134)</f>
        <v/>
      </c>
      <c r="R135" s="133">
        <f>MAX(0,R132-R133-R134)</f>
        <v/>
      </c>
      <c r="S135" s="133">
        <f>MAX(0,S132-S133-S134)</f>
        <v/>
      </c>
      <c r="T135" s="133">
        <f>MAX(0,T132-T133-T134)</f>
        <v/>
      </c>
      <c r="U135" s="133">
        <f>MAX(0,U132-U133-U134)</f>
        <v/>
      </c>
      <c r="V135" s="133">
        <f>MAX(0,V132-V133-V134)</f>
        <v/>
      </c>
      <c r="W135" s="133">
        <f>MAX(0,W132-W133-W134)</f>
        <v/>
      </c>
      <c r="X135" s="133">
        <f>MAX(0,X132-X133-X134)</f>
        <v/>
      </c>
      <c r="Y135" s="133">
        <f>MAX(0,Y132-Y133-Y134)</f>
        <v/>
      </c>
      <c r="Z135" s="133">
        <f>MAX(0,Z132-Z133-Z134)</f>
        <v/>
      </c>
      <c r="AA135" s="133">
        <f>MAX(0,AA132-AA133-AA134)</f>
        <v/>
      </c>
      <c r="AB135" s="133">
        <f>MAX(0,AB132-AB133-AB134)</f>
        <v/>
      </c>
      <c r="AC135" s="133">
        <f>MAX(0,AC132-AC133-AC134)</f>
        <v/>
      </c>
      <c r="AD135" s="133">
        <f>MAX(0,AD132-AD133-AD134)</f>
        <v/>
      </c>
      <c r="AE135" s="133">
        <f>MAX(0,AE132-AE133-AE134)</f>
        <v/>
      </c>
      <c r="AF135" s="133">
        <f>MAX(0,AF132-AF133-AF134)</f>
        <v/>
      </c>
      <c r="AG135" s="133">
        <f>MAX(0,AG132-AG133-AG134)</f>
        <v/>
      </c>
      <c r="AH135" s="133">
        <f>MAX(0,AH132-AH133-AH134)</f>
        <v/>
      </c>
      <c r="AI135" s="133">
        <f>MAX(0,AI132-AI133-AI134)</f>
        <v/>
      </c>
      <c r="AJ135" s="133">
        <f>MAX(0,AJ132-AJ133-AJ134)</f>
        <v/>
      </c>
      <c r="AK135" s="133">
        <f>MAX(0,AK132-AK133-AK134)</f>
        <v/>
      </c>
      <c r="AL135" s="133">
        <f>MAX(0,AL132-AL133-AL134)</f>
        <v/>
      </c>
      <c r="AM135" s="133">
        <f>MAX(0,AM132-AM133-AM134)</f>
        <v/>
      </c>
      <c r="AN135" s="133">
        <f>MAX(0,AN132-AN133-AN134)</f>
        <v/>
      </c>
      <c r="AO135" s="133">
        <f>MAX(0,AO132-AO133-AO134)</f>
        <v/>
      </c>
      <c r="AP135" s="133">
        <f>MAX(0,AP132-AP133-AP134)</f>
        <v/>
      </c>
      <c r="AQ135" s="133">
        <f>MAX(0,AQ132-AQ133-AQ134)</f>
        <v/>
      </c>
      <c r="AR135" s="133">
        <f>MAX(0,AR132-AR133-AR134)</f>
        <v/>
      </c>
      <c r="AS135" s="133">
        <f>MAX(0,AS132-AS133-AS134)</f>
        <v/>
      </c>
      <c r="AT135" s="133">
        <f>MAX(0,AT132-AT133-AT134)</f>
        <v/>
      </c>
      <c r="AU135" s="133">
        <f>MAX(0,AU132-AU133-AU134)</f>
        <v/>
      </c>
      <c r="AV135" s="133">
        <f>MAX(0,AV132-AV133-AV134)</f>
        <v/>
      </c>
      <c r="AW135" s="133">
        <f>MAX(0,AW132-AW133-AW134)</f>
        <v/>
      </c>
      <c r="AX135" s="133">
        <f>MAX(0,AX132-AX133-AX134)</f>
        <v/>
      </c>
      <c r="AY135" s="133">
        <f>MAX(0,AY132-AY133-AY134)</f>
        <v/>
      </c>
      <c r="AZ135" s="133">
        <f>MAX(0,AZ132-AZ133-AZ134)</f>
        <v/>
      </c>
      <c r="BA135" s="133">
        <f>MAX(0,BA132-BA133-BA134)</f>
        <v/>
      </c>
      <c r="BB135" s="133">
        <f>MAX(0,BB132-BB133-BB134)</f>
        <v/>
      </c>
      <c r="BC135" s="133">
        <f>MAX(0,BC132-BC133-BC134)</f>
        <v/>
      </c>
      <c r="BD135" s="133">
        <f>MAX(0,BD132-BD133-BD134)</f>
        <v/>
      </c>
      <c r="BE135" s="133">
        <f>MAX(0,BE132-BE133-BE134)</f>
        <v/>
      </c>
      <c r="BF135" s="133">
        <f>MAX(0,BF132-BF133-BF134)</f>
        <v/>
      </c>
      <c r="BG135" s="133">
        <f>MAX(0,BG132-BG133-BG134)</f>
        <v/>
      </c>
      <c r="BH135" s="133">
        <f>MAX(0,BH132-BH133-BH134)</f>
        <v/>
      </c>
      <c r="BI135" s="133">
        <f>MAX(0,BI132-BI133-BI134)</f>
        <v/>
      </c>
      <c r="BJ135" s="133">
        <f>MAX(0,BJ132-BJ133-BJ134)</f>
        <v/>
      </c>
      <c r="BK135" s="133">
        <f>MAX(0,BK132-BK133-BK134)</f>
        <v/>
      </c>
      <c r="BL135" s="133">
        <f>MAX(0,BL132-BL133-BL134)</f>
        <v/>
      </c>
      <c r="BM135" s="133">
        <f>MAX(0,BM132-BM133-BM134)</f>
        <v/>
      </c>
      <c r="BN135" s="133">
        <f>MAX(0,BN132-BN133-BN134)</f>
        <v/>
      </c>
      <c r="BO135" s="133">
        <f>MAX(0,BO132-BO133-BO134)</f>
        <v/>
      </c>
      <c r="BP135" s="133">
        <f>MAX(0,BP132-BP133-BP134)</f>
        <v/>
      </c>
      <c r="BQ135" s="133">
        <f>MAX(0,BQ132-BQ133-BQ134)</f>
        <v/>
      </c>
      <c r="BR135" s="133">
        <f>MAX(0,BR132-BR133-BR134)</f>
        <v/>
      </c>
      <c r="BS135" s="133">
        <f>MAX(0,BS132-BS133-BS134)</f>
        <v/>
      </c>
      <c r="BT135" s="133">
        <f>MAX(0,BT132-BT133-BT134)</f>
        <v/>
      </c>
      <c r="BU135" s="133">
        <f>MAX(0,BU132-BU133-BU134)</f>
        <v/>
      </c>
      <c r="BV135" s="133">
        <f>MAX(0,BV132-BV133-BV134)</f>
        <v/>
      </c>
      <c r="BW135" s="133">
        <f>MAX(0,BW132-BW133-BW134)</f>
        <v/>
      </c>
      <c r="BX135" s="133">
        <f>MAX(0,BX132-BX133-BX134)</f>
        <v/>
      </c>
      <c r="BY135" s="133">
        <f>MAX(0,BY132-BY133-BY134)</f>
        <v/>
      </c>
    </row>
    <row r="136" ht="15.75" customHeight="1" s="194"/>
    <row r="137" ht="15.75" customHeight="1" s="194"/>
    <row r="138" ht="15.75" customHeight="1" s="194"/>
    <row r="139" ht="15.75" customHeight="1" s="194"/>
    <row r="140" ht="15.75" customHeight="1" s="194"/>
    <row r="141" ht="15.75" customHeight="1" s="194"/>
    <row r="142" ht="15.75" customHeight="1" s="194"/>
    <row r="143" ht="15.75" customHeight="1" s="194"/>
    <row r="144" ht="15.75" customHeight="1" s="194"/>
    <row r="145" ht="15.75" customHeight="1" s="194"/>
    <row r="146" ht="15.75" customHeight="1" s="194"/>
    <row r="147" ht="15.75" customHeight="1" s="194"/>
    <row r="148" ht="15.75" customHeight="1" s="194"/>
    <row r="149" ht="15.75" customHeight="1" s="194"/>
    <row r="150" ht="15.75" customHeight="1" s="194"/>
    <row r="151" ht="15.75" customHeight="1" s="194"/>
    <row r="152" ht="15.75" customHeight="1" s="194"/>
    <row r="153" ht="15.75" customHeight="1" s="194"/>
    <row r="154" ht="15.75" customHeight="1" s="194"/>
    <row r="155" ht="15.75" customHeight="1" s="194"/>
    <row r="156" ht="15.75" customHeight="1" s="194"/>
    <row r="157" ht="15.75" customHeight="1" s="194"/>
    <row r="158" ht="15.75" customHeight="1" s="194"/>
    <row r="159" ht="15.75" customHeight="1" s="194"/>
    <row r="160" ht="15.75" customHeight="1" s="194"/>
    <row r="161" ht="15.75" customHeight="1" s="194"/>
    <row r="162" ht="15.75" customHeight="1" s="194"/>
    <row r="163" ht="15.75" customHeight="1" s="194"/>
    <row r="164" ht="15.75" customHeight="1" s="194"/>
    <row r="165" ht="15.75" customHeight="1" s="194"/>
    <row r="166" ht="15.75" customHeight="1" s="194"/>
    <row r="167" ht="15.75" customHeight="1" s="194"/>
    <row r="168" ht="15.75" customHeight="1" s="194"/>
    <row r="169" ht="15.75" customHeight="1" s="194"/>
    <row r="170" ht="15.75" customHeight="1" s="194"/>
    <row r="171" ht="15.75" customHeight="1" s="194"/>
    <row r="172" ht="15.75" customHeight="1" s="194"/>
    <row r="173" ht="15.75" customHeight="1" s="194"/>
    <row r="174" ht="15.75" customHeight="1" s="194"/>
    <row r="175" ht="15.75" customHeight="1" s="194"/>
    <row r="176" ht="15.75" customHeight="1" s="194"/>
    <row r="177" ht="15.75" customHeight="1" s="194"/>
    <row r="178" ht="15.75" customHeight="1" s="194"/>
    <row r="179" ht="15.75" customHeight="1" s="194"/>
    <row r="180" ht="15.75" customHeight="1" s="194"/>
    <row r="181" ht="15.75" customHeight="1" s="194"/>
    <row r="182" ht="15.75" customHeight="1" s="194"/>
    <row r="183" ht="15.75" customHeight="1" s="194"/>
    <row r="184" ht="15.75" customHeight="1" s="194"/>
    <row r="185" ht="15.75" customHeight="1" s="194"/>
    <row r="186" ht="15.75" customHeight="1" s="194"/>
    <row r="187" ht="15.75" customHeight="1" s="194"/>
    <row r="188" ht="15.75" customHeight="1" s="194"/>
    <row r="189" ht="15.75" customHeight="1" s="194"/>
    <row r="190" ht="15.75" customHeight="1" s="194"/>
    <row r="191" ht="15.75" customHeight="1" s="194"/>
    <row r="192" ht="15.75" customHeight="1" s="194"/>
    <row r="193" ht="15.75" customHeight="1" s="194"/>
    <row r="194" ht="15.75" customHeight="1" s="194"/>
    <row r="195" ht="15.75" customHeight="1" s="194"/>
    <row r="196" ht="15.75" customHeight="1" s="194"/>
    <row r="197" ht="15.75" customHeight="1" s="194"/>
    <row r="198" ht="15.75" customHeight="1" s="194"/>
    <row r="199" ht="15.75" customHeight="1" s="194"/>
    <row r="200" ht="15.75" customHeight="1" s="194"/>
    <row r="201" ht="15.75" customHeight="1" s="194"/>
    <row r="202" ht="15.75" customHeight="1" s="194"/>
    <row r="203" ht="15.75" customHeight="1" s="194"/>
    <row r="204" ht="15.75" customHeight="1" s="194"/>
    <row r="205" ht="15.75" customHeight="1" s="194"/>
    <row r="206" ht="15.75" customHeight="1" s="194"/>
    <row r="207" ht="15.75" customHeight="1" s="194"/>
    <row r="208" ht="15.75" customHeight="1" s="194"/>
    <row r="209" ht="15.75" customHeight="1" s="194"/>
    <row r="210" ht="15.75" customHeight="1" s="194"/>
    <row r="211" ht="15.75" customHeight="1" s="194"/>
    <row r="212" ht="15.75" customHeight="1" s="194"/>
    <row r="213" ht="15.75" customHeight="1" s="194"/>
    <row r="214" ht="15.75" customHeight="1" s="194"/>
    <row r="215" ht="15.75" customHeight="1" s="194"/>
    <row r="216" ht="15.75" customHeight="1" s="194"/>
    <row r="217" ht="15.75" customHeight="1" s="194"/>
    <row r="218" ht="15.75" customHeight="1" s="194"/>
    <row r="219" ht="15.75" customHeight="1" s="194"/>
    <row r="220" ht="15.75" customHeight="1" s="194"/>
    <row r="221" ht="15.75" customHeight="1" s="194"/>
    <row r="222" ht="15.75" customHeight="1" s="194"/>
    <row r="223" ht="15.75" customHeight="1" s="194"/>
    <row r="224" ht="15.75" customHeight="1" s="194"/>
    <row r="225" ht="15.75" customHeight="1" s="194"/>
    <row r="226" ht="15.75" customHeight="1" s="194"/>
    <row r="227" ht="15.75" customHeight="1" s="194"/>
    <row r="228" ht="15.75" customHeight="1" s="194"/>
    <row r="229" ht="15.75" customHeight="1" s="194"/>
    <row r="230" ht="15.75" customHeight="1" s="194"/>
    <row r="231" ht="15.75" customHeight="1" s="194"/>
    <row r="232" ht="15.75" customHeight="1" s="194"/>
    <row r="233" ht="15.75" customHeight="1" s="194"/>
    <row r="234" ht="15.75" customHeight="1" s="194"/>
    <row r="235" ht="15.75" customHeight="1" s="194"/>
    <row r="236" ht="15.75" customHeight="1" s="194"/>
    <row r="237" ht="15.75" customHeight="1" s="194"/>
    <row r="238" ht="15.75" customHeight="1" s="194"/>
    <row r="239" ht="15.75" customHeight="1" s="194"/>
    <row r="240" ht="15.75" customHeight="1" s="194"/>
    <row r="241" ht="15.75" customHeight="1" s="194"/>
    <row r="242" ht="15.75" customHeight="1" s="194"/>
    <row r="243" ht="15.75" customHeight="1" s="194"/>
    <row r="244" ht="15.75" customHeight="1" s="194"/>
    <row r="245" ht="15.75" customHeight="1" s="194"/>
    <row r="246" ht="15.75" customHeight="1" s="194"/>
    <row r="247" ht="15.75" customHeight="1" s="194"/>
    <row r="248" ht="15.75" customHeight="1" s="194"/>
    <row r="249" ht="15.75" customHeight="1" s="194"/>
    <row r="250" ht="15.75" customHeight="1" s="194"/>
    <row r="251" ht="15.75" customHeight="1" s="194"/>
    <row r="252" ht="15.75" customHeight="1" s="194"/>
    <row r="253" ht="15.75" customHeight="1" s="194"/>
    <row r="254" ht="15.75" customHeight="1" s="194"/>
    <row r="255" ht="15.75" customHeight="1" s="194"/>
    <row r="256" ht="15.75" customHeight="1" s="194"/>
    <row r="257" ht="15.75" customHeight="1" s="194"/>
    <row r="258" ht="15.75" customHeight="1" s="194"/>
    <row r="259" ht="15.75" customHeight="1" s="194"/>
    <row r="260" ht="15.75" customHeight="1" s="194"/>
    <row r="261" ht="15.75" customHeight="1" s="194"/>
    <row r="262" ht="15.75" customHeight="1" s="194"/>
    <row r="263" ht="15.75" customHeight="1" s="194"/>
    <row r="264" ht="15.75" customHeight="1" s="194"/>
    <row r="265" ht="15.75" customHeight="1" s="194"/>
    <row r="266" ht="15.75" customHeight="1" s="194"/>
    <row r="267" ht="15.75" customHeight="1" s="194"/>
    <row r="268" ht="15.75" customHeight="1" s="194"/>
    <row r="269" ht="15.75" customHeight="1" s="194"/>
    <row r="270" ht="15.75" customHeight="1" s="194"/>
    <row r="271" ht="15.75" customHeight="1" s="194"/>
    <row r="272" ht="15.75" customHeight="1" s="194"/>
    <row r="273" ht="15.75" customHeight="1" s="194"/>
    <row r="274" ht="15.75" customHeight="1" s="194"/>
    <row r="275" ht="15.75" customHeight="1" s="194"/>
    <row r="276" ht="15.75" customHeight="1" s="194"/>
    <row r="277" ht="15.75" customHeight="1" s="194"/>
    <row r="278" ht="15.75" customHeight="1" s="194"/>
    <row r="279" ht="15.75" customHeight="1" s="194"/>
    <row r="280" ht="15.75" customHeight="1" s="194"/>
    <row r="281" ht="15.75" customHeight="1" s="194"/>
    <row r="282" ht="15.75" customHeight="1" s="194"/>
    <row r="283" ht="15.75" customHeight="1" s="194"/>
    <row r="284" ht="15.75" customHeight="1" s="194"/>
    <row r="285" ht="15.75" customHeight="1" s="194"/>
    <row r="286" ht="15.75" customHeight="1" s="194"/>
    <row r="287" ht="15.75" customHeight="1" s="194"/>
    <row r="288" ht="15.75" customHeight="1" s="194"/>
    <row r="289" ht="15.75" customHeight="1" s="194"/>
    <row r="290" ht="15.75" customHeight="1" s="194"/>
    <row r="291" ht="15.75" customHeight="1" s="194"/>
    <row r="292" ht="15.75" customHeight="1" s="194"/>
    <row r="293" ht="15.75" customHeight="1" s="194"/>
    <row r="294" ht="15.75" customHeight="1" s="194"/>
    <row r="295" ht="15.75" customHeight="1" s="194"/>
    <row r="296" ht="15.75" customHeight="1" s="194"/>
    <row r="297" ht="15.75" customHeight="1" s="194"/>
    <row r="298" ht="15.75" customHeight="1" s="194"/>
    <row r="299" ht="15.75" customHeight="1" s="194"/>
    <row r="300" ht="15.75" customHeight="1" s="194"/>
    <row r="301" ht="15.75" customHeight="1" s="194"/>
    <row r="302" ht="15.75" customHeight="1" s="194"/>
    <row r="303" ht="15.75" customHeight="1" s="194"/>
    <row r="304" ht="15.75" customHeight="1" s="194"/>
    <row r="305" ht="15.75" customHeight="1" s="194"/>
    <row r="306" ht="15.75" customHeight="1" s="194"/>
    <row r="307" ht="15.75" customHeight="1" s="194"/>
    <row r="308" ht="15.75" customHeight="1" s="194"/>
    <row r="309" ht="15.75" customHeight="1" s="194"/>
    <row r="310" ht="15.75" customHeight="1" s="194"/>
    <row r="311" ht="15.75" customHeight="1" s="194"/>
    <row r="312" ht="15.75" customHeight="1" s="194"/>
    <row r="313" ht="15.75" customHeight="1" s="194"/>
    <row r="314" ht="15.75" customHeight="1" s="194"/>
    <row r="315" ht="15.75" customHeight="1" s="194"/>
    <row r="316" ht="15.75" customHeight="1" s="194"/>
    <row r="317" ht="15.75" customHeight="1" s="194"/>
    <row r="318" ht="15.75" customHeight="1" s="194"/>
    <row r="319" ht="15.75" customHeight="1" s="194"/>
    <row r="320" ht="15.75" customHeight="1" s="194"/>
    <row r="321" ht="15.75" customHeight="1" s="194"/>
    <row r="322" ht="15.75" customHeight="1" s="194"/>
    <row r="323" ht="15.75" customHeight="1" s="194"/>
    <row r="324" ht="15.75" customHeight="1" s="194"/>
    <row r="325" ht="15.75" customHeight="1" s="194"/>
    <row r="326" ht="15.75" customHeight="1" s="194"/>
    <row r="327" ht="15.75" customHeight="1" s="194"/>
    <row r="328" ht="15.75" customHeight="1" s="194"/>
    <row r="329" ht="15.75" customHeight="1" s="194"/>
    <row r="330" ht="15.75" customHeight="1" s="194"/>
    <row r="331" ht="15.75" customHeight="1" s="194"/>
    <row r="332" ht="15.75" customHeight="1" s="194"/>
    <row r="333" ht="15.75" customHeight="1" s="194"/>
    <row r="334" ht="15.75" customHeight="1" s="194"/>
    <row r="335" ht="15.75" customHeight="1" s="194"/>
    <row r="336" ht="15.75" customHeight="1" s="194"/>
    <row r="337" ht="15.75" customHeight="1" s="194"/>
    <row r="338" ht="15.75" customHeight="1" s="194"/>
    <row r="339" ht="15.75" customHeight="1" s="194"/>
    <row r="340" ht="15.75" customHeight="1" s="194"/>
    <row r="341" ht="15.75" customHeight="1" s="194"/>
    <row r="342" ht="15.75" customHeight="1" s="194"/>
    <row r="343" ht="15.75" customHeight="1" s="194"/>
    <row r="344" ht="15.75" customHeight="1" s="194"/>
    <row r="345" ht="15.75" customHeight="1" s="194"/>
    <row r="346" ht="15.75" customHeight="1" s="194"/>
    <row r="347" ht="15.75" customHeight="1" s="194"/>
    <row r="348" ht="15.75" customHeight="1" s="194"/>
    <row r="349" ht="15.75" customHeight="1" s="194"/>
    <row r="350" ht="15.75" customHeight="1" s="194"/>
    <row r="351" ht="15.75" customHeight="1" s="194"/>
    <row r="352" ht="15.75" customHeight="1" s="194"/>
    <row r="353" ht="15.75" customHeight="1" s="194"/>
    <row r="354" ht="15.75" customHeight="1" s="194"/>
    <row r="355" ht="15.75" customHeight="1" s="194"/>
    <row r="356" ht="15.75" customHeight="1" s="194"/>
    <row r="357" ht="15.75" customHeight="1" s="194"/>
    <row r="358" ht="15.75" customHeight="1" s="194"/>
    <row r="359" ht="15.75" customHeight="1" s="194"/>
    <row r="360" ht="15.75" customHeight="1" s="194"/>
    <row r="361" ht="15.75" customHeight="1" s="194"/>
    <row r="362" ht="15.75" customHeight="1" s="194"/>
    <row r="363" ht="15.75" customHeight="1" s="194"/>
    <row r="364" ht="15.75" customHeight="1" s="194"/>
    <row r="365" ht="15.75" customHeight="1" s="194"/>
    <row r="366" ht="15.75" customHeight="1" s="194"/>
    <row r="367" ht="15.75" customHeight="1" s="194"/>
    <row r="368" ht="15.75" customHeight="1" s="194"/>
    <row r="369" ht="15.75" customHeight="1" s="194"/>
    <row r="370" ht="15.75" customHeight="1" s="194"/>
    <row r="371" ht="15.75" customHeight="1" s="194"/>
    <row r="372" ht="15.75" customHeight="1" s="194"/>
    <row r="373" ht="15.75" customHeight="1" s="194"/>
    <row r="374" ht="15.75" customHeight="1" s="194"/>
    <row r="375" ht="15.75" customHeight="1" s="194"/>
    <row r="376" ht="15.75" customHeight="1" s="194"/>
    <row r="377" ht="15.75" customHeight="1" s="194"/>
    <row r="378" ht="15.75" customHeight="1" s="194"/>
    <row r="379" ht="15.75" customHeight="1" s="194"/>
    <row r="380" ht="15.75" customHeight="1" s="194"/>
    <row r="381" ht="15.75" customHeight="1" s="194"/>
    <row r="382" ht="15.75" customHeight="1" s="194"/>
    <row r="383" ht="15.75" customHeight="1" s="194"/>
    <row r="384" ht="15.75" customHeight="1" s="194"/>
    <row r="385" ht="15.75" customHeight="1" s="194"/>
    <row r="386" ht="15.75" customHeight="1" s="194"/>
    <row r="387" ht="15.75" customHeight="1" s="194"/>
    <row r="388" ht="15.75" customHeight="1" s="194"/>
    <row r="389" ht="15.75" customHeight="1" s="194"/>
    <row r="390" ht="15.75" customHeight="1" s="194"/>
    <row r="391" ht="15.75" customHeight="1" s="194"/>
    <row r="392" ht="15.75" customHeight="1" s="194"/>
    <row r="393" ht="15.75" customHeight="1" s="194"/>
    <row r="394" ht="15.75" customHeight="1" s="194"/>
    <row r="395" ht="15.75" customHeight="1" s="194"/>
    <row r="396" ht="15.75" customHeight="1" s="194"/>
    <row r="397" ht="15.75" customHeight="1" s="194"/>
    <row r="398" ht="15.75" customHeight="1" s="194"/>
    <row r="399" ht="15.75" customHeight="1" s="194"/>
    <row r="400" ht="15.75" customHeight="1" s="194"/>
    <row r="401" ht="15.75" customHeight="1" s="194"/>
    <row r="402" ht="15.75" customHeight="1" s="194"/>
    <row r="403" ht="15.75" customHeight="1" s="194"/>
    <row r="404" ht="15.75" customHeight="1" s="194"/>
    <row r="405" ht="15.75" customHeight="1" s="194"/>
    <row r="406" ht="15.75" customHeight="1" s="194"/>
    <row r="407" ht="15.75" customHeight="1" s="194"/>
    <row r="408" ht="15.75" customHeight="1" s="194"/>
    <row r="409" ht="15.75" customHeight="1" s="194"/>
    <row r="410" ht="15.75" customHeight="1" s="194"/>
    <row r="411" ht="15.75" customHeight="1" s="194"/>
    <row r="412" ht="15.75" customHeight="1" s="194"/>
    <row r="413" ht="15.75" customHeight="1" s="194"/>
    <row r="414" ht="15.75" customHeight="1" s="194"/>
    <row r="415" ht="15.75" customHeight="1" s="194"/>
    <row r="416" ht="15.75" customHeight="1" s="194"/>
    <row r="417" ht="15.75" customHeight="1" s="194"/>
    <row r="418" ht="15.75" customHeight="1" s="194"/>
    <row r="419" ht="15.75" customHeight="1" s="194"/>
    <row r="420" ht="15.75" customHeight="1" s="194"/>
    <row r="421" ht="15.75" customHeight="1" s="194"/>
    <row r="422" ht="15.75" customHeight="1" s="194"/>
    <row r="423" ht="15.75" customHeight="1" s="194"/>
    <row r="424" ht="15.75" customHeight="1" s="194"/>
    <row r="425" ht="15.75" customHeight="1" s="194"/>
    <row r="426" ht="15.75" customHeight="1" s="194"/>
    <row r="427" ht="15.75" customHeight="1" s="194"/>
    <row r="428" ht="15.75" customHeight="1" s="194"/>
    <row r="429" ht="15.75" customHeight="1" s="194"/>
    <row r="430" ht="15.75" customHeight="1" s="194"/>
    <row r="431" ht="15.75" customHeight="1" s="194"/>
    <row r="432" ht="15.75" customHeight="1" s="194"/>
    <row r="433" ht="15.75" customHeight="1" s="194"/>
    <row r="434" ht="15.75" customHeight="1" s="194"/>
    <row r="435" ht="15.75" customHeight="1" s="194"/>
    <row r="436" ht="15.75" customHeight="1" s="194"/>
    <row r="437" ht="15.75" customHeight="1" s="194"/>
    <row r="438" ht="15.75" customHeight="1" s="194"/>
    <row r="439" ht="15.75" customHeight="1" s="194"/>
    <row r="440" ht="15.75" customHeight="1" s="194"/>
    <row r="441" ht="15.75" customHeight="1" s="194"/>
    <row r="442" ht="15.75" customHeight="1" s="194"/>
    <row r="443" ht="15.75" customHeight="1" s="194"/>
    <row r="444" ht="15.75" customHeight="1" s="194"/>
    <row r="445" ht="15.75" customHeight="1" s="194"/>
    <row r="446" ht="15.75" customHeight="1" s="194"/>
    <row r="447" ht="15.75" customHeight="1" s="194"/>
    <row r="448" ht="15.75" customHeight="1" s="194"/>
    <row r="449" ht="15.75" customHeight="1" s="194"/>
    <row r="450" ht="15.75" customHeight="1" s="194"/>
    <row r="451" ht="15.75" customHeight="1" s="194"/>
    <row r="452" ht="15.75" customHeight="1" s="194"/>
    <row r="453" ht="15.75" customHeight="1" s="194"/>
    <row r="454" ht="15.75" customHeight="1" s="194"/>
    <row r="455" ht="15.75" customHeight="1" s="194"/>
    <row r="456" ht="15.75" customHeight="1" s="194"/>
    <row r="457" ht="15.75" customHeight="1" s="194"/>
    <row r="458" ht="15.75" customHeight="1" s="194"/>
    <row r="459" ht="15.75" customHeight="1" s="194"/>
    <row r="460" ht="15.75" customHeight="1" s="194"/>
    <row r="461" ht="15.75" customHeight="1" s="194"/>
    <row r="462" ht="15.75" customHeight="1" s="194"/>
    <row r="463" ht="15.75" customHeight="1" s="194"/>
    <row r="464" ht="15.75" customHeight="1" s="194"/>
    <row r="465" ht="15.75" customHeight="1" s="194"/>
    <row r="466" ht="15.75" customHeight="1" s="194"/>
    <row r="467" ht="15.75" customHeight="1" s="194"/>
    <row r="468" ht="15.75" customHeight="1" s="194"/>
    <row r="469" ht="15.75" customHeight="1" s="194"/>
    <row r="470" ht="15.75" customHeight="1" s="194"/>
    <row r="471" ht="15.75" customHeight="1" s="194"/>
    <row r="472" ht="15.75" customHeight="1" s="194"/>
    <row r="473" ht="15.75" customHeight="1" s="194"/>
    <row r="474" ht="15.75" customHeight="1" s="194"/>
    <row r="475" ht="15.75" customHeight="1" s="194"/>
    <row r="476" ht="15.75" customHeight="1" s="194"/>
    <row r="477" ht="15.75" customHeight="1" s="194"/>
    <row r="478" ht="15.75" customHeight="1" s="194"/>
    <row r="479" ht="15.75" customHeight="1" s="194"/>
    <row r="480" ht="15.75" customHeight="1" s="194"/>
    <row r="481" ht="15.75" customHeight="1" s="194"/>
    <row r="482" ht="15.75" customHeight="1" s="194"/>
    <row r="483" ht="15.75" customHeight="1" s="194"/>
    <row r="484" ht="15.75" customHeight="1" s="194"/>
    <row r="485" ht="15.75" customHeight="1" s="194"/>
    <row r="486" ht="15.75" customHeight="1" s="194"/>
    <row r="487" ht="15.75" customHeight="1" s="194"/>
    <row r="488" ht="15.75" customHeight="1" s="194"/>
    <row r="489" ht="15.75" customHeight="1" s="194"/>
    <row r="490" ht="15.75" customHeight="1" s="194"/>
    <row r="491" ht="15.75" customHeight="1" s="194"/>
    <row r="492" ht="15.75" customHeight="1" s="194"/>
    <row r="493" ht="15.75" customHeight="1" s="194"/>
    <row r="494" ht="15.75" customHeight="1" s="194"/>
    <row r="495" ht="15.75" customHeight="1" s="194"/>
    <row r="496" ht="15.75" customHeight="1" s="194"/>
    <row r="497" ht="15.75" customHeight="1" s="194"/>
    <row r="498" ht="15.75" customHeight="1" s="194"/>
    <row r="499" ht="15.75" customHeight="1" s="194"/>
    <row r="500" ht="15.75" customHeight="1" s="194"/>
    <row r="501" ht="15.75" customHeight="1" s="194"/>
    <row r="502" ht="15.75" customHeight="1" s="194"/>
    <row r="503" ht="15.75" customHeight="1" s="194"/>
    <row r="504" ht="15.75" customHeight="1" s="194"/>
    <row r="505" ht="15.75" customHeight="1" s="194"/>
    <row r="506" ht="15.75" customHeight="1" s="194"/>
    <row r="507" ht="15.75" customHeight="1" s="194"/>
    <row r="508" ht="15.75" customHeight="1" s="194"/>
    <row r="509" ht="15.75" customHeight="1" s="194"/>
    <row r="510" ht="15.75" customHeight="1" s="194"/>
    <row r="511" ht="15.75" customHeight="1" s="194"/>
    <row r="512" ht="15.75" customHeight="1" s="194"/>
    <row r="513" ht="15.75" customHeight="1" s="194"/>
    <row r="514" ht="15.75" customHeight="1" s="194"/>
    <row r="515" ht="15.75" customHeight="1" s="194"/>
    <row r="516" ht="15.75" customHeight="1" s="194"/>
    <row r="517" ht="15.75" customHeight="1" s="194"/>
    <row r="518" ht="15.75" customHeight="1" s="194"/>
    <row r="519" ht="15.75" customHeight="1" s="194"/>
    <row r="520" ht="15.75" customHeight="1" s="194"/>
    <row r="521" ht="15.75" customHeight="1" s="194"/>
    <row r="522" ht="15.75" customHeight="1" s="194"/>
    <row r="523" ht="15.75" customHeight="1" s="194"/>
    <row r="524" ht="15.75" customHeight="1" s="194"/>
    <row r="525" ht="15.75" customHeight="1" s="194"/>
    <row r="526" ht="15.75" customHeight="1" s="194"/>
    <row r="527" ht="15.75" customHeight="1" s="194"/>
    <row r="528" ht="15.75" customHeight="1" s="194"/>
    <row r="529" ht="15.75" customHeight="1" s="194"/>
    <row r="530" ht="15.75" customHeight="1" s="194"/>
    <row r="531" ht="15.75" customHeight="1" s="194"/>
    <row r="532" ht="15.75" customHeight="1" s="194"/>
    <row r="533" ht="15.75" customHeight="1" s="194"/>
    <row r="534" ht="15.75" customHeight="1" s="194"/>
    <row r="535" ht="15.75" customHeight="1" s="194"/>
    <row r="536" ht="15.75" customHeight="1" s="194"/>
    <row r="537" ht="15.75" customHeight="1" s="194"/>
    <row r="538" ht="15.75" customHeight="1" s="194"/>
    <row r="539" ht="15.75" customHeight="1" s="194"/>
    <row r="540" ht="15.75" customHeight="1" s="194"/>
    <row r="541" ht="15.75" customHeight="1" s="194"/>
    <row r="542" ht="15.75" customHeight="1" s="194"/>
    <row r="543" ht="15.75" customHeight="1" s="194"/>
    <row r="544" ht="15.75" customHeight="1" s="194"/>
    <row r="545" ht="15.75" customHeight="1" s="194"/>
    <row r="546" ht="15.75" customHeight="1" s="194"/>
    <row r="547" ht="15.75" customHeight="1" s="194"/>
    <row r="548" ht="15.75" customHeight="1" s="194"/>
    <row r="549" ht="15.75" customHeight="1" s="194"/>
    <row r="550" ht="15.75" customHeight="1" s="194"/>
    <row r="551" ht="15.75" customHeight="1" s="194"/>
    <row r="552" ht="15.75" customHeight="1" s="194"/>
    <row r="553" ht="15.75" customHeight="1" s="194"/>
    <row r="554" ht="15.75" customHeight="1" s="194"/>
    <row r="555" ht="15.75" customHeight="1" s="194"/>
    <row r="556" ht="15.75" customHeight="1" s="194"/>
    <row r="557" ht="15.75" customHeight="1" s="194"/>
    <row r="558" ht="15.75" customHeight="1" s="194"/>
    <row r="559" ht="15.75" customHeight="1" s="194"/>
    <row r="560" ht="15.75" customHeight="1" s="194"/>
    <row r="561" ht="15.75" customHeight="1" s="194"/>
    <row r="562" ht="15.75" customHeight="1" s="194"/>
    <row r="563" ht="15.75" customHeight="1" s="194"/>
    <row r="564" ht="15.75" customHeight="1" s="194"/>
    <row r="565" ht="15.75" customHeight="1" s="194"/>
    <row r="566" ht="15.75" customHeight="1" s="194"/>
    <row r="567" ht="15.75" customHeight="1" s="194"/>
    <row r="568" ht="15.75" customHeight="1" s="194"/>
    <row r="569" ht="15.75" customHeight="1" s="194"/>
    <row r="570" ht="15.75" customHeight="1" s="194"/>
    <row r="571" ht="15.75" customHeight="1" s="194"/>
    <row r="572" ht="15.75" customHeight="1" s="194"/>
    <row r="573" ht="15.75" customHeight="1" s="194"/>
    <row r="574" ht="15.75" customHeight="1" s="194"/>
    <row r="575" ht="15.75" customHeight="1" s="194"/>
    <row r="576" ht="15.75" customHeight="1" s="194"/>
    <row r="577" ht="15.75" customHeight="1" s="194"/>
    <row r="578" ht="15.75" customHeight="1" s="194"/>
    <row r="579" ht="15.75" customHeight="1" s="194"/>
    <row r="580" ht="15.75" customHeight="1" s="194"/>
    <row r="581" ht="15.75" customHeight="1" s="194"/>
    <row r="582" ht="15.75" customHeight="1" s="194"/>
    <row r="583" ht="15.75" customHeight="1" s="194"/>
    <row r="584" ht="15.75" customHeight="1" s="194"/>
    <row r="585" ht="15.75" customHeight="1" s="194"/>
    <row r="586" ht="15.75" customHeight="1" s="194"/>
    <row r="587" ht="15.75" customHeight="1" s="194"/>
    <row r="588" ht="15.75" customHeight="1" s="194"/>
    <row r="589" ht="15.75" customHeight="1" s="194"/>
    <row r="590" ht="15.75" customHeight="1" s="194"/>
    <row r="591" ht="15.75" customHeight="1" s="194"/>
    <row r="592" ht="15.75" customHeight="1" s="194"/>
    <row r="593" ht="15.75" customHeight="1" s="194"/>
    <row r="594" ht="15.75" customHeight="1" s="194"/>
    <row r="595" ht="15.75" customHeight="1" s="194"/>
    <row r="596" ht="15.75" customHeight="1" s="194"/>
    <row r="597" ht="15.75" customHeight="1" s="194"/>
    <row r="598" ht="15.75" customHeight="1" s="194"/>
    <row r="599" ht="15.75" customHeight="1" s="194"/>
    <row r="600" ht="15.75" customHeight="1" s="194"/>
    <row r="601" ht="15.75" customHeight="1" s="194"/>
    <row r="602" ht="15.75" customHeight="1" s="194"/>
    <row r="603" ht="15.75" customHeight="1" s="194"/>
    <row r="604" ht="15.75" customHeight="1" s="194"/>
    <row r="605" ht="15.75" customHeight="1" s="194"/>
    <row r="606" ht="15.75" customHeight="1" s="194"/>
    <row r="607" ht="15.75" customHeight="1" s="194"/>
    <row r="608" ht="15.75" customHeight="1" s="194"/>
    <row r="609" ht="15.75" customHeight="1" s="194"/>
    <row r="610" ht="15.75" customHeight="1" s="194"/>
    <row r="611" ht="15.75" customHeight="1" s="194"/>
    <row r="612" ht="15.75" customHeight="1" s="194"/>
    <row r="613" ht="15.75" customHeight="1" s="194"/>
    <row r="614" ht="15.75" customHeight="1" s="194"/>
    <row r="615" ht="15.75" customHeight="1" s="194"/>
    <row r="616" ht="15.75" customHeight="1" s="194"/>
    <row r="617" ht="15.75" customHeight="1" s="194"/>
    <row r="618" ht="15.75" customHeight="1" s="194"/>
    <row r="619" ht="15.75" customHeight="1" s="194"/>
    <row r="620" ht="15.75" customHeight="1" s="194"/>
    <row r="621" ht="15.75" customHeight="1" s="194"/>
    <row r="622" ht="15.75" customHeight="1" s="194"/>
    <row r="623" ht="15.75" customHeight="1" s="194"/>
    <row r="624" ht="15.75" customHeight="1" s="194"/>
    <row r="625" ht="15.75" customHeight="1" s="194"/>
    <row r="626" ht="15.75" customHeight="1" s="194"/>
    <row r="627" ht="15.75" customHeight="1" s="194"/>
    <row r="628" ht="15.75" customHeight="1" s="194"/>
    <row r="629" ht="15.75" customHeight="1" s="194"/>
    <row r="630" ht="15.75" customHeight="1" s="194"/>
    <row r="631" ht="15.75" customHeight="1" s="194"/>
    <row r="632" ht="15.75" customHeight="1" s="194"/>
    <row r="633" ht="15.75" customHeight="1" s="194"/>
    <row r="634" ht="15.75" customHeight="1" s="194"/>
    <row r="635" ht="15.75" customHeight="1" s="194"/>
    <row r="636" ht="15.75" customHeight="1" s="194"/>
    <row r="637" ht="15.75" customHeight="1" s="194"/>
    <row r="638" ht="15.75" customHeight="1" s="194"/>
    <row r="639" ht="15.75" customHeight="1" s="194"/>
    <row r="640" ht="15.75" customHeight="1" s="194"/>
    <row r="641" ht="15.75" customHeight="1" s="194"/>
    <row r="642" ht="15.75" customHeight="1" s="194"/>
    <row r="643" ht="15.75" customHeight="1" s="194"/>
    <row r="644" ht="15.75" customHeight="1" s="194"/>
    <row r="645" ht="15.75" customHeight="1" s="194"/>
    <row r="646" ht="15.75" customHeight="1" s="194"/>
    <row r="647" ht="15.75" customHeight="1" s="194"/>
    <row r="648" ht="15.75" customHeight="1" s="194"/>
    <row r="649" ht="15.75" customHeight="1" s="194"/>
    <row r="650" ht="15.75" customHeight="1" s="194"/>
    <row r="651" ht="15.75" customHeight="1" s="194"/>
    <row r="652" ht="15.75" customHeight="1" s="194"/>
    <row r="653" ht="15.75" customHeight="1" s="194"/>
    <row r="654" ht="15.75" customHeight="1" s="194"/>
    <row r="655" ht="15.75" customHeight="1" s="194"/>
    <row r="656" ht="15.75" customHeight="1" s="194"/>
    <row r="657" ht="15.75" customHeight="1" s="194"/>
    <row r="658" ht="15.75" customHeight="1" s="194"/>
    <row r="659" ht="15.75" customHeight="1" s="194"/>
    <row r="660" ht="15.75" customHeight="1" s="194"/>
    <row r="661" ht="15.75" customHeight="1" s="194"/>
    <row r="662" ht="15.75" customHeight="1" s="194"/>
    <row r="663" ht="15.75" customHeight="1" s="194"/>
    <row r="664" ht="15.75" customHeight="1" s="194"/>
    <row r="665" ht="15.75" customHeight="1" s="194"/>
    <row r="666" ht="15.75" customHeight="1" s="194"/>
    <row r="667" ht="15.75" customHeight="1" s="194"/>
    <row r="668" ht="15.75" customHeight="1" s="194"/>
    <row r="669" ht="15.75" customHeight="1" s="194"/>
    <row r="670" ht="15.75" customHeight="1" s="194"/>
    <row r="671" ht="15.75" customHeight="1" s="194"/>
    <row r="672" ht="15.75" customHeight="1" s="194"/>
    <row r="673" ht="15.75" customHeight="1" s="194"/>
    <row r="674" ht="15.75" customHeight="1" s="194"/>
    <row r="675" ht="15.75" customHeight="1" s="194"/>
    <row r="676" ht="15.75" customHeight="1" s="194"/>
    <row r="677" ht="15.75" customHeight="1" s="194"/>
    <row r="678" ht="15.75" customHeight="1" s="194"/>
    <row r="679" ht="15.75" customHeight="1" s="194"/>
    <row r="680" ht="15.75" customHeight="1" s="194"/>
    <row r="681" ht="15.75" customHeight="1" s="194"/>
    <row r="682" ht="15.75" customHeight="1" s="194"/>
    <row r="683" ht="15.75" customHeight="1" s="194"/>
    <row r="684" ht="15.75" customHeight="1" s="194"/>
    <row r="685" ht="15.75" customHeight="1" s="194"/>
    <row r="686" ht="15.75" customHeight="1" s="194"/>
    <row r="687" ht="15.75" customHeight="1" s="194"/>
    <row r="688" ht="15.75" customHeight="1" s="194"/>
    <row r="689" ht="15.75" customHeight="1" s="194"/>
    <row r="690" ht="15.75" customHeight="1" s="194"/>
    <row r="691" ht="15.75" customHeight="1" s="194"/>
    <row r="692" ht="15.75" customHeight="1" s="194"/>
    <row r="693" ht="15.75" customHeight="1" s="194"/>
    <row r="694" ht="15.75" customHeight="1" s="194"/>
    <row r="695" ht="15.75" customHeight="1" s="194"/>
    <row r="696" ht="15.75" customHeight="1" s="194"/>
    <row r="697" ht="15.75" customHeight="1" s="194"/>
    <row r="698" ht="15.75" customHeight="1" s="194"/>
    <row r="699" ht="15.75" customHeight="1" s="194"/>
    <row r="700" ht="15.75" customHeight="1" s="194"/>
    <row r="701" ht="15.75" customHeight="1" s="194"/>
    <row r="702" ht="15.75" customHeight="1" s="194"/>
    <row r="703" ht="15.75" customHeight="1" s="194"/>
    <row r="704" ht="15.75" customHeight="1" s="194"/>
    <row r="705" ht="15.75" customHeight="1" s="194"/>
    <row r="706" ht="15.75" customHeight="1" s="194"/>
    <row r="707" ht="15.75" customHeight="1" s="194"/>
    <row r="708" ht="15.75" customHeight="1" s="194"/>
    <row r="709" ht="15.75" customHeight="1" s="194"/>
    <row r="710" ht="15.75" customHeight="1" s="194"/>
    <row r="711" ht="15.75" customHeight="1" s="194"/>
    <row r="712" ht="15.75" customHeight="1" s="194"/>
    <row r="713" ht="15.75" customHeight="1" s="194"/>
    <row r="714" ht="15.75" customHeight="1" s="194"/>
    <row r="715" ht="15.75" customHeight="1" s="194"/>
    <row r="716" ht="15.75" customHeight="1" s="194"/>
    <row r="717" ht="15.75" customHeight="1" s="194"/>
    <row r="718" ht="15.75" customHeight="1" s="194"/>
    <row r="719" ht="15.75" customHeight="1" s="194"/>
    <row r="720" ht="15.75" customHeight="1" s="194"/>
    <row r="721" ht="15.75" customHeight="1" s="194"/>
    <row r="722" ht="15.75" customHeight="1" s="194"/>
    <row r="723" ht="15.75" customHeight="1" s="194"/>
    <row r="724" ht="15.75" customHeight="1" s="194"/>
    <row r="725" ht="15.75" customHeight="1" s="194"/>
    <row r="726" ht="15.75" customHeight="1" s="194"/>
    <row r="727" ht="15.75" customHeight="1" s="194"/>
    <row r="728" ht="15.75" customHeight="1" s="194"/>
    <row r="729" ht="15.75" customHeight="1" s="194"/>
    <row r="730" ht="15.75" customHeight="1" s="194"/>
    <row r="731" ht="15.75" customHeight="1" s="194"/>
    <row r="732" ht="15.75" customHeight="1" s="194"/>
    <row r="733" ht="15.75" customHeight="1" s="194"/>
    <row r="734" ht="15.75" customHeight="1" s="194"/>
    <row r="735" ht="15.75" customHeight="1" s="194"/>
    <row r="736" ht="15.75" customHeight="1" s="194"/>
    <row r="737" ht="15.75" customHeight="1" s="194"/>
    <row r="738" ht="15.75" customHeight="1" s="194"/>
    <row r="739" ht="15.75" customHeight="1" s="194"/>
    <row r="740" ht="15.75" customHeight="1" s="194"/>
    <row r="741" ht="15.75" customHeight="1" s="194"/>
    <row r="742" ht="15.75" customHeight="1" s="194"/>
    <row r="743" ht="15.75" customHeight="1" s="194"/>
    <row r="744" ht="15.75" customHeight="1" s="194"/>
    <row r="745" ht="15.75" customHeight="1" s="194"/>
    <row r="746" ht="15.75" customHeight="1" s="194"/>
    <row r="747" ht="15.75" customHeight="1" s="194"/>
    <row r="748" ht="15.75" customHeight="1" s="194"/>
    <row r="749" ht="15.75" customHeight="1" s="194"/>
    <row r="750" ht="15.75" customHeight="1" s="194"/>
    <row r="751" ht="15.75" customHeight="1" s="194"/>
    <row r="752" ht="15.75" customHeight="1" s="194"/>
    <row r="753" ht="15.75" customHeight="1" s="194"/>
    <row r="754" ht="15.75" customHeight="1" s="194"/>
    <row r="755" ht="15.75" customHeight="1" s="194"/>
    <row r="756" ht="15.75" customHeight="1" s="194"/>
    <row r="757" ht="15.75" customHeight="1" s="194"/>
    <row r="758" ht="15.75" customHeight="1" s="194"/>
    <row r="759" ht="15.75" customHeight="1" s="194"/>
    <row r="760" ht="15.75" customHeight="1" s="194"/>
    <row r="761" ht="15.75" customHeight="1" s="194"/>
    <row r="762" ht="15.75" customHeight="1" s="194"/>
    <row r="763" ht="15.75" customHeight="1" s="194"/>
    <row r="764" ht="15.75" customHeight="1" s="194"/>
    <row r="765" ht="15.75" customHeight="1" s="194"/>
    <row r="766" ht="15.75" customHeight="1" s="194"/>
    <row r="767" ht="15.75" customHeight="1" s="194"/>
    <row r="768" ht="15.75" customHeight="1" s="194"/>
    <row r="769" ht="15.75" customHeight="1" s="194"/>
    <row r="770" ht="15.75" customHeight="1" s="194"/>
    <row r="771" ht="15.75" customHeight="1" s="194"/>
    <row r="772" ht="15.75" customHeight="1" s="194"/>
    <row r="773" ht="15.75" customHeight="1" s="194"/>
    <row r="774" ht="15.75" customHeight="1" s="194"/>
    <row r="775" ht="15.75" customHeight="1" s="194"/>
    <row r="776" ht="15.75" customHeight="1" s="194"/>
    <row r="777" ht="15.75" customHeight="1" s="194"/>
    <row r="778" ht="15.75" customHeight="1" s="194"/>
    <row r="779" ht="15.75" customHeight="1" s="194"/>
    <row r="780" ht="15.75" customHeight="1" s="194"/>
    <row r="781" ht="15.75" customHeight="1" s="194"/>
    <row r="782" ht="15.75" customHeight="1" s="194"/>
    <row r="783" ht="15.75" customHeight="1" s="194"/>
    <row r="784" ht="15.75" customHeight="1" s="194"/>
    <row r="785" ht="15.75" customHeight="1" s="194"/>
    <row r="786" ht="15.75" customHeight="1" s="194"/>
    <row r="787" ht="15.75" customHeight="1" s="194"/>
    <row r="788" ht="15.75" customHeight="1" s="194"/>
    <row r="789" ht="15.75" customHeight="1" s="194"/>
    <row r="790" ht="15.75" customHeight="1" s="194"/>
    <row r="791" ht="15.75" customHeight="1" s="194"/>
    <row r="792" ht="15.75" customHeight="1" s="194"/>
    <row r="793" ht="15.75" customHeight="1" s="194"/>
    <row r="794" ht="15.75" customHeight="1" s="194"/>
    <row r="795" ht="15.75" customHeight="1" s="194"/>
    <row r="796" ht="15.75" customHeight="1" s="194"/>
    <row r="797" ht="15.75" customHeight="1" s="194"/>
    <row r="798" ht="15.75" customHeight="1" s="194"/>
    <row r="799" ht="15.75" customHeight="1" s="194"/>
    <row r="800" ht="15.75" customHeight="1" s="194"/>
    <row r="801" ht="15.75" customHeight="1" s="194"/>
    <row r="802" ht="15.75" customHeight="1" s="194"/>
    <row r="803" ht="15.75" customHeight="1" s="194"/>
    <row r="804" ht="15.75" customHeight="1" s="194"/>
    <row r="805" ht="15.75" customHeight="1" s="194"/>
    <row r="806" ht="15.75" customHeight="1" s="194"/>
    <row r="807" ht="15.75" customHeight="1" s="194"/>
    <row r="808" ht="15.75" customHeight="1" s="194"/>
    <row r="809" ht="15.75" customHeight="1" s="194"/>
    <row r="810" ht="15.75" customHeight="1" s="194"/>
    <row r="811" ht="15.75" customHeight="1" s="194"/>
    <row r="812" ht="15.75" customHeight="1" s="194"/>
    <row r="813" ht="15.75" customHeight="1" s="194"/>
    <row r="814" ht="15.75" customHeight="1" s="194"/>
    <row r="815" ht="15.75" customHeight="1" s="194"/>
    <row r="816" ht="15.75" customHeight="1" s="194"/>
    <row r="817" ht="15.75" customHeight="1" s="194"/>
    <row r="818" ht="15.75" customHeight="1" s="194"/>
    <row r="819" ht="15.75" customHeight="1" s="194"/>
    <row r="820" ht="15.75" customHeight="1" s="194"/>
    <row r="821" ht="15.75" customHeight="1" s="194"/>
    <row r="822" ht="15.75" customHeight="1" s="194"/>
    <row r="823" ht="15.75" customHeight="1" s="194"/>
    <row r="824" ht="15.75" customHeight="1" s="194"/>
    <row r="825" ht="15.75" customHeight="1" s="194"/>
    <row r="826" ht="15.75" customHeight="1" s="194"/>
    <row r="827" ht="15.75" customHeight="1" s="194"/>
    <row r="828" ht="15.75" customHeight="1" s="194"/>
    <row r="829" ht="15.75" customHeight="1" s="194"/>
    <row r="830" ht="15.75" customHeight="1" s="194"/>
    <row r="831" ht="15.75" customHeight="1" s="194"/>
    <row r="832" ht="15.75" customHeight="1" s="194"/>
    <row r="833" ht="15.75" customHeight="1" s="194"/>
    <row r="834" ht="15.75" customHeight="1" s="194"/>
    <row r="835" ht="15.75" customHeight="1" s="194"/>
    <row r="836" ht="15.75" customHeight="1" s="194"/>
    <row r="837" ht="15.75" customHeight="1" s="194"/>
    <row r="838" ht="15.75" customHeight="1" s="194"/>
    <row r="839" ht="15.75" customHeight="1" s="194"/>
    <row r="840" ht="15.75" customHeight="1" s="194"/>
    <row r="841" ht="15.75" customHeight="1" s="194"/>
    <row r="842" ht="15.75" customHeight="1" s="194"/>
    <row r="843" ht="15.75" customHeight="1" s="194"/>
    <row r="844" ht="15.75" customHeight="1" s="194"/>
    <row r="845" ht="15.75" customHeight="1" s="194"/>
    <row r="846" ht="15.75" customHeight="1" s="194"/>
    <row r="847" ht="15.75" customHeight="1" s="194"/>
    <row r="848" ht="15.75" customHeight="1" s="194"/>
    <row r="849" ht="15.75" customHeight="1" s="194"/>
    <row r="850" ht="15.75" customHeight="1" s="194"/>
    <row r="851" ht="15.75" customHeight="1" s="194"/>
    <row r="852" ht="15.75" customHeight="1" s="194"/>
    <row r="853" ht="15.75" customHeight="1" s="194"/>
    <row r="854" ht="15.75" customHeight="1" s="194"/>
    <row r="855" ht="15.75" customHeight="1" s="194"/>
    <row r="856" ht="15.75" customHeight="1" s="194"/>
    <row r="857" ht="15.75" customHeight="1" s="194"/>
    <row r="858" ht="15.75" customHeight="1" s="194"/>
    <row r="859" ht="15.75" customHeight="1" s="194"/>
    <row r="860" ht="15.75" customHeight="1" s="194"/>
    <row r="861" ht="15.75" customHeight="1" s="194"/>
    <row r="862" ht="15.75" customHeight="1" s="194"/>
    <row r="863" ht="15.75" customHeight="1" s="194"/>
    <row r="864" ht="15.75" customHeight="1" s="194"/>
    <row r="865" ht="15.75" customHeight="1" s="194"/>
    <row r="866" ht="15.75" customHeight="1" s="194"/>
    <row r="867" ht="15.75" customHeight="1" s="194"/>
    <row r="868" ht="15.75" customHeight="1" s="194"/>
    <row r="869" ht="15.75" customHeight="1" s="194"/>
    <row r="870" ht="15.75" customHeight="1" s="194"/>
    <row r="871" ht="15.75" customHeight="1" s="194"/>
    <row r="872" ht="15.75" customHeight="1" s="194"/>
    <row r="873" ht="15.75" customHeight="1" s="194"/>
    <row r="874" ht="15.75" customHeight="1" s="194"/>
    <row r="875" ht="15.75" customHeight="1" s="194"/>
    <row r="876" ht="15.75" customHeight="1" s="194"/>
    <row r="877" ht="15.75" customHeight="1" s="194"/>
    <row r="878" ht="15.75" customHeight="1" s="194"/>
    <row r="879" ht="15.75" customHeight="1" s="194"/>
    <row r="880" ht="15.75" customHeight="1" s="194"/>
    <row r="881" ht="15.75" customHeight="1" s="194"/>
    <row r="882" ht="15.75" customHeight="1" s="194"/>
    <row r="883" ht="15.75" customHeight="1" s="194"/>
    <row r="884" ht="15.75" customHeight="1" s="194"/>
    <row r="885" ht="15.75" customHeight="1" s="194"/>
    <row r="886" ht="15.75" customHeight="1" s="194"/>
    <row r="887" ht="15.75" customHeight="1" s="194"/>
    <row r="888" ht="15.75" customHeight="1" s="194"/>
    <row r="889" ht="15.75" customHeight="1" s="194"/>
    <row r="890" ht="15.75" customHeight="1" s="194"/>
    <row r="891" ht="15.75" customHeight="1" s="194"/>
    <row r="892" ht="15.75" customHeight="1" s="194"/>
    <row r="893" ht="15.75" customHeight="1" s="194"/>
    <row r="894" ht="15.75" customHeight="1" s="194"/>
    <row r="895" ht="15.75" customHeight="1" s="194"/>
    <row r="896" ht="15.75" customHeight="1" s="194"/>
    <row r="897" ht="15.75" customHeight="1" s="194"/>
    <row r="898" ht="15.75" customHeight="1" s="194"/>
    <row r="899" ht="15.75" customHeight="1" s="194"/>
    <row r="900" ht="15.75" customHeight="1" s="194"/>
    <row r="901" ht="15.75" customHeight="1" s="194"/>
    <row r="902" ht="15.75" customHeight="1" s="194"/>
    <row r="903" ht="15.75" customHeight="1" s="194"/>
    <row r="904" ht="15.75" customHeight="1" s="194"/>
    <row r="905" ht="15.75" customHeight="1" s="194"/>
    <row r="906" ht="15.75" customHeight="1" s="194"/>
    <row r="907" ht="15.75" customHeight="1" s="194"/>
    <row r="908" ht="15.75" customHeight="1" s="194"/>
    <row r="909" ht="15.75" customHeight="1" s="194"/>
    <row r="910" ht="15.75" customHeight="1" s="194"/>
    <row r="911" ht="15.75" customHeight="1" s="194"/>
    <row r="912" ht="15.75" customHeight="1" s="194"/>
    <row r="913" ht="15.75" customHeight="1" s="194"/>
    <row r="914" ht="15.75" customHeight="1" s="194"/>
    <row r="915" ht="15.75" customHeight="1" s="194"/>
    <row r="916" ht="15.75" customHeight="1" s="194"/>
    <row r="917" ht="15.75" customHeight="1" s="194"/>
    <row r="918" ht="15.75" customHeight="1" s="194"/>
    <row r="919" ht="15.75" customHeight="1" s="194"/>
    <row r="920" ht="15.75" customHeight="1" s="194"/>
    <row r="921" ht="15.75" customHeight="1" s="194"/>
    <row r="922" ht="15.75" customHeight="1" s="194"/>
    <row r="923" ht="15.75" customHeight="1" s="194"/>
    <row r="924" ht="15.75" customHeight="1" s="194"/>
    <row r="925" ht="15.75" customHeight="1" s="194"/>
    <row r="926" ht="15.75" customHeight="1" s="194"/>
    <row r="927" ht="15.75" customHeight="1" s="194"/>
    <row r="928" ht="15.75" customHeight="1" s="194"/>
    <row r="929" ht="15.75" customHeight="1" s="194"/>
    <row r="930" ht="15.75" customHeight="1" s="194"/>
    <row r="931" ht="15.75" customHeight="1" s="194"/>
    <row r="932" ht="15.75" customHeight="1" s="194"/>
    <row r="933" ht="15.75" customHeight="1" s="194"/>
    <row r="934" ht="15.75" customHeight="1" s="194"/>
    <row r="935" ht="15.75" customHeight="1" s="194"/>
    <row r="936" ht="15.75" customHeight="1" s="194"/>
    <row r="937" ht="15.75" customHeight="1" s="194"/>
    <row r="938" ht="15.75" customHeight="1" s="194"/>
    <row r="939" ht="15.75" customHeight="1" s="194"/>
    <row r="940" ht="15.75" customHeight="1" s="194"/>
    <row r="941" ht="15.75" customHeight="1" s="194"/>
    <row r="942" ht="15.75" customHeight="1" s="194"/>
    <row r="943" ht="15.75" customHeight="1" s="194"/>
    <row r="944" ht="15.75" customHeight="1" s="194"/>
    <row r="945" ht="15.75" customHeight="1" s="194"/>
    <row r="946" ht="15.75" customHeight="1" s="194"/>
    <row r="947" ht="15.75" customHeight="1" s="194"/>
    <row r="948" ht="15.75" customHeight="1" s="194"/>
    <row r="949" ht="15.75" customHeight="1" s="194"/>
    <row r="950" ht="15.75" customHeight="1" s="194"/>
    <row r="951" ht="15.75" customHeight="1" s="194"/>
    <row r="952" ht="15.75" customHeight="1" s="194"/>
    <row r="953" ht="15.75" customHeight="1" s="194"/>
    <row r="954" ht="15.75" customHeight="1" s="194"/>
    <row r="955" ht="15.75" customHeight="1" s="194"/>
    <row r="956" ht="15.75" customHeight="1" s="194"/>
    <row r="957" ht="15.75" customHeight="1" s="194"/>
    <row r="958" ht="15.75" customHeight="1" s="194"/>
    <row r="959" ht="15.75" customHeight="1" s="194"/>
    <row r="960" ht="15.75" customHeight="1" s="194"/>
    <row r="961" ht="15.75" customHeight="1" s="194"/>
    <row r="962" ht="15.75" customHeight="1" s="194"/>
    <row r="963" ht="15.75" customHeight="1" s="194"/>
    <row r="964" ht="15.75" customHeight="1" s="194"/>
    <row r="965" ht="15.75" customHeight="1" s="194"/>
    <row r="966" ht="15.75" customHeight="1" s="194"/>
    <row r="967" ht="15.75" customHeight="1" s="194"/>
    <row r="968" ht="15.75" customHeight="1" s="194"/>
    <row r="969" ht="15.75" customHeight="1" s="194"/>
    <row r="970" ht="15.75" customHeight="1" s="194"/>
    <row r="971" ht="15.75" customHeight="1" s="194"/>
    <row r="972" ht="15.75" customHeight="1" s="194"/>
    <row r="973" ht="15.75" customHeight="1" s="194"/>
    <row r="974" ht="15.75" customHeight="1" s="194"/>
    <row r="975" ht="15.75" customHeight="1" s="194"/>
    <row r="976" ht="15.75" customHeight="1" s="194"/>
    <row r="977" ht="15.75" customHeight="1" s="194"/>
    <row r="978" ht="15.75" customHeight="1" s="194"/>
    <row r="979" ht="15.75" customHeight="1" s="194"/>
    <row r="980" ht="15.75" customHeight="1" s="194"/>
    <row r="981" ht="15.75" customHeight="1" s="194"/>
    <row r="982" ht="15.75" customHeight="1" s="194"/>
    <row r="983" ht="15.75" customHeight="1" s="194"/>
    <row r="984" ht="15.75" customHeight="1" s="194"/>
    <row r="985" ht="15.75" customHeight="1" s="194"/>
    <row r="986" ht="15.75" customHeight="1" s="194"/>
    <row r="987" ht="15.75" customHeight="1" s="194"/>
    <row r="988" ht="15.75" customHeight="1" s="194"/>
    <row r="989" ht="15.75" customHeight="1" s="194"/>
    <row r="990" ht="15.75" customHeight="1" s="194"/>
    <row r="991" ht="15.75" customHeight="1" s="194"/>
    <row r="992" ht="15.75" customHeight="1" s="194"/>
    <row r="993" ht="15.75" customHeight="1" s="194"/>
    <row r="994" ht="15.75" customHeight="1" s="194"/>
    <row r="995" ht="15.75" customHeight="1" s="194"/>
    <row r="996" ht="15.75" customHeight="1" s="194"/>
    <row r="997" ht="15.75" customHeight="1" s="194"/>
    <row r="998" ht="15.75" customHeight="1" s="194"/>
    <row r="999" ht="15.75" customHeight="1" s="194"/>
    <row r="1000" ht="15.75" customHeight="1" s="194"/>
  </sheetData>
  <mergeCells count="3">
    <mergeCell ref="C4:C5"/>
    <mergeCell ref="D4:D5"/>
    <mergeCell ref="B4:B5"/>
  </mergeCells>
  <pageMargins left="0.75" right="0.75" top="1" bottom="1" header="0" footer="0"/>
  <pageSetup orientation="landscape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BY50"/>
  <sheetViews>
    <sheetView showGridLines="0" workbookViewId="0">
      <pane xSplit="11" ySplit="5" topLeftCell="L6" activePane="bottomRight" state="frozen"/>
      <selection pane="topRight" activeCell="L1" sqref="L1"/>
      <selection pane="bottomLeft" activeCell="A6" sqref="A6"/>
      <selection pane="bottomRight" activeCell="L6" sqref="L6"/>
    </sheetView>
  </sheetViews>
  <sheetFormatPr baseColWidth="8" defaultColWidth="14.43" defaultRowHeight="15" customHeight="1" outlineLevelRow="1"/>
  <cols>
    <col width="5" customWidth="1" style="194" min="1" max="1"/>
    <col width="44" customWidth="1" style="194" min="2" max="2"/>
    <col width="11" customWidth="1" style="194" min="3" max="3"/>
    <col width="46" customWidth="1" style="194" min="4" max="4"/>
    <col width="15" customWidth="1" style="194" min="5" max="9"/>
    <col width="16" customWidth="1" style="194" min="10" max="10"/>
    <col width="3" customWidth="1" style="194" min="11" max="11"/>
    <col width="13" customWidth="1" style="194" min="12" max="71"/>
    <col hidden="1" width="13" customWidth="1" style="194" min="72" max="77"/>
  </cols>
  <sheetData>
    <row r="1">
      <c r="B1" s="1" t="inlineStr">
        <is>
          <t>Расходы: ФОТ, операционные, выплаты клубу</t>
        </is>
      </c>
    </row>
    <row r="2">
      <c r="B2" s="2" t="inlineStr">
        <is>
          <t>Расшифровка к «Результату». Оклады индексируются раз в год, премии привязаны к продажам и числу партнёров.</t>
        </is>
      </c>
    </row>
    <row r="4" ht="25.5" customHeight="1" s="194">
      <c r="B4" s="4" t="inlineStr">
        <is>
          <t>Показатель</t>
        </is>
      </c>
      <c r="C4" s="4" t="inlineStr">
        <is>
          <t>Ед.</t>
        </is>
      </c>
      <c r="D4" s="4" t="inlineStr">
        <is>
          <t>Как считается</t>
        </is>
      </c>
      <c r="E4" s="4" t="inlineStr">
        <is>
          <t>Год 1</t>
        </is>
      </c>
      <c r="F4" s="4" t="inlineStr">
        <is>
          <t>Год 2</t>
        </is>
      </c>
      <c r="G4" s="4" t="inlineStr">
        <is>
          <t>Год 3</t>
        </is>
      </c>
      <c r="H4" s="4" t="inlineStr">
        <is>
          <t>Год 4</t>
        </is>
      </c>
      <c r="I4" s="4" t="inlineStr">
        <is>
          <t>Год 5</t>
        </is>
      </c>
      <c r="J4" s="4" t="inlineStr">
        <is>
          <t>Итого 5 лет</t>
        </is>
      </c>
      <c r="K4" s="4" t="n"/>
      <c r="L4" s="4" t="inlineStr">
        <is>
          <t>М1</t>
        </is>
      </c>
      <c r="M4" s="4" t="inlineStr">
        <is>
          <t>М2</t>
        </is>
      </c>
      <c r="N4" s="4" t="inlineStr">
        <is>
          <t>М3</t>
        </is>
      </c>
      <c r="O4" s="4" t="inlineStr">
        <is>
          <t>М4</t>
        </is>
      </c>
      <c r="P4" s="4" t="inlineStr">
        <is>
          <t>М5</t>
        </is>
      </c>
      <c r="Q4" s="4" t="inlineStr">
        <is>
          <t>М6</t>
        </is>
      </c>
      <c r="R4" s="4" t="inlineStr">
        <is>
          <t>М7</t>
        </is>
      </c>
      <c r="S4" s="4" t="inlineStr">
        <is>
          <t>М8</t>
        </is>
      </c>
      <c r="T4" s="4" t="inlineStr">
        <is>
          <t>М9</t>
        </is>
      </c>
      <c r="U4" s="4" t="inlineStr">
        <is>
          <t>М10</t>
        </is>
      </c>
      <c r="V4" s="4" t="inlineStr">
        <is>
          <t>М11</t>
        </is>
      </c>
      <c r="W4" s="4" t="inlineStr">
        <is>
          <t>М12</t>
        </is>
      </c>
      <c r="X4" s="4" t="inlineStr">
        <is>
          <t>М13</t>
        </is>
      </c>
      <c r="Y4" s="4" t="inlineStr">
        <is>
          <t>М14</t>
        </is>
      </c>
      <c r="Z4" s="4" t="inlineStr">
        <is>
          <t>М15</t>
        </is>
      </c>
      <c r="AA4" s="4" t="inlineStr">
        <is>
          <t>М16</t>
        </is>
      </c>
      <c r="AB4" s="4" t="inlineStr">
        <is>
          <t>М17</t>
        </is>
      </c>
      <c r="AC4" s="4" t="inlineStr">
        <is>
          <t>М18</t>
        </is>
      </c>
      <c r="AD4" s="4" t="inlineStr">
        <is>
          <t>М19</t>
        </is>
      </c>
      <c r="AE4" s="4" t="inlineStr">
        <is>
          <t>М20</t>
        </is>
      </c>
      <c r="AF4" s="4" t="inlineStr">
        <is>
          <t>М21</t>
        </is>
      </c>
      <c r="AG4" s="4" t="inlineStr">
        <is>
          <t>М22</t>
        </is>
      </c>
      <c r="AH4" s="4" t="inlineStr">
        <is>
          <t>М23</t>
        </is>
      </c>
      <c r="AI4" s="4" t="inlineStr">
        <is>
          <t>М24</t>
        </is>
      </c>
      <c r="AJ4" s="4" t="inlineStr">
        <is>
          <t>М25</t>
        </is>
      </c>
      <c r="AK4" s="4" t="inlineStr">
        <is>
          <t>М26</t>
        </is>
      </c>
      <c r="AL4" s="4" t="inlineStr">
        <is>
          <t>М27</t>
        </is>
      </c>
      <c r="AM4" s="4" t="inlineStr">
        <is>
          <t>М28</t>
        </is>
      </c>
      <c r="AN4" s="4" t="inlineStr">
        <is>
          <t>М29</t>
        </is>
      </c>
      <c r="AO4" s="4" t="inlineStr">
        <is>
          <t>М30</t>
        </is>
      </c>
      <c r="AP4" s="4" t="inlineStr">
        <is>
          <t>М31</t>
        </is>
      </c>
      <c r="AQ4" s="4" t="inlineStr">
        <is>
          <t>М32</t>
        </is>
      </c>
      <c r="AR4" s="4" t="inlineStr">
        <is>
          <t>М33</t>
        </is>
      </c>
      <c r="AS4" s="4" t="inlineStr">
        <is>
          <t>М34</t>
        </is>
      </c>
      <c r="AT4" s="4" t="inlineStr">
        <is>
          <t>М35</t>
        </is>
      </c>
      <c r="AU4" s="4" t="inlineStr">
        <is>
          <t>М36</t>
        </is>
      </c>
      <c r="AV4" s="4" t="inlineStr">
        <is>
          <t>М37</t>
        </is>
      </c>
      <c r="AW4" s="4" t="inlineStr">
        <is>
          <t>М38</t>
        </is>
      </c>
      <c r="AX4" s="4" t="inlineStr">
        <is>
          <t>М39</t>
        </is>
      </c>
      <c r="AY4" s="4" t="inlineStr">
        <is>
          <t>М40</t>
        </is>
      </c>
      <c r="AZ4" s="4" t="inlineStr">
        <is>
          <t>М41</t>
        </is>
      </c>
      <c r="BA4" s="4" t="inlineStr">
        <is>
          <t>М42</t>
        </is>
      </c>
      <c r="BB4" s="4" t="inlineStr">
        <is>
          <t>М43</t>
        </is>
      </c>
      <c r="BC4" s="4" t="inlineStr">
        <is>
          <t>М44</t>
        </is>
      </c>
      <c r="BD4" s="4" t="inlineStr">
        <is>
          <t>М45</t>
        </is>
      </c>
      <c r="BE4" s="4" t="inlineStr">
        <is>
          <t>М46</t>
        </is>
      </c>
      <c r="BF4" s="4" t="inlineStr">
        <is>
          <t>М47</t>
        </is>
      </c>
      <c r="BG4" s="4" t="inlineStr">
        <is>
          <t>М48</t>
        </is>
      </c>
      <c r="BH4" s="4" t="inlineStr">
        <is>
          <t>М49</t>
        </is>
      </c>
      <c r="BI4" s="4" t="inlineStr">
        <is>
          <t>М50</t>
        </is>
      </c>
      <c r="BJ4" s="4" t="inlineStr">
        <is>
          <t>М51</t>
        </is>
      </c>
      <c r="BK4" s="4" t="inlineStr">
        <is>
          <t>М52</t>
        </is>
      </c>
      <c r="BL4" s="4" t="inlineStr">
        <is>
          <t>М53</t>
        </is>
      </c>
      <c r="BM4" s="4" t="inlineStr">
        <is>
          <t>М54</t>
        </is>
      </c>
      <c r="BN4" s="4" t="inlineStr">
        <is>
          <t>М55</t>
        </is>
      </c>
      <c r="BO4" s="4" t="inlineStr">
        <is>
          <t>М56</t>
        </is>
      </c>
      <c r="BP4" s="4" t="inlineStr">
        <is>
          <t>М57</t>
        </is>
      </c>
      <c r="BQ4" s="4" t="inlineStr">
        <is>
          <t>М58</t>
        </is>
      </c>
      <c r="BR4" s="4" t="inlineStr">
        <is>
          <t>М59</t>
        </is>
      </c>
      <c r="BS4" s="4" t="inlineStr">
        <is>
          <t>М60</t>
        </is>
      </c>
      <c r="BT4" s="4" t="inlineStr">
        <is>
          <t>тех. 1</t>
        </is>
      </c>
      <c r="BU4" s="4" t="inlineStr">
        <is>
          <t>тех. 2</t>
        </is>
      </c>
      <c r="BV4" s="4" t="inlineStr">
        <is>
          <t>тех. 3</t>
        </is>
      </c>
      <c r="BW4" s="4" t="inlineStr">
        <is>
          <t>тех. 4</t>
        </is>
      </c>
      <c r="BX4" s="4" t="inlineStr">
        <is>
          <t>тех. 5</t>
        </is>
      </c>
      <c r="BY4" s="4" t="inlineStr">
        <is>
          <t>тех. 6</t>
        </is>
      </c>
    </row>
    <row r="5" ht="15.75" customHeight="1" s="194">
      <c r="E5" s="4">
        <f>TEXT(MONTH(DATE(YEAR(СтартМодели),MONTH(СтартМодели)+0,1)),"00")&amp;"."&amp;YEAR(DATE(YEAR(СтартМодели),MONTH(СтартМодели)+0,1))&amp;" – "&amp;TEXT(MONTH(DATE(YEAR(СтартМодели),MONTH(СтартМодели)+11,1)),"00")&amp;"."&amp;YEAR(DATE(YEAR(СтартМодели),MONTH(СтартМодели)+11,1))</f>
        <v/>
      </c>
      <c r="F5" s="4">
        <f>TEXT(MONTH(DATE(YEAR(СтартМодели),MONTH(СтартМодели)+12,1)),"00")&amp;"."&amp;YEAR(DATE(YEAR(СтартМодели),MONTH(СтартМодели)+12,1))&amp;" – "&amp;TEXT(MONTH(DATE(YEAR(СтартМодели),MONTH(СтартМодели)+23,1)),"00")&amp;"."&amp;YEAR(DATE(YEAR(СтартМодели),MONTH(СтартМодели)+23,1))</f>
        <v/>
      </c>
      <c r="G5" s="4">
        <f>TEXT(MONTH(DATE(YEAR(СтартМодели),MONTH(СтартМодели)+24,1)),"00")&amp;"."&amp;YEAR(DATE(YEAR(СтартМодели),MONTH(СтартМодели)+24,1))&amp;" – "&amp;TEXT(MONTH(DATE(YEAR(СтартМодели),MONTH(СтартМодели)+35,1)),"00")&amp;"."&amp;YEAR(DATE(YEAR(СтартМодели),MONTH(СтартМодели)+35,1))</f>
        <v/>
      </c>
      <c r="H5" s="4">
        <f>TEXT(MONTH(DATE(YEAR(СтартМодели),MONTH(СтартМодели)+36,1)),"00")&amp;"."&amp;YEAR(DATE(YEAR(СтартМодели),MONTH(СтартМодели)+36,1))&amp;" – "&amp;TEXT(MONTH(DATE(YEAR(СтартМодели),MONTH(СтартМодели)+47,1)),"00")&amp;"."&amp;YEAR(DATE(YEAR(СтартМодели),MONTH(СтартМодели)+47,1))</f>
        <v/>
      </c>
      <c r="I5" s="4">
        <f>TEXT(MONTH(DATE(YEAR(СтартМодели),MONTH(СтартМодели)+48,1)),"00")&amp;"."&amp;YEAR(DATE(YEAR(СтартМодели),MONTH(СтартМодели)+48,1))&amp;" – "&amp;TEXT(MONTH(DATE(YEAR(СтартМодели),MONTH(СтартМодели)+59,1)),"00")&amp;"."&amp;YEAR(DATE(YEAR(СтартМодели),MONTH(СтартМодели)+59,1))</f>
        <v/>
      </c>
      <c r="J5" s="4">
        <f>TEXT(MONTH(DATE(YEAR(СтартМодели),MONTH(СтартМодели)+0,1)),"00")&amp;"."&amp;YEAR(DATE(YEAR(СтартМодели),MONTH(СтартМодели)+0,1))&amp;" – "&amp;TEXT(MONTH(DATE(YEAR(СтартМодели),MONTH(СтартМодели)+59,1)),"00")&amp;"."&amp;YEAR(DATE(YEAR(СтартМодели),MONTH(СтартМодели)+59,1))</f>
        <v/>
      </c>
      <c r="K5" s="4" t="n"/>
      <c r="L5" s="32">
        <f>DATE(YEAR(СтартМодели),MONTH(СтартМодели)+1-1,1)</f>
        <v/>
      </c>
      <c r="M5" s="32">
        <f>DATE(YEAR(СтартМодели),MONTH(СтартМодели)+2-1,1)</f>
        <v/>
      </c>
      <c r="N5" s="32">
        <f>DATE(YEAR(СтартМодели),MONTH(СтартМодели)+3-1,1)</f>
        <v/>
      </c>
      <c r="O5" s="32">
        <f>DATE(YEAR(СтартМодели),MONTH(СтартМодели)+4-1,1)</f>
        <v/>
      </c>
      <c r="P5" s="32">
        <f>DATE(YEAR(СтартМодели),MONTH(СтартМодели)+5-1,1)</f>
        <v/>
      </c>
      <c r="Q5" s="32">
        <f>DATE(YEAR(СтартМодели),MONTH(СтартМодели)+6-1,1)</f>
        <v/>
      </c>
      <c r="R5" s="32">
        <f>DATE(YEAR(СтартМодели),MONTH(СтартМодели)+7-1,1)</f>
        <v/>
      </c>
      <c r="S5" s="32">
        <f>DATE(YEAR(СтартМодели),MONTH(СтартМодели)+8-1,1)</f>
        <v/>
      </c>
      <c r="T5" s="32">
        <f>DATE(YEAR(СтартМодели),MONTH(СтартМодели)+9-1,1)</f>
        <v/>
      </c>
      <c r="U5" s="32">
        <f>DATE(YEAR(СтартМодели),MONTH(СтартМодели)+10-1,1)</f>
        <v/>
      </c>
      <c r="V5" s="32">
        <f>DATE(YEAR(СтартМодели),MONTH(СтартМодели)+11-1,1)</f>
        <v/>
      </c>
      <c r="W5" s="32">
        <f>DATE(YEAR(СтартМодели),MONTH(СтартМодели)+12-1,1)</f>
        <v/>
      </c>
      <c r="X5" s="32">
        <f>DATE(YEAR(СтартМодели),MONTH(СтартМодели)+13-1,1)</f>
        <v/>
      </c>
      <c r="Y5" s="32">
        <f>DATE(YEAR(СтартМодели),MONTH(СтартМодели)+14-1,1)</f>
        <v/>
      </c>
      <c r="Z5" s="32">
        <f>DATE(YEAR(СтартМодели),MONTH(СтартМодели)+15-1,1)</f>
        <v/>
      </c>
      <c r="AA5" s="32">
        <f>DATE(YEAR(СтартМодели),MONTH(СтартМодели)+16-1,1)</f>
        <v/>
      </c>
      <c r="AB5" s="32">
        <f>DATE(YEAR(СтартМодели),MONTH(СтартМодели)+17-1,1)</f>
        <v/>
      </c>
      <c r="AC5" s="32">
        <f>DATE(YEAR(СтартМодели),MONTH(СтартМодели)+18-1,1)</f>
        <v/>
      </c>
      <c r="AD5" s="32">
        <f>DATE(YEAR(СтартМодели),MONTH(СтартМодели)+19-1,1)</f>
        <v/>
      </c>
      <c r="AE5" s="32">
        <f>DATE(YEAR(СтартМодели),MONTH(СтартМодели)+20-1,1)</f>
        <v/>
      </c>
      <c r="AF5" s="32">
        <f>DATE(YEAR(СтартМодели),MONTH(СтартМодели)+21-1,1)</f>
        <v/>
      </c>
      <c r="AG5" s="32">
        <f>DATE(YEAR(СтартМодели),MONTH(СтартМодели)+22-1,1)</f>
        <v/>
      </c>
      <c r="AH5" s="32">
        <f>DATE(YEAR(СтартМодели),MONTH(СтартМодели)+23-1,1)</f>
        <v/>
      </c>
      <c r="AI5" s="32">
        <f>DATE(YEAR(СтартМодели),MONTH(СтартМодели)+24-1,1)</f>
        <v/>
      </c>
      <c r="AJ5" s="32">
        <f>DATE(YEAR(СтартМодели),MONTH(СтартМодели)+25-1,1)</f>
        <v/>
      </c>
      <c r="AK5" s="32">
        <f>DATE(YEAR(СтартМодели),MONTH(СтартМодели)+26-1,1)</f>
        <v/>
      </c>
      <c r="AL5" s="32">
        <f>DATE(YEAR(СтартМодели),MONTH(СтартМодели)+27-1,1)</f>
        <v/>
      </c>
      <c r="AM5" s="32">
        <f>DATE(YEAR(СтартМодели),MONTH(СтартМодели)+28-1,1)</f>
        <v/>
      </c>
      <c r="AN5" s="32">
        <f>DATE(YEAR(СтартМодели),MONTH(СтартМодели)+29-1,1)</f>
        <v/>
      </c>
      <c r="AO5" s="32">
        <f>DATE(YEAR(СтартМодели),MONTH(СтартМодели)+30-1,1)</f>
        <v/>
      </c>
      <c r="AP5" s="32">
        <f>DATE(YEAR(СтартМодели),MONTH(СтартМодели)+31-1,1)</f>
        <v/>
      </c>
      <c r="AQ5" s="32">
        <f>DATE(YEAR(СтартМодели),MONTH(СтартМодели)+32-1,1)</f>
        <v/>
      </c>
      <c r="AR5" s="32">
        <f>DATE(YEAR(СтартМодели),MONTH(СтартМодели)+33-1,1)</f>
        <v/>
      </c>
      <c r="AS5" s="32">
        <f>DATE(YEAR(СтартМодели),MONTH(СтартМодели)+34-1,1)</f>
        <v/>
      </c>
      <c r="AT5" s="32">
        <f>DATE(YEAR(СтартМодели),MONTH(СтартМодели)+35-1,1)</f>
        <v/>
      </c>
      <c r="AU5" s="32">
        <f>DATE(YEAR(СтартМодели),MONTH(СтартМодели)+36-1,1)</f>
        <v/>
      </c>
      <c r="AV5" s="32">
        <f>DATE(YEAR(СтартМодели),MONTH(СтартМодели)+37-1,1)</f>
        <v/>
      </c>
      <c r="AW5" s="32">
        <f>DATE(YEAR(СтартМодели),MONTH(СтартМодели)+38-1,1)</f>
        <v/>
      </c>
      <c r="AX5" s="32">
        <f>DATE(YEAR(СтартМодели),MONTH(СтартМодели)+39-1,1)</f>
        <v/>
      </c>
      <c r="AY5" s="32">
        <f>DATE(YEAR(СтартМодели),MONTH(СтартМодели)+40-1,1)</f>
        <v/>
      </c>
      <c r="AZ5" s="32">
        <f>DATE(YEAR(СтартМодели),MONTH(СтартМодели)+41-1,1)</f>
        <v/>
      </c>
      <c r="BA5" s="32">
        <f>DATE(YEAR(СтартМодели),MONTH(СтартМодели)+42-1,1)</f>
        <v/>
      </c>
      <c r="BB5" s="32">
        <f>DATE(YEAR(СтартМодели),MONTH(СтартМодели)+43-1,1)</f>
        <v/>
      </c>
      <c r="BC5" s="32">
        <f>DATE(YEAR(СтартМодели),MONTH(СтартМодели)+44-1,1)</f>
        <v/>
      </c>
      <c r="BD5" s="32">
        <f>DATE(YEAR(СтартМодели),MONTH(СтартМодели)+45-1,1)</f>
        <v/>
      </c>
      <c r="BE5" s="32">
        <f>DATE(YEAR(СтартМодели),MONTH(СтартМодели)+46-1,1)</f>
        <v/>
      </c>
      <c r="BF5" s="32">
        <f>DATE(YEAR(СтартМодели),MONTH(СтартМодели)+47-1,1)</f>
        <v/>
      </c>
      <c r="BG5" s="32">
        <f>DATE(YEAR(СтартМодели),MONTH(СтартМодели)+48-1,1)</f>
        <v/>
      </c>
      <c r="BH5" s="32">
        <f>DATE(YEAR(СтартМодели),MONTH(СтартМодели)+49-1,1)</f>
        <v/>
      </c>
      <c r="BI5" s="32">
        <f>DATE(YEAR(СтартМодели),MONTH(СтартМодели)+50-1,1)</f>
        <v/>
      </c>
      <c r="BJ5" s="32">
        <f>DATE(YEAR(СтартМодели),MONTH(СтартМодели)+51-1,1)</f>
        <v/>
      </c>
      <c r="BK5" s="32">
        <f>DATE(YEAR(СтартМодели),MONTH(СтартМодели)+52-1,1)</f>
        <v/>
      </c>
      <c r="BL5" s="32">
        <f>DATE(YEAR(СтартМодели),MONTH(СтартМодели)+53-1,1)</f>
        <v/>
      </c>
      <c r="BM5" s="32">
        <f>DATE(YEAR(СтартМодели),MONTH(СтартМодели)+54-1,1)</f>
        <v/>
      </c>
      <c r="BN5" s="32">
        <f>DATE(YEAR(СтартМодели),MONTH(СтартМодели)+55-1,1)</f>
        <v/>
      </c>
      <c r="BO5" s="32">
        <f>DATE(YEAR(СтартМодели),MONTH(СтартМодели)+56-1,1)</f>
        <v/>
      </c>
      <c r="BP5" s="32">
        <f>DATE(YEAR(СтартМодели),MONTH(СтартМодели)+57-1,1)</f>
        <v/>
      </c>
      <c r="BQ5" s="32">
        <f>DATE(YEAR(СтартМодели),MONTH(СтартМодели)+58-1,1)</f>
        <v/>
      </c>
      <c r="BR5" s="32">
        <f>DATE(YEAR(СтартМодели),MONTH(СтартМодели)+59-1,1)</f>
        <v/>
      </c>
      <c r="BS5" s="32">
        <f>DATE(YEAR(СтартМодели),MONTH(СтартМодели)+60-1,1)</f>
        <v/>
      </c>
      <c r="BT5" s="32">
        <f>DATE(YEAR(СтартМодели),MONTH(СтартМодели)+61-1,1)</f>
        <v/>
      </c>
      <c r="BU5" s="32">
        <f>DATE(YEAR(СтартМодели),MONTH(СтартМодели)+62-1,1)</f>
        <v/>
      </c>
      <c r="BV5" s="32">
        <f>DATE(YEAR(СтартМодели),MONTH(СтартМодели)+63-1,1)</f>
        <v/>
      </c>
      <c r="BW5" s="32">
        <f>DATE(YEAR(СтартМодели),MONTH(СтартМодели)+64-1,1)</f>
        <v/>
      </c>
      <c r="BX5" s="32">
        <f>DATE(YEAR(СтартМодели),MONTH(СтартМодели)+65-1,1)</f>
        <v/>
      </c>
      <c r="BY5" s="32">
        <f>DATE(YEAR(СтартМодели),MONTH(СтартМодели)+66-1,1)</f>
        <v/>
      </c>
    </row>
    <row r="6">
      <c r="B6" s="54" t="inlineStr">
        <is>
          <t>Оклады</t>
        </is>
      </c>
      <c r="C6" s="55" t="n"/>
      <c r="D6" s="55" t="n"/>
      <c r="E6" s="55" t="n"/>
      <c r="F6" s="55" t="n"/>
      <c r="G6" s="55" t="n"/>
      <c r="H6" s="55" t="n"/>
      <c r="I6" s="55" t="n"/>
      <c r="J6" s="55" t="n"/>
      <c r="K6" s="55" t="n"/>
      <c r="L6" s="55" t="n"/>
      <c r="M6" s="55" t="n"/>
      <c r="N6" s="55" t="n"/>
      <c r="O6" s="55" t="n"/>
      <c r="P6" s="55" t="n"/>
      <c r="Q6" s="55" t="n"/>
      <c r="R6" s="55" t="n"/>
      <c r="S6" s="55" t="n"/>
      <c r="T6" s="55" t="n"/>
      <c r="U6" s="55" t="n"/>
      <c r="V6" s="55" t="n"/>
      <c r="W6" s="55" t="n"/>
      <c r="X6" s="55" t="n"/>
      <c r="Y6" s="55" t="n"/>
      <c r="Z6" s="55" t="n"/>
      <c r="AA6" s="55" t="n"/>
      <c r="AB6" s="55" t="n"/>
      <c r="AC6" s="55" t="n"/>
      <c r="AD6" s="55" t="n"/>
      <c r="AE6" s="55" t="n"/>
      <c r="AF6" s="55" t="n"/>
      <c r="AG6" s="55" t="n"/>
      <c r="AH6" s="55" t="n"/>
      <c r="AI6" s="55" t="n"/>
      <c r="AJ6" s="55" t="n"/>
      <c r="AK6" s="55" t="n"/>
      <c r="AL6" s="55" t="n"/>
      <c r="AM6" s="55" t="n"/>
      <c r="AN6" s="55" t="n"/>
      <c r="AO6" s="55" t="n"/>
      <c r="AP6" s="55" t="n"/>
      <c r="AQ6" s="55" t="n"/>
      <c r="AR6" s="55" t="n"/>
      <c r="AS6" s="55" t="n"/>
      <c r="AT6" s="55" t="n"/>
      <c r="AU6" s="55" t="n"/>
      <c r="AV6" s="55" t="n"/>
      <c r="AW6" s="55" t="n"/>
      <c r="AX6" s="55" t="n"/>
      <c r="AY6" s="55" t="n"/>
      <c r="AZ6" s="55" t="n"/>
      <c r="BA6" s="55" t="n"/>
      <c r="BB6" s="55" t="n"/>
      <c r="BC6" s="55" t="n"/>
      <c r="BD6" s="55" t="n"/>
      <c r="BE6" s="55" t="n"/>
      <c r="BF6" s="55" t="n"/>
      <c r="BG6" s="55" t="n"/>
      <c r="BH6" s="55" t="n"/>
      <c r="BI6" s="55" t="n"/>
      <c r="BJ6" s="55" t="n"/>
      <c r="BK6" s="55" t="n"/>
      <c r="BL6" s="55" t="n"/>
      <c r="BM6" s="55" t="n"/>
      <c r="BN6" s="55" t="n"/>
      <c r="BO6" s="55" t="n"/>
      <c r="BP6" s="55" t="n"/>
      <c r="BQ6" s="55" t="n"/>
      <c r="BR6" s="55" t="n"/>
      <c r="BS6" s="55" t="n"/>
      <c r="BT6" s="55" t="n"/>
      <c r="BU6" s="55" t="n"/>
      <c r="BV6" s="55" t="n"/>
      <c r="BW6" s="55" t="n"/>
      <c r="BX6" s="55" t="n"/>
      <c r="BY6" s="55" t="n"/>
    </row>
    <row r="7">
      <c r="B7" s="56" t="inlineStr">
        <is>
          <t>Индекс окладов</t>
        </is>
      </c>
      <c r="C7" s="56" t="inlineStr">
        <is>
          <t>коэфф.</t>
        </is>
      </c>
      <c r="D7" s="57" t="inlineStr">
        <is>
          <t>Оклады индексируются каждое 1 сентября В колонках лет — значение на конец года, в «Итого» — на конец пятого года. Это остаток, а не сумма.</t>
        </is>
      </c>
      <c r="E7" s="169">
        <f>W7</f>
        <v/>
      </c>
      <c r="F7" s="169">
        <f>AI7</f>
        <v/>
      </c>
      <c r="G7" s="169">
        <f>AU7</f>
        <v/>
      </c>
      <c r="H7" s="169">
        <f>BG7</f>
        <v/>
      </c>
      <c r="I7" s="169">
        <f>BS7</f>
        <v/>
      </c>
      <c r="J7" s="170">
        <f>BS7</f>
        <v/>
      </c>
      <c r="L7" s="171">
        <f>(1+ИнфляцияЗарплат)^MAX(0,YEAR('03_Сеть'!L7)-YEAR(ДатаИндексацииЗП)+IF(MONTH('03_Сеть'!L7)&gt;=MONTH(ДатаИндексацииЗП),1,0))</f>
        <v/>
      </c>
      <c r="M7" s="171">
        <f>(1+ИнфляцияЗарплат)^MAX(0,YEAR('03_Сеть'!M7)-YEAR(ДатаИндексацииЗП)+IF(MONTH('03_Сеть'!M7)&gt;=MONTH(ДатаИндексацииЗП),1,0))</f>
        <v/>
      </c>
      <c r="N7" s="171">
        <f>(1+ИнфляцияЗарплат)^MAX(0,YEAR('03_Сеть'!N7)-YEAR(ДатаИндексацииЗП)+IF(MONTH('03_Сеть'!N7)&gt;=MONTH(ДатаИндексацииЗП),1,0))</f>
        <v/>
      </c>
      <c r="O7" s="171">
        <f>(1+ИнфляцияЗарплат)^MAX(0,YEAR('03_Сеть'!O7)-YEAR(ДатаИндексацииЗП)+IF(MONTH('03_Сеть'!O7)&gt;=MONTH(ДатаИндексацииЗП),1,0))</f>
        <v/>
      </c>
      <c r="P7" s="171">
        <f>(1+ИнфляцияЗарплат)^MAX(0,YEAR('03_Сеть'!P7)-YEAR(ДатаИндексацииЗП)+IF(MONTH('03_Сеть'!P7)&gt;=MONTH(ДатаИндексацииЗП),1,0))</f>
        <v/>
      </c>
      <c r="Q7" s="171">
        <f>(1+ИнфляцияЗарплат)^MAX(0,YEAR('03_Сеть'!Q7)-YEAR(ДатаИндексацииЗП)+IF(MONTH('03_Сеть'!Q7)&gt;=MONTH(ДатаИндексацииЗП),1,0))</f>
        <v/>
      </c>
      <c r="R7" s="171">
        <f>(1+ИнфляцияЗарплат)^MAX(0,YEAR('03_Сеть'!R7)-YEAR(ДатаИндексацииЗП)+IF(MONTH('03_Сеть'!R7)&gt;=MONTH(ДатаИндексацииЗП),1,0))</f>
        <v/>
      </c>
      <c r="S7" s="171">
        <f>(1+ИнфляцияЗарплат)^MAX(0,YEAR('03_Сеть'!S7)-YEAR(ДатаИндексацииЗП)+IF(MONTH('03_Сеть'!S7)&gt;=MONTH(ДатаИндексацииЗП),1,0))</f>
        <v/>
      </c>
      <c r="T7" s="171">
        <f>(1+ИнфляцияЗарплат)^MAX(0,YEAR('03_Сеть'!T7)-YEAR(ДатаИндексацииЗП)+IF(MONTH('03_Сеть'!T7)&gt;=MONTH(ДатаИндексацииЗП),1,0))</f>
        <v/>
      </c>
      <c r="U7" s="171">
        <f>(1+ИнфляцияЗарплат)^MAX(0,YEAR('03_Сеть'!U7)-YEAR(ДатаИндексацииЗП)+IF(MONTH('03_Сеть'!U7)&gt;=MONTH(ДатаИндексацииЗП),1,0))</f>
        <v/>
      </c>
      <c r="V7" s="171">
        <f>(1+ИнфляцияЗарплат)^MAX(0,YEAR('03_Сеть'!V7)-YEAR(ДатаИндексацииЗП)+IF(MONTH('03_Сеть'!V7)&gt;=MONTH(ДатаИндексацииЗП),1,0))</f>
        <v/>
      </c>
      <c r="W7" s="171">
        <f>(1+ИнфляцияЗарплат)^MAX(0,YEAR('03_Сеть'!W7)-YEAR(ДатаИндексацииЗП)+IF(MONTH('03_Сеть'!W7)&gt;=MONTH(ДатаИндексацииЗП),1,0))</f>
        <v/>
      </c>
      <c r="X7" s="171">
        <f>(1+ИнфляцияЗарплат)^MAX(0,YEAR('03_Сеть'!X7)-YEAR(ДатаИндексацииЗП)+IF(MONTH('03_Сеть'!X7)&gt;=MONTH(ДатаИндексацииЗП),1,0))</f>
        <v/>
      </c>
      <c r="Y7" s="171">
        <f>(1+ИнфляцияЗарплат)^MAX(0,YEAR('03_Сеть'!Y7)-YEAR(ДатаИндексацииЗП)+IF(MONTH('03_Сеть'!Y7)&gt;=MONTH(ДатаИндексацииЗП),1,0))</f>
        <v/>
      </c>
      <c r="Z7" s="171">
        <f>(1+ИнфляцияЗарплат)^MAX(0,YEAR('03_Сеть'!Z7)-YEAR(ДатаИндексацииЗП)+IF(MONTH('03_Сеть'!Z7)&gt;=MONTH(ДатаИндексацииЗП),1,0))</f>
        <v/>
      </c>
      <c r="AA7" s="171">
        <f>(1+ИнфляцияЗарплат)^MAX(0,YEAR('03_Сеть'!AA7)-YEAR(ДатаИндексацииЗП)+IF(MONTH('03_Сеть'!AA7)&gt;=MONTH(ДатаИндексацииЗП),1,0))</f>
        <v/>
      </c>
      <c r="AB7" s="171">
        <f>(1+ИнфляцияЗарплат)^MAX(0,YEAR('03_Сеть'!AB7)-YEAR(ДатаИндексацииЗП)+IF(MONTH('03_Сеть'!AB7)&gt;=MONTH(ДатаИндексацииЗП),1,0))</f>
        <v/>
      </c>
      <c r="AC7" s="171">
        <f>(1+ИнфляцияЗарплат)^MAX(0,YEAR('03_Сеть'!AC7)-YEAR(ДатаИндексацииЗП)+IF(MONTH('03_Сеть'!AC7)&gt;=MONTH(ДатаИндексацииЗП),1,0))</f>
        <v/>
      </c>
      <c r="AD7" s="171">
        <f>(1+ИнфляцияЗарплат)^MAX(0,YEAR('03_Сеть'!AD7)-YEAR(ДатаИндексацииЗП)+IF(MONTH('03_Сеть'!AD7)&gt;=MONTH(ДатаИндексацииЗП),1,0))</f>
        <v/>
      </c>
      <c r="AE7" s="171">
        <f>(1+ИнфляцияЗарплат)^MAX(0,YEAR('03_Сеть'!AE7)-YEAR(ДатаИндексацииЗП)+IF(MONTH('03_Сеть'!AE7)&gt;=MONTH(ДатаИндексацииЗП),1,0))</f>
        <v/>
      </c>
      <c r="AF7" s="171">
        <f>(1+ИнфляцияЗарплат)^MAX(0,YEAR('03_Сеть'!AF7)-YEAR(ДатаИндексацииЗП)+IF(MONTH('03_Сеть'!AF7)&gt;=MONTH(ДатаИндексацииЗП),1,0))</f>
        <v/>
      </c>
      <c r="AG7" s="171">
        <f>(1+ИнфляцияЗарплат)^MAX(0,YEAR('03_Сеть'!AG7)-YEAR(ДатаИндексацииЗП)+IF(MONTH('03_Сеть'!AG7)&gt;=MONTH(ДатаИндексацииЗП),1,0))</f>
        <v/>
      </c>
      <c r="AH7" s="171">
        <f>(1+ИнфляцияЗарплат)^MAX(0,YEAR('03_Сеть'!AH7)-YEAR(ДатаИндексацииЗП)+IF(MONTH('03_Сеть'!AH7)&gt;=MONTH(ДатаИндексацииЗП),1,0))</f>
        <v/>
      </c>
      <c r="AI7" s="171">
        <f>(1+ИнфляцияЗарплат)^MAX(0,YEAR('03_Сеть'!AI7)-YEAR(ДатаИндексацииЗП)+IF(MONTH('03_Сеть'!AI7)&gt;=MONTH(ДатаИндексацииЗП),1,0))</f>
        <v/>
      </c>
      <c r="AJ7" s="171">
        <f>(1+ИнфляцияЗарплат)^MAX(0,YEAR('03_Сеть'!AJ7)-YEAR(ДатаИндексацииЗП)+IF(MONTH('03_Сеть'!AJ7)&gt;=MONTH(ДатаИндексацииЗП),1,0))</f>
        <v/>
      </c>
      <c r="AK7" s="171">
        <f>(1+ИнфляцияЗарплат)^MAX(0,YEAR('03_Сеть'!AK7)-YEAR(ДатаИндексацииЗП)+IF(MONTH('03_Сеть'!AK7)&gt;=MONTH(ДатаИндексацииЗП),1,0))</f>
        <v/>
      </c>
      <c r="AL7" s="171">
        <f>(1+ИнфляцияЗарплат)^MAX(0,YEAR('03_Сеть'!AL7)-YEAR(ДатаИндексацииЗП)+IF(MONTH('03_Сеть'!AL7)&gt;=MONTH(ДатаИндексацииЗП),1,0))</f>
        <v/>
      </c>
      <c r="AM7" s="171">
        <f>(1+ИнфляцияЗарплат)^MAX(0,YEAR('03_Сеть'!AM7)-YEAR(ДатаИндексацииЗП)+IF(MONTH('03_Сеть'!AM7)&gt;=MONTH(ДатаИндексацииЗП),1,0))</f>
        <v/>
      </c>
      <c r="AN7" s="171">
        <f>(1+ИнфляцияЗарплат)^MAX(0,YEAR('03_Сеть'!AN7)-YEAR(ДатаИндексацииЗП)+IF(MONTH('03_Сеть'!AN7)&gt;=MONTH(ДатаИндексацииЗП),1,0))</f>
        <v/>
      </c>
      <c r="AO7" s="171">
        <f>(1+ИнфляцияЗарплат)^MAX(0,YEAR('03_Сеть'!AO7)-YEAR(ДатаИндексацииЗП)+IF(MONTH('03_Сеть'!AO7)&gt;=MONTH(ДатаИндексацииЗП),1,0))</f>
        <v/>
      </c>
      <c r="AP7" s="171">
        <f>(1+ИнфляцияЗарплат)^MAX(0,YEAR('03_Сеть'!AP7)-YEAR(ДатаИндексацииЗП)+IF(MONTH('03_Сеть'!AP7)&gt;=MONTH(ДатаИндексацииЗП),1,0))</f>
        <v/>
      </c>
      <c r="AQ7" s="171">
        <f>(1+ИнфляцияЗарплат)^MAX(0,YEAR('03_Сеть'!AQ7)-YEAR(ДатаИндексацииЗП)+IF(MONTH('03_Сеть'!AQ7)&gt;=MONTH(ДатаИндексацииЗП),1,0))</f>
        <v/>
      </c>
      <c r="AR7" s="171">
        <f>(1+ИнфляцияЗарплат)^MAX(0,YEAR('03_Сеть'!AR7)-YEAR(ДатаИндексацииЗП)+IF(MONTH('03_Сеть'!AR7)&gt;=MONTH(ДатаИндексацииЗП),1,0))</f>
        <v/>
      </c>
      <c r="AS7" s="171">
        <f>(1+ИнфляцияЗарплат)^MAX(0,YEAR('03_Сеть'!AS7)-YEAR(ДатаИндексацииЗП)+IF(MONTH('03_Сеть'!AS7)&gt;=MONTH(ДатаИндексацииЗП),1,0))</f>
        <v/>
      </c>
      <c r="AT7" s="171">
        <f>(1+ИнфляцияЗарплат)^MAX(0,YEAR('03_Сеть'!AT7)-YEAR(ДатаИндексацииЗП)+IF(MONTH('03_Сеть'!AT7)&gt;=MONTH(ДатаИндексацииЗП),1,0))</f>
        <v/>
      </c>
      <c r="AU7" s="171">
        <f>(1+ИнфляцияЗарплат)^MAX(0,YEAR('03_Сеть'!AU7)-YEAR(ДатаИндексацииЗП)+IF(MONTH('03_Сеть'!AU7)&gt;=MONTH(ДатаИндексацииЗП),1,0))</f>
        <v/>
      </c>
      <c r="AV7" s="171">
        <f>(1+ИнфляцияЗарплат)^MAX(0,YEAR('03_Сеть'!AV7)-YEAR(ДатаИндексацииЗП)+IF(MONTH('03_Сеть'!AV7)&gt;=MONTH(ДатаИндексацииЗП),1,0))</f>
        <v/>
      </c>
      <c r="AW7" s="171">
        <f>(1+ИнфляцияЗарплат)^MAX(0,YEAR('03_Сеть'!AW7)-YEAR(ДатаИндексацииЗП)+IF(MONTH('03_Сеть'!AW7)&gt;=MONTH(ДатаИндексацииЗП),1,0))</f>
        <v/>
      </c>
      <c r="AX7" s="171">
        <f>(1+ИнфляцияЗарплат)^MAX(0,YEAR('03_Сеть'!AX7)-YEAR(ДатаИндексацииЗП)+IF(MONTH('03_Сеть'!AX7)&gt;=MONTH(ДатаИндексацииЗП),1,0))</f>
        <v/>
      </c>
      <c r="AY7" s="171">
        <f>(1+ИнфляцияЗарплат)^MAX(0,YEAR('03_Сеть'!AY7)-YEAR(ДатаИндексацииЗП)+IF(MONTH('03_Сеть'!AY7)&gt;=MONTH(ДатаИндексацииЗП),1,0))</f>
        <v/>
      </c>
      <c r="AZ7" s="171">
        <f>(1+ИнфляцияЗарплат)^MAX(0,YEAR('03_Сеть'!AZ7)-YEAR(ДатаИндексацииЗП)+IF(MONTH('03_Сеть'!AZ7)&gt;=MONTH(ДатаИндексацииЗП),1,0))</f>
        <v/>
      </c>
      <c r="BA7" s="171">
        <f>(1+ИнфляцияЗарплат)^MAX(0,YEAR('03_Сеть'!BA7)-YEAR(ДатаИндексацииЗП)+IF(MONTH('03_Сеть'!BA7)&gt;=MONTH(ДатаИндексацииЗП),1,0))</f>
        <v/>
      </c>
      <c r="BB7" s="171">
        <f>(1+ИнфляцияЗарплат)^MAX(0,YEAR('03_Сеть'!BB7)-YEAR(ДатаИндексацииЗП)+IF(MONTH('03_Сеть'!BB7)&gt;=MONTH(ДатаИндексацииЗП),1,0))</f>
        <v/>
      </c>
      <c r="BC7" s="171">
        <f>(1+ИнфляцияЗарплат)^MAX(0,YEAR('03_Сеть'!BC7)-YEAR(ДатаИндексацииЗП)+IF(MONTH('03_Сеть'!BC7)&gt;=MONTH(ДатаИндексацииЗП),1,0))</f>
        <v/>
      </c>
      <c r="BD7" s="171">
        <f>(1+ИнфляцияЗарплат)^MAX(0,YEAR('03_Сеть'!BD7)-YEAR(ДатаИндексацииЗП)+IF(MONTH('03_Сеть'!BD7)&gt;=MONTH(ДатаИндексацииЗП),1,0))</f>
        <v/>
      </c>
      <c r="BE7" s="171">
        <f>(1+ИнфляцияЗарплат)^MAX(0,YEAR('03_Сеть'!BE7)-YEAR(ДатаИндексацииЗП)+IF(MONTH('03_Сеть'!BE7)&gt;=MONTH(ДатаИндексацииЗП),1,0))</f>
        <v/>
      </c>
      <c r="BF7" s="171">
        <f>(1+ИнфляцияЗарплат)^MAX(0,YEAR('03_Сеть'!BF7)-YEAR(ДатаИндексацииЗП)+IF(MONTH('03_Сеть'!BF7)&gt;=MONTH(ДатаИндексацииЗП),1,0))</f>
        <v/>
      </c>
      <c r="BG7" s="171">
        <f>(1+ИнфляцияЗарплат)^MAX(0,YEAR('03_Сеть'!BG7)-YEAR(ДатаИндексацииЗП)+IF(MONTH('03_Сеть'!BG7)&gt;=MONTH(ДатаИндексацииЗП),1,0))</f>
        <v/>
      </c>
      <c r="BH7" s="171">
        <f>(1+ИнфляцияЗарплат)^MAX(0,YEAR('03_Сеть'!BH7)-YEAR(ДатаИндексацииЗП)+IF(MONTH('03_Сеть'!BH7)&gt;=MONTH(ДатаИндексацииЗП),1,0))</f>
        <v/>
      </c>
      <c r="BI7" s="171">
        <f>(1+ИнфляцияЗарплат)^MAX(0,YEAR('03_Сеть'!BI7)-YEAR(ДатаИндексацииЗП)+IF(MONTH('03_Сеть'!BI7)&gt;=MONTH(ДатаИндексацииЗП),1,0))</f>
        <v/>
      </c>
      <c r="BJ7" s="171">
        <f>(1+ИнфляцияЗарплат)^MAX(0,YEAR('03_Сеть'!BJ7)-YEAR(ДатаИндексацииЗП)+IF(MONTH('03_Сеть'!BJ7)&gt;=MONTH(ДатаИндексацииЗП),1,0))</f>
        <v/>
      </c>
      <c r="BK7" s="171">
        <f>(1+ИнфляцияЗарплат)^MAX(0,YEAR('03_Сеть'!BK7)-YEAR(ДатаИндексацииЗП)+IF(MONTH('03_Сеть'!BK7)&gt;=MONTH(ДатаИндексацииЗП),1,0))</f>
        <v/>
      </c>
      <c r="BL7" s="171">
        <f>(1+ИнфляцияЗарплат)^MAX(0,YEAR('03_Сеть'!BL7)-YEAR(ДатаИндексацииЗП)+IF(MONTH('03_Сеть'!BL7)&gt;=MONTH(ДатаИндексацииЗП),1,0))</f>
        <v/>
      </c>
      <c r="BM7" s="171">
        <f>(1+ИнфляцияЗарплат)^MAX(0,YEAR('03_Сеть'!BM7)-YEAR(ДатаИндексацииЗП)+IF(MONTH('03_Сеть'!BM7)&gt;=MONTH(ДатаИндексацииЗП),1,0))</f>
        <v/>
      </c>
      <c r="BN7" s="171">
        <f>(1+ИнфляцияЗарплат)^MAX(0,YEAR('03_Сеть'!BN7)-YEAR(ДатаИндексацииЗП)+IF(MONTH('03_Сеть'!BN7)&gt;=MONTH(ДатаИндексацииЗП),1,0))</f>
        <v/>
      </c>
      <c r="BO7" s="171">
        <f>(1+ИнфляцияЗарплат)^MAX(0,YEAR('03_Сеть'!BO7)-YEAR(ДатаИндексацииЗП)+IF(MONTH('03_Сеть'!BO7)&gt;=MONTH(ДатаИндексацииЗП),1,0))</f>
        <v/>
      </c>
      <c r="BP7" s="171">
        <f>(1+ИнфляцияЗарплат)^MAX(0,YEAR('03_Сеть'!BP7)-YEAR(ДатаИндексацииЗП)+IF(MONTH('03_Сеть'!BP7)&gt;=MONTH(ДатаИндексацииЗП),1,0))</f>
        <v/>
      </c>
      <c r="BQ7" s="171">
        <f>(1+ИнфляцияЗарплат)^MAX(0,YEAR('03_Сеть'!BQ7)-YEAR(ДатаИндексацииЗП)+IF(MONTH('03_Сеть'!BQ7)&gt;=MONTH(ДатаИндексацииЗП),1,0))</f>
        <v/>
      </c>
      <c r="BR7" s="171">
        <f>(1+ИнфляцияЗарплат)^MAX(0,YEAR('03_Сеть'!BR7)-YEAR(ДатаИндексацииЗП)+IF(MONTH('03_Сеть'!BR7)&gt;=MONTH(ДатаИндексацииЗП),1,0))</f>
        <v/>
      </c>
      <c r="BS7" s="171">
        <f>(1+ИнфляцияЗарплат)^MAX(0,YEAR('03_Сеть'!BS7)-YEAR(ДатаИндексацииЗП)+IF(MONTH('03_Сеть'!BS7)&gt;=MONTH(ДатаИндексацииЗП),1,0))</f>
        <v/>
      </c>
      <c r="BT7" s="171">
        <f>(1+ИнфляцияЗарплат)^MAX(0,YEAR('03_Сеть'!BT7)-YEAR(ДатаИндексацииЗП)+IF(MONTH('03_Сеть'!BT7)&gt;=MONTH(ДатаИндексацииЗП),1,0))</f>
        <v/>
      </c>
      <c r="BU7" s="171">
        <f>(1+ИнфляцияЗарплат)^MAX(0,YEAR('03_Сеть'!BU7)-YEAR(ДатаИндексацииЗП)+IF(MONTH('03_Сеть'!BU7)&gt;=MONTH(ДатаИндексацииЗП),1,0))</f>
        <v/>
      </c>
      <c r="BV7" s="171">
        <f>(1+ИнфляцияЗарплат)^MAX(0,YEAR('03_Сеть'!BV7)-YEAR(ДатаИндексацииЗП)+IF(MONTH('03_Сеть'!BV7)&gt;=MONTH(ДатаИндексацииЗП),1,0))</f>
        <v/>
      </c>
      <c r="BW7" s="171">
        <f>(1+ИнфляцияЗарплат)^MAX(0,YEAR('03_Сеть'!BW7)-YEAR(ДатаИндексацииЗП)+IF(MONTH('03_Сеть'!BW7)&gt;=MONTH(ДатаИндексацииЗП),1,0))</f>
        <v/>
      </c>
      <c r="BX7" s="171">
        <f>(1+ИнфляцияЗарплат)^MAX(0,YEAR('03_Сеть'!BX7)-YEAR(ДатаИндексацииЗП)+IF(MONTH('03_Сеть'!BX7)&gt;=MONTH(ДатаИндексацииЗП),1,0))</f>
        <v/>
      </c>
      <c r="BY7" s="171">
        <f>(1+ИнфляцияЗарплат)^MAX(0,YEAR('03_Сеть'!BY7)-YEAR(ДатаИндексацииЗП)+IF(MONTH('03_Сеть'!BY7)&gt;=MONTH(ДатаИндексацииЗП),1,0))</f>
        <v/>
      </c>
    </row>
    <row r="8">
      <c r="B8" s="56" t="inlineStr">
        <is>
          <t>Повышение оклада ГД</t>
        </is>
      </c>
      <c r="C8" s="56" t="inlineStr">
        <is>
          <t>₽</t>
        </is>
      </c>
      <c r="D8" s="57" t="inlineStr">
        <is>
          <t>Прибавка генеральному директору с назначенной даты</t>
        </is>
      </c>
      <c r="E8" s="85">
        <f>SUM(L8:W8)</f>
        <v/>
      </c>
      <c r="F8" s="85">
        <f>SUM(X8:AI8)</f>
        <v/>
      </c>
      <c r="G8" s="85">
        <f>SUM(AJ8:AU8)</f>
        <v/>
      </c>
      <c r="H8" s="85">
        <f>SUM(AV8:BG8)</f>
        <v/>
      </c>
      <c r="I8" s="85">
        <f>SUM(BH8:BS8)</f>
        <v/>
      </c>
      <c r="J8" s="86">
        <f>SUM(L8:BS8)</f>
        <v/>
      </c>
      <c r="L8" s="87">
        <f>IF('03_Сеть'!L7&gt;=ДатаПовышенияГД,ПовышениеГД/NetGross*(1+ИнфляцияЗарплат)^MAX(0,YEAR('03_Сеть'!L7)-YEAR(ДатаПовышенияГД)+IF(MONTH('03_Сеть'!L7)&gt;=9,1,0)-IF(MONTH(ДатаПовышенияГД)&gt;=9,1,0)),0)</f>
        <v/>
      </c>
      <c r="M8" s="87">
        <f>IF('03_Сеть'!M7&gt;=ДатаПовышенияГД,ПовышениеГД/NetGross*(1+ИнфляцияЗарплат)^MAX(0,YEAR('03_Сеть'!M7)-YEAR(ДатаПовышенияГД)+IF(MONTH('03_Сеть'!M7)&gt;=9,1,0)-IF(MONTH(ДатаПовышенияГД)&gt;=9,1,0)),0)</f>
        <v/>
      </c>
      <c r="N8" s="87">
        <f>IF('03_Сеть'!N7&gt;=ДатаПовышенияГД,ПовышениеГД/NetGross*(1+ИнфляцияЗарплат)^MAX(0,YEAR('03_Сеть'!N7)-YEAR(ДатаПовышенияГД)+IF(MONTH('03_Сеть'!N7)&gt;=9,1,0)-IF(MONTH(ДатаПовышенияГД)&gt;=9,1,0)),0)</f>
        <v/>
      </c>
      <c r="O8" s="87">
        <f>IF('03_Сеть'!O7&gt;=ДатаПовышенияГД,ПовышениеГД/NetGross*(1+ИнфляцияЗарплат)^MAX(0,YEAR('03_Сеть'!O7)-YEAR(ДатаПовышенияГД)+IF(MONTH('03_Сеть'!O7)&gt;=9,1,0)-IF(MONTH(ДатаПовышенияГД)&gt;=9,1,0)),0)</f>
        <v/>
      </c>
      <c r="P8" s="87">
        <f>IF('03_Сеть'!P7&gt;=ДатаПовышенияГД,ПовышениеГД/NetGross*(1+ИнфляцияЗарплат)^MAX(0,YEAR('03_Сеть'!P7)-YEAR(ДатаПовышенияГД)+IF(MONTH('03_Сеть'!P7)&gt;=9,1,0)-IF(MONTH(ДатаПовышенияГД)&gt;=9,1,0)),0)</f>
        <v/>
      </c>
      <c r="Q8" s="87">
        <f>IF('03_Сеть'!Q7&gt;=ДатаПовышенияГД,ПовышениеГД/NetGross*(1+ИнфляцияЗарплат)^MAX(0,YEAR('03_Сеть'!Q7)-YEAR(ДатаПовышенияГД)+IF(MONTH('03_Сеть'!Q7)&gt;=9,1,0)-IF(MONTH(ДатаПовышенияГД)&gt;=9,1,0)),0)</f>
        <v/>
      </c>
      <c r="R8" s="87">
        <f>IF('03_Сеть'!R7&gt;=ДатаПовышенияГД,ПовышениеГД/NetGross*(1+ИнфляцияЗарплат)^MAX(0,YEAR('03_Сеть'!R7)-YEAR(ДатаПовышенияГД)+IF(MONTH('03_Сеть'!R7)&gt;=9,1,0)-IF(MONTH(ДатаПовышенияГД)&gt;=9,1,0)),0)</f>
        <v/>
      </c>
      <c r="S8" s="87">
        <f>IF('03_Сеть'!S7&gt;=ДатаПовышенияГД,ПовышениеГД/NetGross*(1+ИнфляцияЗарплат)^MAX(0,YEAR('03_Сеть'!S7)-YEAR(ДатаПовышенияГД)+IF(MONTH('03_Сеть'!S7)&gt;=9,1,0)-IF(MONTH(ДатаПовышенияГД)&gt;=9,1,0)),0)</f>
        <v/>
      </c>
      <c r="T8" s="87">
        <f>IF('03_Сеть'!T7&gt;=ДатаПовышенияГД,ПовышениеГД/NetGross*(1+ИнфляцияЗарплат)^MAX(0,YEAR('03_Сеть'!T7)-YEAR(ДатаПовышенияГД)+IF(MONTH('03_Сеть'!T7)&gt;=9,1,0)-IF(MONTH(ДатаПовышенияГД)&gt;=9,1,0)),0)</f>
        <v/>
      </c>
      <c r="U8" s="87">
        <f>IF('03_Сеть'!U7&gt;=ДатаПовышенияГД,ПовышениеГД/NetGross*(1+ИнфляцияЗарплат)^MAX(0,YEAR('03_Сеть'!U7)-YEAR(ДатаПовышенияГД)+IF(MONTH('03_Сеть'!U7)&gt;=9,1,0)-IF(MONTH(ДатаПовышенияГД)&gt;=9,1,0)),0)</f>
        <v/>
      </c>
      <c r="V8" s="87">
        <f>IF('03_Сеть'!V7&gt;=ДатаПовышенияГД,ПовышениеГД/NetGross*(1+ИнфляцияЗарплат)^MAX(0,YEAR('03_Сеть'!V7)-YEAR(ДатаПовышенияГД)+IF(MONTH('03_Сеть'!V7)&gt;=9,1,0)-IF(MONTH(ДатаПовышенияГД)&gt;=9,1,0)),0)</f>
        <v/>
      </c>
      <c r="W8" s="87">
        <f>IF('03_Сеть'!W7&gt;=ДатаПовышенияГД,ПовышениеГД/NetGross*(1+ИнфляцияЗарплат)^MAX(0,YEAR('03_Сеть'!W7)-YEAR(ДатаПовышенияГД)+IF(MONTH('03_Сеть'!W7)&gt;=9,1,0)-IF(MONTH(ДатаПовышенияГД)&gt;=9,1,0)),0)</f>
        <v/>
      </c>
      <c r="X8" s="87">
        <f>IF('03_Сеть'!X7&gt;=ДатаПовышенияГД,ПовышениеГД/NetGross*(1+ИнфляцияЗарплат)^MAX(0,YEAR('03_Сеть'!X7)-YEAR(ДатаПовышенияГД)+IF(MONTH('03_Сеть'!X7)&gt;=9,1,0)-IF(MONTH(ДатаПовышенияГД)&gt;=9,1,0)),0)</f>
        <v/>
      </c>
      <c r="Y8" s="87">
        <f>IF('03_Сеть'!Y7&gt;=ДатаПовышенияГД,ПовышениеГД/NetGross*(1+ИнфляцияЗарплат)^MAX(0,YEAR('03_Сеть'!Y7)-YEAR(ДатаПовышенияГД)+IF(MONTH('03_Сеть'!Y7)&gt;=9,1,0)-IF(MONTH(ДатаПовышенияГД)&gt;=9,1,0)),0)</f>
        <v/>
      </c>
      <c r="Z8" s="87">
        <f>IF('03_Сеть'!Z7&gt;=ДатаПовышенияГД,ПовышениеГД/NetGross*(1+ИнфляцияЗарплат)^MAX(0,YEAR('03_Сеть'!Z7)-YEAR(ДатаПовышенияГД)+IF(MONTH('03_Сеть'!Z7)&gt;=9,1,0)-IF(MONTH(ДатаПовышенияГД)&gt;=9,1,0)),0)</f>
        <v/>
      </c>
      <c r="AA8" s="87">
        <f>IF('03_Сеть'!AA7&gt;=ДатаПовышенияГД,ПовышениеГД/NetGross*(1+ИнфляцияЗарплат)^MAX(0,YEAR('03_Сеть'!AA7)-YEAR(ДатаПовышенияГД)+IF(MONTH('03_Сеть'!AA7)&gt;=9,1,0)-IF(MONTH(ДатаПовышенияГД)&gt;=9,1,0)),0)</f>
        <v/>
      </c>
      <c r="AB8" s="87">
        <f>IF('03_Сеть'!AB7&gt;=ДатаПовышенияГД,ПовышениеГД/NetGross*(1+ИнфляцияЗарплат)^MAX(0,YEAR('03_Сеть'!AB7)-YEAR(ДатаПовышенияГД)+IF(MONTH('03_Сеть'!AB7)&gt;=9,1,0)-IF(MONTH(ДатаПовышенияГД)&gt;=9,1,0)),0)</f>
        <v/>
      </c>
      <c r="AC8" s="87">
        <f>IF('03_Сеть'!AC7&gt;=ДатаПовышенияГД,ПовышениеГД/NetGross*(1+ИнфляцияЗарплат)^MAX(0,YEAR('03_Сеть'!AC7)-YEAR(ДатаПовышенияГД)+IF(MONTH('03_Сеть'!AC7)&gt;=9,1,0)-IF(MONTH(ДатаПовышенияГД)&gt;=9,1,0)),0)</f>
        <v/>
      </c>
      <c r="AD8" s="87">
        <f>IF('03_Сеть'!AD7&gt;=ДатаПовышенияГД,ПовышениеГД/NetGross*(1+ИнфляцияЗарплат)^MAX(0,YEAR('03_Сеть'!AD7)-YEAR(ДатаПовышенияГД)+IF(MONTH('03_Сеть'!AD7)&gt;=9,1,0)-IF(MONTH(ДатаПовышенияГД)&gt;=9,1,0)),0)</f>
        <v/>
      </c>
      <c r="AE8" s="87">
        <f>IF('03_Сеть'!AE7&gt;=ДатаПовышенияГД,ПовышениеГД/NetGross*(1+ИнфляцияЗарплат)^MAX(0,YEAR('03_Сеть'!AE7)-YEAR(ДатаПовышенияГД)+IF(MONTH('03_Сеть'!AE7)&gt;=9,1,0)-IF(MONTH(ДатаПовышенияГД)&gt;=9,1,0)),0)</f>
        <v/>
      </c>
      <c r="AF8" s="87">
        <f>IF('03_Сеть'!AF7&gt;=ДатаПовышенияГД,ПовышениеГД/NetGross*(1+ИнфляцияЗарплат)^MAX(0,YEAR('03_Сеть'!AF7)-YEAR(ДатаПовышенияГД)+IF(MONTH('03_Сеть'!AF7)&gt;=9,1,0)-IF(MONTH(ДатаПовышенияГД)&gt;=9,1,0)),0)</f>
        <v/>
      </c>
      <c r="AG8" s="87">
        <f>IF('03_Сеть'!AG7&gt;=ДатаПовышенияГД,ПовышениеГД/NetGross*(1+ИнфляцияЗарплат)^MAX(0,YEAR('03_Сеть'!AG7)-YEAR(ДатаПовышенияГД)+IF(MONTH('03_Сеть'!AG7)&gt;=9,1,0)-IF(MONTH(ДатаПовышенияГД)&gt;=9,1,0)),0)</f>
        <v/>
      </c>
      <c r="AH8" s="87">
        <f>IF('03_Сеть'!AH7&gt;=ДатаПовышенияГД,ПовышениеГД/NetGross*(1+ИнфляцияЗарплат)^MAX(0,YEAR('03_Сеть'!AH7)-YEAR(ДатаПовышенияГД)+IF(MONTH('03_Сеть'!AH7)&gt;=9,1,0)-IF(MONTH(ДатаПовышенияГД)&gt;=9,1,0)),0)</f>
        <v/>
      </c>
      <c r="AI8" s="87">
        <f>IF('03_Сеть'!AI7&gt;=ДатаПовышенияГД,ПовышениеГД/NetGross*(1+ИнфляцияЗарплат)^MAX(0,YEAR('03_Сеть'!AI7)-YEAR(ДатаПовышенияГД)+IF(MONTH('03_Сеть'!AI7)&gt;=9,1,0)-IF(MONTH(ДатаПовышенияГД)&gt;=9,1,0)),0)</f>
        <v/>
      </c>
      <c r="AJ8" s="87">
        <f>IF('03_Сеть'!AJ7&gt;=ДатаПовышенияГД,ПовышениеГД/NetGross*(1+ИнфляцияЗарплат)^MAX(0,YEAR('03_Сеть'!AJ7)-YEAR(ДатаПовышенияГД)+IF(MONTH('03_Сеть'!AJ7)&gt;=9,1,0)-IF(MONTH(ДатаПовышенияГД)&gt;=9,1,0)),0)</f>
        <v/>
      </c>
      <c r="AK8" s="87">
        <f>IF('03_Сеть'!AK7&gt;=ДатаПовышенияГД,ПовышениеГД/NetGross*(1+ИнфляцияЗарплат)^MAX(0,YEAR('03_Сеть'!AK7)-YEAR(ДатаПовышенияГД)+IF(MONTH('03_Сеть'!AK7)&gt;=9,1,0)-IF(MONTH(ДатаПовышенияГД)&gt;=9,1,0)),0)</f>
        <v/>
      </c>
      <c r="AL8" s="87">
        <f>IF('03_Сеть'!AL7&gt;=ДатаПовышенияГД,ПовышениеГД/NetGross*(1+ИнфляцияЗарплат)^MAX(0,YEAR('03_Сеть'!AL7)-YEAR(ДатаПовышенияГД)+IF(MONTH('03_Сеть'!AL7)&gt;=9,1,0)-IF(MONTH(ДатаПовышенияГД)&gt;=9,1,0)),0)</f>
        <v/>
      </c>
      <c r="AM8" s="87">
        <f>IF('03_Сеть'!AM7&gt;=ДатаПовышенияГД,ПовышениеГД/NetGross*(1+ИнфляцияЗарплат)^MAX(0,YEAR('03_Сеть'!AM7)-YEAR(ДатаПовышенияГД)+IF(MONTH('03_Сеть'!AM7)&gt;=9,1,0)-IF(MONTH(ДатаПовышенияГД)&gt;=9,1,0)),0)</f>
        <v/>
      </c>
      <c r="AN8" s="87">
        <f>IF('03_Сеть'!AN7&gt;=ДатаПовышенияГД,ПовышениеГД/NetGross*(1+ИнфляцияЗарплат)^MAX(0,YEAR('03_Сеть'!AN7)-YEAR(ДатаПовышенияГД)+IF(MONTH('03_Сеть'!AN7)&gt;=9,1,0)-IF(MONTH(ДатаПовышенияГД)&gt;=9,1,0)),0)</f>
        <v/>
      </c>
      <c r="AO8" s="87">
        <f>IF('03_Сеть'!AO7&gt;=ДатаПовышенияГД,ПовышениеГД/NetGross*(1+ИнфляцияЗарплат)^MAX(0,YEAR('03_Сеть'!AO7)-YEAR(ДатаПовышенияГД)+IF(MONTH('03_Сеть'!AO7)&gt;=9,1,0)-IF(MONTH(ДатаПовышенияГД)&gt;=9,1,0)),0)</f>
        <v/>
      </c>
      <c r="AP8" s="87">
        <f>IF('03_Сеть'!AP7&gt;=ДатаПовышенияГД,ПовышениеГД/NetGross*(1+ИнфляцияЗарплат)^MAX(0,YEAR('03_Сеть'!AP7)-YEAR(ДатаПовышенияГД)+IF(MONTH('03_Сеть'!AP7)&gt;=9,1,0)-IF(MONTH(ДатаПовышенияГД)&gt;=9,1,0)),0)</f>
        <v/>
      </c>
      <c r="AQ8" s="87">
        <f>IF('03_Сеть'!AQ7&gt;=ДатаПовышенияГД,ПовышениеГД/NetGross*(1+ИнфляцияЗарплат)^MAX(0,YEAR('03_Сеть'!AQ7)-YEAR(ДатаПовышенияГД)+IF(MONTH('03_Сеть'!AQ7)&gt;=9,1,0)-IF(MONTH(ДатаПовышенияГД)&gt;=9,1,0)),0)</f>
        <v/>
      </c>
      <c r="AR8" s="87">
        <f>IF('03_Сеть'!AR7&gt;=ДатаПовышенияГД,ПовышениеГД/NetGross*(1+ИнфляцияЗарплат)^MAX(0,YEAR('03_Сеть'!AR7)-YEAR(ДатаПовышенияГД)+IF(MONTH('03_Сеть'!AR7)&gt;=9,1,0)-IF(MONTH(ДатаПовышенияГД)&gt;=9,1,0)),0)</f>
        <v/>
      </c>
      <c r="AS8" s="87">
        <f>IF('03_Сеть'!AS7&gt;=ДатаПовышенияГД,ПовышениеГД/NetGross*(1+ИнфляцияЗарплат)^MAX(0,YEAR('03_Сеть'!AS7)-YEAR(ДатаПовышенияГД)+IF(MONTH('03_Сеть'!AS7)&gt;=9,1,0)-IF(MONTH(ДатаПовышенияГД)&gt;=9,1,0)),0)</f>
        <v/>
      </c>
      <c r="AT8" s="87">
        <f>IF('03_Сеть'!AT7&gt;=ДатаПовышенияГД,ПовышениеГД/NetGross*(1+ИнфляцияЗарплат)^MAX(0,YEAR('03_Сеть'!AT7)-YEAR(ДатаПовышенияГД)+IF(MONTH('03_Сеть'!AT7)&gt;=9,1,0)-IF(MONTH(ДатаПовышенияГД)&gt;=9,1,0)),0)</f>
        <v/>
      </c>
      <c r="AU8" s="87">
        <f>IF('03_Сеть'!AU7&gt;=ДатаПовышенияГД,ПовышениеГД/NetGross*(1+ИнфляцияЗарплат)^MAX(0,YEAR('03_Сеть'!AU7)-YEAR(ДатаПовышенияГД)+IF(MONTH('03_Сеть'!AU7)&gt;=9,1,0)-IF(MONTH(ДатаПовышенияГД)&gt;=9,1,0)),0)</f>
        <v/>
      </c>
      <c r="AV8" s="87">
        <f>IF('03_Сеть'!AV7&gt;=ДатаПовышенияГД,ПовышениеГД/NetGross*(1+ИнфляцияЗарплат)^MAX(0,YEAR('03_Сеть'!AV7)-YEAR(ДатаПовышенияГД)+IF(MONTH('03_Сеть'!AV7)&gt;=9,1,0)-IF(MONTH(ДатаПовышенияГД)&gt;=9,1,0)),0)</f>
        <v/>
      </c>
      <c r="AW8" s="87">
        <f>IF('03_Сеть'!AW7&gt;=ДатаПовышенияГД,ПовышениеГД/NetGross*(1+ИнфляцияЗарплат)^MAX(0,YEAR('03_Сеть'!AW7)-YEAR(ДатаПовышенияГД)+IF(MONTH('03_Сеть'!AW7)&gt;=9,1,0)-IF(MONTH(ДатаПовышенияГД)&gt;=9,1,0)),0)</f>
        <v/>
      </c>
      <c r="AX8" s="87">
        <f>IF('03_Сеть'!AX7&gt;=ДатаПовышенияГД,ПовышениеГД/NetGross*(1+ИнфляцияЗарплат)^MAX(0,YEAR('03_Сеть'!AX7)-YEAR(ДатаПовышенияГД)+IF(MONTH('03_Сеть'!AX7)&gt;=9,1,0)-IF(MONTH(ДатаПовышенияГД)&gt;=9,1,0)),0)</f>
        <v/>
      </c>
      <c r="AY8" s="87">
        <f>IF('03_Сеть'!AY7&gt;=ДатаПовышенияГД,ПовышениеГД/NetGross*(1+ИнфляцияЗарплат)^MAX(0,YEAR('03_Сеть'!AY7)-YEAR(ДатаПовышенияГД)+IF(MONTH('03_Сеть'!AY7)&gt;=9,1,0)-IF(MONTH(ДатаПовышенияГД)&gt;=9,1,0)),0)</f>
        <v/>
      </c>
      <c r="AZ8" s="87">
        <f>IF('03_Сеть'!AZ7&gt;=ДатаПовышенияГД,ПовышениеГД/NetGross*(1+ИнфляцияЗарплат)^MAX(0,YEAR('03_Сеть'!AZ7)-YEAR(ДатаПовышенияГД)+IF(MONTH('03_Сеть'!AZ7)&gt;=9,1,0)-IF(MONTH(ДатаПовышенияГД)&gt;=9,1,0)),0)</f>
        <v/>
      </c>
      <c r="BA8" s="87">
        <f>IF('03_Сеть'!BA7&gt;=ДатаПовышенияГД,ПовышениеГД/NetGross*(1+ИнфляцияЗарплат)^MAX(0,YEAR('03_Сеть'!BA7)-YEAR(ДатаПовышенияГД)+IF(MONTH('03_Сеть'!BA7)&gt;=9,1,0)-IF(MONTH(ДатаПовышенияГД)&gt;=9,1,0)),0)</f>
        <v/>
      </c>
      <c r="BB8" s="87">
        <f>IF('03_Сеть'!BB7&gt;=ДатаПовышенияГД,ПовышениеГД/NetGross*(1+ИнфляцияЗарплат)^MAX(0,YEAR('03_Сеть'!BB7)-YEAR(ДатаПовышенияГД)+IF(MONTH('03_Сеть'!BB7)&gt;=9,1,0)-IF(MONTH(ДатаПовышенияГД)&gt;=9,1,0)),0)</f>
        <v/>
      </c>
      <c r="BC8" s="87">
        <f>IF('03_Сеть'!BC7&gt;=ДатаПовышенияГД,ПовышениеГД/NetGross*(1+ИнфляцияЗарплат)^MAX(0,YEAR('03_Сеть'!BC7)-YEAR(ДатаПовышенияГД)+IF(MONTH('03_Сеть'!BC7)&gt;=9,1,0)-IF(MONTH(ДатаПовышенияГД)&gt;=9,1,0)),0)</f>
        <v/>
      </c>
      <c r="BD8" s="87">
        <f>IF('03_Сеть'!BD7&gt;=ДатаПовышенияГД,ПовышениеГД/NetGross*(1+ИнфляцияЗарплат)^MAX(0,YEAR('03_Сеть'!BD7)-YEAR(ДатаПовышенияГД)+IF(MONTH('03_Сеть'!BD7)&gt;=9,1,0)-IF(MONTH(ДатаПовышенияГД)&gt;=9,1,0)),0)</f>
        <v/>
      </c>
      <c r="BE8" s="87">
        <f>IF('03_Сеть'!BE7&gt;=ДатаПовышенияГД,ПовышениеГД/NetGross*(1+ИнфляцияЗарплат)^MAX(0,YEAR('03_Сеть'!BE7)-YEAR(ДатаПовышенияГД)+IF(MONTH('03_Сеть'!BE7)&gt;=9,1,0)-IF(MONTH(ДатаПовышенияГД)&gt;=9,1,0)),0)</f>
        <v/>
      </c>
      <c r="BF8" s="87">
        <f>IF('03_Сеть'!BF7&gt;=ДатаПовышенияГД,ПовышениеГД/NetGross*(1+ИнфляцияЗарплат)^MAX(0,YEAR('03_Сеть'!BF7)-YEAR(ДатаПовышенияГД)+IF(MONTH('03_Сеть'!BF7)&gt;=9,1,0)-IF(MONTH(ДатаПовышенияГД)&gt;=9,1,0)),0)</f>
        <v/>
      </c>
      <c r="BG8" s="87">
        <f>IF('03_Сеть'!BG7&gt;=ДатаПовышенияГД,ПовышениеГД/NetGross*(1+ИнфляцияЗарплат)^MAX(0,YEAR('03_Сеть'!BG7)-YEAR(ДатаПовышенияГД)+IF(MONTH('03_Сеть'!BG7)&gt;=9,1,0)-IF(MONTH(ДатаПовышенияГД)&gt;=9,1,0)),0)</f>
        <v/>
      </c>
      <c r="BH8" s="87">
        <f>IF('03_Сеть'!BH7&gt;=ДатаПовышенияГД,ПовышениеГД/NetGross*(1+ИнфляцияЗарплат)^MAX(0,YEAR('03_Сеть'!BH7)-YEAR(ДатаПовышенияГД)+IF(MONTH('03_Сеть'!BH7)&gt;=9,1,0)-IF(MONTH(ДатаПовышенияГД)&gt;=9,1,0)),0)</f>
        <v/>
      </c>
      <c r="BI8" s="87">
        <f>IF('03_Сеть'!BI7&gt;=ДатаПовышенияГД,ПовышениеГД/NetGross*(1+ИнфляцияЗарплат)^MAX(0,YEAR('03_Сеть'!BI7)-YEAR(ДатаПовышенияГД)+IF(MONTH('03_Сеть'!BI7)&gt;=9,1,0)-IF(MONTH(ДатаПовышенияГД)&gt;=9,1,0)),0)</f>
        <v/>
      </c>
      <c r="BJ8" s="87">
        <f>IF('03_Сеть'!BJ7&gt;=ДатаПовышенияГД,ПовышениеГД/NetGross*(1+ИнфляцияЗарплат)^MAX(0,YEAR('03_Сеть'!BJ7)-YEAR(ДатаПовышенияГД)+IF(MONTH('03_Сеть'!BJ7)&gt;=9,1,0)-IF(MONTH(ДатаПовышенияГД)&gt;=9,1,0)),0)</f>
        <v/>
      </c>
      <c r="BK8" s="87">
        <f>IF('03_Сеть'!BK7&gt;=ДатаПовышенияГД,ПовышениеГД/NetGross*(1+ИнфляцияЗарплат)^MAX(0,YEAR('03_Сеть'!BK7)-YEAR(ДатаПовышенияГД)+IF(MONTH('03_Сеть'!BK7)&gt;=9,1,0)-IF(MONTH(ДатаПовышенияГД)&gt;=9,1,0)),0)</f>
        <v/>
      </c>
      <c r="BL8" s="87">
        <f>IF('03_Сеть'!BL7&gt;=ДатаПовышенияГД,ПовышениеГД/NetGross*(1+ИнфляцияЗарплат)^MAX(0,YEAR('03_Сеть'!BL7)-YEAR(ДатаПовышенияГД)+IF(MONTH('03_Сеть'!BL7)&gt;=9,1,0)-IF(MONTH(ДатаПовышенияГД)&gt;=9,1,0)),0)</f>
        <v/>
      </c>
      <c r="BM8" s="87">
        <f>IF('03_Сеть'!BM7&gt;=ДатаПовышенияГД,ПовышениеГД/NetGross*(1+ИнфляцияЗарплат)^MAX(0,YEAR('03_Сеть'!BM7)-YEAR(ДатаПовышенияГД)+IF(MONTH('03_Сеть'!BM7)&gt;=9,1,0)-IF(MONTH(ДатаПовышенияГД)&gt;=9,1,0)),0)</f>
        <v/>
      </c>
      <c r="BN8" s="87">
        <f>IF('03_Сеть'!BN7&gt;=ДатаПовышенияГД,ПовышениеГД/NetGross*(1+ИнфляцияЗарплат)^MAX(0,YEAR('03_Сеть'!BN7)-YEAR(ДатаПовышенияГД)+IF(MONTH('03_Сеть'!BN7)&gt;=9,1,0)-IF(MONTH(ДатаПовышенияГД)&gt;=9,1,0)),0)</f>
        <v/>
      </c>
      <c r="BO8" s="87">
        <f>IF('03_Сеть'!BO7&gt;=ДатаПовышенияГД,ПовышениеГД/NetGross*(1+ИнфляцияЗарплат)^MAX(0,YEAR('03_Сеть'!BO7)-YEAR(ДатаПовышенияГД)+IF(MONTH('03_Сеть'!BO7)&gt;=9,1,0)-IF(MONTH(ДатаПовышенияГД)&gt;=9,1,0)),0)</f>
        <v/>
      </c>
      <c r="BP8" s="87">
        <f>IF('03_Сеть'!BP7&gt;=ДатаПовышенияГД,ПовышениеГД/NetGross*(1+ИнфляцияЗарплат)^MAX(0,YEAR('03_Сеть'!BP7)-YEAR(ДатаПовышенияГД)+IF(MONTH('03_Сеть'!BP7)&gt;=9,1,0)-IF(MONTH(ДатаПовышенияГД)&gt;=9,1,0)),0)</f>
        <v/>
      </c>
      <c r="BQ8" s="87">
        <f>IF('03_Сеть'!BQ7&gt;=ДатаПовышенияГД,ПовышениеГД/NetGross*(1+ИнфляцияЗарплат)^MAX(0,YEAR('03_Сеть'!BQ7)-YEAR(ДатаПовышенияГД)+IF(MONTH('03_Сеть'!BQ7)&gt;=9,1,0)-IF(MONTH(ДатаПовышенияГД)&gt;=9,1,0)),0)</f>
        <v/>
      </c>
      <c r="BR8" s="87">
        <f>IF('03_Сеть'!BR7&gt;=ДатаПовышенияГД,ПовышениеГД/NetGross*(1+ИнфляцияЗарплат)^MAX(0,YEAR('03_Сеть'!BR7)-YEAR(ДатаПовышенияГД)+IF(MONTH('03_Сеть'!BR7)&gt;=9,1,0)-IF(MONTH(ДатаПовышенияГД)&gt;=9,1,0)),0)</f>
        <v/>
      </c>
      <c r="BS8" s="87">
        <f>IF('03_Сеть'!BS7&gt;=ДатаПовышенияГД,ПовышениеГД/NetGross*(1+ИнфляцияЗарплат)^MAX(0,YEAR('03_Сеть'!BS7)-YEAR(ДатаПовышенияГД)+IF(MONTH('03_Сеть'!BS7)&gt;=9,1,0)-IF(MONTH(ДатаПовышенияГД)&gt;=9,1,0)),0)</f>
        <v/>
      </c>
      <c r="BT8" s="87">
        <f>IF('03_Сеть'!BT7&gt;=ДатаПовышенияГД,ПовышениеГД/NetGross*(1+ИнфляцияЗарплат)^MAX(0,YEAR('03_Сеть'!BT7)-YEAR(ДатаПовышенияГД)+IF(MONTH('03_Сеть'!BT7)&gt;=9,1,0)-IF(MONTH(ДатаПовышенияГД)&gt;=9,1,0)),0)</f>
        <v/>
      </c>
      <c r="BU8" s="87">
        <f>IF('03_Сеть'!BU7&gt;=ДатаПовышенияГД,ПовышениеГД/NetGross*(1+ИнфляцияЗарплат)^MAX(0,YEAR('03_Сеть'!BU7)-YEAR(ДатаПовышенияГД)+IF(MONTH('03_Сеть'!BU7)&gt;=9,1,0)-IF(MONTH(ДатаПовышенияГД)&gt;=9,1,0)),0)</f>
        <v/>
      </c>
      <c r="BV8" s="87">
        <f>IF('03_Сеть'!BV7&gt;=ДатаПовышенияГД,ПовышениеГД/NetGross*(1+ИнфляцияЗарплат)^MAX(0,YEAR('03_Сеть'!BV7)-YEAR(ДатаПовышенияГД)+IF(MONTH('03_Сеть'!BV7)&gt;=9,1,0)-IF(MONTH(ДатаПовышенияГД)&gt;=9,1,0)),0)</f>
        <v/>
      </c>
      <c r="BW8" s="87">
        <f>IF('03_Сеть'!BW7&gt;=ДатаПовышенияГД,ПовышениеГД/NetGross*(1+ИнфляцияЗарплат)^MAX(0,YEAR('03_Сеть'!BW7)-YEAR(ДатаПовышенияГД)+IF(MONTH('03_Сеть'!BW7)&gt;=9,1,0)-IF(MONTH(ДатаПовышенияГД)&gt;=9,1,0)),0)</f>
        <v/>
      </c>
      <c r="BX8" s="87">
        <f>IF('03_Сеть'!BX7&gt;=ДатаПовышенияГД,ПовышениеГД/NetGross*(1+ИнфляцияЗарплат)^MAX(0,YEAR('03_Сеть'!BX7)-YEAR(ДатаПовышенияГД)+IF(MONTH('03_Сеть'!BX7)&gt;=9,1,0)-IF(MONTH(ДатаПовышенияГД)&gt;=9,1,0)),0)</f>
        <v/>
      </c>
      <c r="BY8" s="87">
        <f>IF('03_Сеть'!BY7&gt;=ДатаПовышенияГД,ПовышениеГД/NetGross*(1+ИнфляцияЗарплат)^MAX(0,YEAR('03_Сеть'!BY7)-YEAR(ДатаПовышенияГД)+IF(MONTH('03_Сеть'!BY7)&gt;=9,1,0)-IF(MONTH(ДатаПовышенияГД)&gt;=9,1,0)),0)</f>
        <v/>
      </c>
    </row>
    <row r="9">
      <c r="B9" s="56" t="inlineStr">
        <is>
          <t>ФОТ ядра, gross</t>
        </is>
      </c>
      <c r="C9" s="56" t="inlineStr">
        <is>
          <t>₽</t>
        </is>
      </c>
      <c r="D9" s="57" t="inlineStr">
        <is>
          <t>Действующие сотрудники с индексацией</t>
        </is>
      </c>
      <c r="E9" s="85">
        <f>SUM(L9:W9)</f>
        <v/>
      </c>
      <c r="F9" s="85">
        <f>SUM(X9:AI9)</f>
        <v/>
      </c>
      <c r="G9" s="85">
        <f>SUM(AJ9:AU9)</f>
        <v/>
      </c>
      <c r="H9" s="85">
        <f>SUM(AV9:BG9)</f>
        <v/>
      </c>
      <c r="I9" s="85">
        <f>SUM(BH9:BS9)</f>
        <v/>
      </c>
      <c r="J9" s="86">
        <f>SUM(L9:BS9)</f>
        <v/>
      </c>
      <c r="L9" s="87">
        <f>ФОТЯдра*L7+L8</f>
        <v/>
      </c>
      <c r="M9" s="87">
        <f>ФОТЯдра*M7+M8</f>
        <v/>
      </c>
      <c r="N9" s="87">
        <f>ФОТЯдра*N7+N8</f>
        <v/>
      </c>
      <c r="O9" s="87">
        <f>ФОТЯдра*O7+O8</f>
        <v/>
      </c>
      <c r="P9" s="87">
        <f>ФОТЯдра*P7+P8</f>
        <v/>
      </c>
      <c r="Q9" s="87">
        <f>ФОТЯдра*Q7+Q8</f>
        <v/>
      </c>
      <c r="R9" s="87">
        <f>ФОТЯдра*R7+R8</f>
        <v/>
      </c>
      <c r="S9" s="87">
        <f>ФОТЯдра*S7+S8</f>
        <v/>
      </c>
      <c r="T9" s="87">
        <f>ФОТЯдра*T7+T8</f>
        <v/>
      </c>
      <c r="U9" s="87">
        <f>ФОТЯдра*U7+U8</f>
        <v/>
      </c>
      <c r="V9" s="87">
        <f>ФОТЯдра*V7+V8</f>
        <v/>
      </c>
      <c r="W9" s="87">
        <f>ФОТЯдра*W7+W8</f>
        <v/>
      </c>
      <c r="X9" s="87">
        <f>ФОТЯдра*X7+X8</f>
        <v/>
      </c>
      <c r="Y9" s="87">
        <f>ФОТЯдра*Y7+Y8</f>
        <v/>
      </c>
      <c r="Z9" s="87">
        <f>ФОТЯдра*Z7+Z8</f>
        <v/>
      </c>
      <c r="AA9" s="87">
        <f>ФОТЯдра*AA7+AA8</f>
        <v/>
      </c>
      <c r="AB9" s="87">
        <f>ФОТЯдра*AB7+AB8</f>
        <v/>
      </c>
      <c r="AC9" s="87">
        <f>ФОТЯдра*AC7+AC8</f>
        <v/>
      </c>
      <c r="AD9" s="87">
        <f>ФОТЯдра*AD7+AD8</f>
        <v/>
      </c>
      <c r="AE9" s="87">
        <f>ФОТЯдра*AE7+AE8</f>
        <v/>
      </c>
      <c r="AF9" s="87">
        <f>ФОТЯдра*AF7+AF8</f>
        <v/>
      </c>
      <c r="AG9" s="87">
        <f>ФОТЯдра*AG7+AG8</f>
        <v/>
      </c>
      <c r="AH9" s="87">
        <f>ФОТЯдра*AH7+AH8</f>
        <v/>
      </c>
      <c r="AI9" s="87">
        <f>ФОТЯдра*AI7+AI8</f>
        <v/>
      </c>
      <c r="AJ9" s="87">
        <f>ФОТЯдра*AJ7+AJ8</f>
        <v/>
      </c>
      <c r="AK9" s="87">
        <f>ФОТЯдра*AK7+AK8</f>
        <v/>
      </c>
      <c r="AL9" s="87">
        <f>ФОТЯдра*AL7+AL8</f>
        <v/>
      </c>
      <c r="AM9" s="87">
        <f>ФОТЯдра*AM7+AM8</f>
        <v/>
      </c>
      <c r="AN9" s="87">
        <f>ФОТЯдра*AN7+AN8</f>
        <v/>
      </c>
      <c r="AO9" s="87">
        <f>ФОТЯдра*AO7+AO8</f>
        <v/>
      </c>
      <c r="AP9" s="87">
        <f>ФОТЯдра*AP7+AP8</f>
        <v/>
      </c>
      <c r="AQ9" s="87">
        <f>ФОТЯдра*AQ7+AQ8</f>
        <v/>
      </c>
      <c r="AR9" s="87">
        <f>ФОТЯдра*AR7+AR8</f>
        <v/>
      </c>
      <c r="AS9" s="87">
        <f>ФОТЯдра*AS7+AS8</f>
        <v/>
      </c>
      <c r="AT9" s="87">
        <f>ФОТЯдра*AT7+AT8</f>
        <v/>
      </c>
      <c r="AU9" s="87">
        <f>ФОТЯдра*AU7+AU8</f>
        <v/>
      </c>
      <c r="AV9" s="87">
        <f>ФОТЯдра*AV7+AV8</f>
        <v/>
      </c>
      <c r="AW9" s="87">
        <f>ФОТЯдра*AW7+AW8</f>
        <v/>
      </c>
      <c r="AX9" s="87">
        <f>ФОТЯдра*AX7+AX8</f>
        <v/>
      </c>
      <c r="AY9" s="87">
        <f>ФОТЯдра*AY7+AY8</f>
        <v/>
      </c>
      <c r="AZ9" s="87">
        <f>ФОТЯдра*AZ7+AZ8</f>
        <v/>
      </c>
      <c r="BA9" s="87">
        <f>ФОТЯдра*BA7+BA8</f>
        <v/>
      </c>
      <c r="BB9" s="87">
        <f>ФОТЯдра*BB7+BB8</f>
        <v/>
      </c>
      <c r="BC9" s="87">
        <f>ФОТЯдра*BC7+BC8</f>
        <v/>
      </c>
      <c r="BD9" s="87">
        <f>ФОТЯдра*BD7+BD8</f>
        <v/>
      </c>
      <c r="BE9" s="87">
        <f>ФОТЯдра*BE7+BE8</f>
        <v/>
      </c>
      <c r="BF9" s="87">
        <f>ФОТЯдра*BF7+BF8</f>
        <v/>
      </c>
      <c r="BG9" s="87">
        <f>ФОТЯдра*BG7+BG8</f>
        <v/>
      </c>
      <c r="BH9" s="87">
        <f>ФОТЯдра*BH7+BH8</f>
        <v/>
      </c>
      <c r="BI9" s="87">
        <f>ФОТЯдра*BI7+BI8</f>
        <v/>
      </c>
      <c r="BJ9" s="87">
        <f>ФОТЯдра*BJ7+BJ8</f>
        <v/>
      </c>
      <c r="BK9" s="87">
        <f>ФОТЯдра*BK7+BK8</f>
        <v/>
      </c>
      <c r="BL9" s="87">
        <f>ФОТЯдра*BL7+BL8</f>
        <v/>
      </c>
      <c r="BM9" s="87">
        <f>ФОТЯдра*BM7+BM8</f>
        <v/>
      </c>
      <c r="BN9" s="87">
        <f>ФОТЯдра*BN7+BN8</f>
        <v/>
      </c>
      <c r="BO9" s="87">
        <f>ФОТЯдра*BO7+BO8</f>
        <v/>
      </c>
      <c r="BP9" s="87">
        <f>ФОТЯдра*BP7+BP8</f>
        <v/>
      </c>
      <c r="BQ9" s="87">
        <f>ФОТЯдра*BQ7+BQ8</f>
        <v/>
      </c>
      <c r="BR9" s="87">
        <f>ФОТЯдра*BR7+BR8</f>
        <v/>
      </c>
      <c r="BS9" s="87">
        <f>ФОТЯдра*BS7+BS8</f>
        <v/>
      </c>
      <c r="BT9" s="87">
        <f>ФОТЯдра*BT7+BT8</f>
        <v/>
      </c>
      <c r="BU9" s="87">
        <f>ФОТЯдра*BU7+BU8</f>
        <v/>
      </c>
      <c r="BV9" s="87">
        <f>ФОТЯдра*BV7+BV8</f>
        <v/>
      </c>
      <c r="BW9" s="87">
        <f>ФОТЯдра*BW7+BW8</f>
        <v/>
      </c>
      <c r="BX9" s="87">
        <f>ФОТЯдра*BX7+BX8</f>
        <v/>
      </c>
      <c r="BY9" s="87">
        <f>ФОТЯдра*BY7+BY8</f>
        <v/>
      </c>
    </row>
    <row r="10">
      <c r="B10" s="56" t="inlineStr">
        <is>
          <t>Офис-менеджер, gross</t>
        </is>
      </c>
      <c r="C10" s="56" t="inlineStr">
        <is>
          <t>₽</t>
        </is>
      </c>
      <c r="D10" s="57" t="inlineStr">
        <is>
          <t>Выходит с назначенной даты</t>
        </is>
      </c>
      <c r="E10" s="85">
        <f>SUM(L10:W10)</f>
        <v/>
      </c>
      <c r="F10" s="85">
        <f>SUM(X10:AI10)</f>
        <v/>
      </c>
      <c r="G10" s="85">
        <f>SUM(AJ10:AU10)</f>
        <v/>
      </c>
      <c r="H10" s="85">
        <f>SUM(AV10:BG10)</f>
        <v/>
      </c>
      <c r="I10" s="85">
        <f>SUM(BH10:BS10)</f>
        <v/>
      </c>
      <c r="J10" s="86">
        <f>SUM(L10:BS10)</f>
        <v/>
      </c>
      <c r="L10" s="87">
        <f>IF('03_Сеть'!L7&gt;=ДатаОфисМенеджера,ОфисМенеджерNet/NetGross*L7,0)</f>
        <v/>
      </c>
      <c r="M10" s="87">
        <f>IF('03_Сеть'!M7&gt;=ДатаОфисМенеджера,ОфисМенеджерNet/NetGross*M7,0)</f>
        <v/>
      </c>
      <c r="N10" s="87">
        <f>IF('03_Сеть'!N7&gt;=ДатаОфисМенеджера,ОфисМенеджерNet/NetGross*N7,0)</f>
        <v/>
      </c>
      <c r="O10" s="87">
        <f>IF('03_Сеть'!O7&gt;=ДатаОфисМенеджера,ОфисМенеджерNet/NetGross*O7,0)</f>
        <v/>
      </c>
      <c r="P10" s="87">
        <f>IF('03_Сеть'!P7&gt;=ДатаОфисМенеджера,ОфисМенеджерNet/NetGross*P7,0)</f>
        <v/>
      </c>
      <c r="Q10" s="87">
        <f>IF('03_Сеть'!Q7&gt;=ДатаОфисМенеджера,ОфисМенеджерNet/NetGross*Q7,0)</f>
        <v/>
      </c>
      <c r="R10" s="87">
        <f>IF('03_Сеть'!R7&gt;=ДатаОфисМенеджера,ОфисМенеджерNet/NetGross*R7,0)</f>
        <v/>
      </c>
      <c r="S10" s="87">
        <f>IF('03_Сеть'!S7&gt;=ДатаОфисМенеджера,ОфисМенеджерNet/NetGross*S7,0)</f>
        <v/>
      </c>
      <c r="T10" s="87">
        <f>IF('03_Сеть'!T7&gt;=ДатаОфисМенеджера,ОфисМенеджерNet/NetGross*T7,0)</f>
        <v/>
      </c>
      <c r="U10" s="87">
        <f>IF('03_Сеть'!U7&gt;=ДатаОфисМенеджера,ОфисМенеджерNet/NetGross*U7,0)</f>
        <v/>
      </c>
      <c r="V10" s="87">
        <f>IF('03_Сеть'!V7&gt;=ДатаОфисМенеджера,ОфисМенеджерNet/NetGross*V7,0)</f>
        <v/>
      </c>
      <c r="W10" s="87">
        <f>IF('03_Сеть'!W7&gt;=ДатаОфисМенеджера,ОфисМенеджерNet/NetGross*W7,0)</f>
        <v/>
      </c>
      <c r="X10" s="87">
        <f>IF('03_Сеть'!X7&gt;=ДатаОфисМенеджера,ОфисМенеджерNet/NetGross*X7,0)</f>
        <v/>
      </c>
      <c r="Y10" s="87">
        <f>IF('03_Сеть'!Y7&gt;=ДатаОфисМенеджера,ОфисМенеджерNet/NetGross*Y7,0)</f>
        <v/>
      </c>
      <c r="Z10" s="87">
        <f>IF('03_Сеть'!Z7&gt;=ДатаОфисМенеджера,ОфисМенеджерNet/NetGross*Z7,0)</f>
        <v/>
      </c>
      <c r="AA10" s="87">
        <f>IF('03_Сеть'!AA7&gt;=ДатаОфисМенеджера,ОфисМенеджерNet/NetGross*AA7,0)</f>
        <v/>
      </c>
      <c r="AB10" s="87">
        <f>IF('03_Сеть'!AB7&gt;=ДатаОфисМенеджера,ОфисМенеджерNet/NetGross*AB7,0)</f>
        <v/>
      </c>
      <c r="AC10" s="87">
        <f>IF('03_Сеть'!AC7&gt;=ДатаОфисМенеджера,ОфисМенеджерNet/NetGross*AC7,0)</f>
        <v/>
      </c>
      <c r="AD10" s="87">
        <f>IF('03_Сеть'!AD7&gt;=ДатаОфисМенеджера,ОфисМенеджерNet/NetGross*AD7,0)</f>
        <v/>
      </c>
      <c r="AE10" s="87">
        <f>IF('03_Сеть'!AE7&gt;=ДатаОфисМенеджера,ОфисМенеджерNet/NetGross*AE7,0)</f>
        <v/>
      </c>
      <c r="AF10" s="87">
        <f>IF('03_Сеть'!AF7&gt;=ДатаОфисМенеджера,ОфисМенеджерNet/NetGross*AF7,0)</f>
        <v/>
      </c>
      <c r="AG10" s="87">
        <f>IF('03_Сеть'!AG7&gt;=ДатаОфисМенеджера,ОфисМенеджерNet/NetGross*AG7,0)</f>
        <v/>
      </c>
      <c r="AH10" s="87">
        <f>IF('03_Сеть'!AH7&gt;=ДатаОфисМенеджера,ОфисМенеджерNet/NetGross*AH7,0)</f>
        <v/>
      </c>
      <c r="AI10" s="87">
        <f>IF('03_Сеть'!AI7&gt;=ДатаОфисМенеджера,ОфисМенеджерNet/NetGross*AI7,0)</f>
        <v/>
      </c>
      <c r="AJ10" s="87">
        <f>IF('03_Сеть'!AJ7&gt;=ДатаОфисМенеджера,ОфисМенеджерNet/NetGross*AJ7,0)</f>
        <v/>
      </c>
      <c r="AK10" s="87">
        <f>IF('03_Сеть'!AK7&gt;=ДатаОфисМенеджера,ОфисМенеджерNet/NetGross*AK7,0)</f>
        <v/>
      </c>
      <c r="AL10" s="87">
        <f>IF('03_Сеть'!AL7&gt;=ДатаОфисМенеджера,ОфисМенеджерNet/NetGross*AL7,0)</f>
        <v/>
      </c>
      <c r="AM10" s="87">
        <f>IF('03_Сеть'!AM7&gt;=ДатаОфисМенеджера,ОфисМенеджерNet/NetGross*AM7,0)</f>
        <v/>
      </c>
      <c r="AN10" s="87">
        <f>IF('03_Сеть'!AN7&gt;=ДатаОфисМенеджера,ОфисМенеджерNet/NetGross*AN7,0)</f>
        <v/>
      </c>
      <c r="AO10" s="87">
        <f>IF('03_Сеть'!AO7&gt;=ДатаОфисМенеджера,ОфисМенеджерNet/NetGross*AO7,0)</f>
        <v/>
      </c>
      <c r="AP10" s="87">
        <f>IF('03_Сеть'!AP7&gt;=ДатаОфисМенеджера,ОфисМенеджерNet/NetGross*AP7,0)</f>
        <v/>
      </c>
      <c r="AQ10" s="87">
        <f>IF('03_Сеть'!AQ7&gt;=ДатаОфисМенеджера,ОфисМенеджерNet/NetGross*AQ7,0)</f>
        <v/>
      </c>
      <c r="AR10" s="87">
        <f>IF('03_Сеть'!AR7&gt;=ДатаОфисМенеджера,ОфисМенеджерNet/NetGross*AR7,0)</f>
        <v/>
      </c>
      <c r="AS10" s="87">
        <f>IF('03_Сеть'!AS7&gt;=ДатаОфисМенеджера,ОфисМенеджерNet/NetGross*AS7,0)</f>
        <v/>
      </c>
      <c r="AT10" s="87">
        <f>IF('03_Сеть'!AT7&gt;=ДатаОфисМенеджера,ОфисМенеджерNet/NetGross*AT7,0)</f>
        <v/>
      </c>
      <c r="AU10" s="87">
        <f>IF('03_Сеть'!AU7&gt;=ДатаОфисМенеджера,ОфисМенеджерNet/NetGross*AU7,0)</f>
        <v/>
      </c>
      <c r="AV10" s="87">
        <f>IF('03_Сеть'!AV7&gt;=ДатаОфисМенеджера,ОфисМенеджерNet/NetGross*AV7,0)</f>
        <v/>
      </c>
      <c r="AW10" s="87">
        <f>IF('03_Сеть'!AW7&gt;=ДатаОфисМенеджера,ОфисМенеджерNet/NetGross*AW7,0)</f>
        <v/>
      </c>
      <c r="AX10" s="87">
        <f>IF('03_Сеть'!AX7&gt;=ДатаОфисМенеджера,ОфисМенеджерNet/NetGross*AX7,0)</f>
        <v/>
      </c>
      <c r="AY10" s="87">
        <f>IF('03_Сеть'!AY7&gt;=ДатаОфисМенеджера,ОфисМенеджерNet/NetGross*AY7,0)</f>
        <v/>
      </c>
      <c r="AZ10" s="87">
        <f>IF('03_Сеть'!AZ7&gt;=ДатаОфисМенеджера,ОфисМенеджерNet/NetGross*AZ7,0)</f>
        <v/>
      </c>
      <c r="BA10" s="87">
        <f>IF('03_Сеть'!BA7&gt;=ДатаОфисМенеджера,ОфисМенеджерNet/NetGross*BA7,0)</f>
        <v/>
      </c>
      <c r="BB10" s="87">
        <f>IF('03_Сеть'!BB7&gt;=ДатаОфисМенеджера,ОфисМенеджерNet/NetGross*BB7,0)</f>
        <v/>
      </c>
      <c r="BC10" s="87">
        <f>IF('03_Сеть'!BC7&gt;=ДатаОфисМенеджера,ОфисМенеджерNet/NetGross*BC7,0)</f>
        <v/>
      </c>
      <c r="BD10" s="87">
        <f>IF('03_Сеть'!BD7&gt;=ДатаОфисМенеджера,ОфисМенеджерNet/NetGross*BD7,0)</f>
        <v/>
      </c>
      <c r="BE10" s="87">
        <f>IF('03_Сеть'!BE7&gt;=ДатаОфисМенеджера,ОфисМенеджерNet/NetGross*BE7,0)</f>
        <v/>
      </c>
      <c r="BF10" s="87">
        <f>IF('03_Сеть'!BF7&gt;=ДатаОфисМенеджера,ОфисМенеджерNet/NetGross*BF7,0)</f>
        <v/>
      </c>
      <c r="BG10" s="87">
        <f>IF('03_Сеть'!BG7&gt;=ДатаОфисМенеджера,ОфисМенеджерNet/NetGross*BG7,0)</f>
        <v/>
      </c>
      <c r="BH10" s="87">
        <f>IF('03_Сеть'!BH7&gt;=ДатаОфисМенеджера,ОфисМенеджерNet/NetGross*BH7,0)</f>
        <v/>
      </c>
      <c r="BI10" s="87">
        <f>IF('03_Сеть'!BI7&gt;=ДатаОфисМенеджера,ОфисМенеджерNet/NetGross*BI7,0)</f>
        <v/>
      </c>
      <c r="BJ10" s="87">
        <f>IF('03_Сеть'!BJ7&gt;=ДатаОфисМенеджера,ОфисМенеджерNet/NetGross*BJ7,0)</f>
        <v/>
      </c>
      <c r="BK10" s="87">
        <f>IF('03_Сеть'!BK7&gt;=ДатаОфисМенеджера,ОфисМенеджерNet/NetGross*BK7,0)</f>
        <v/>
      </c>
      <c r="BL10" s="87">
        <f>IF('03_Сеть'!BL7&gt;=ДатаОфисМенеджера,ОфисМенеджерNet/NetGross*BL7,0)</f>
        <v/>
      </c>
      <c r="BM10" s="87">
        <f>IF('03_Сеть'!BM7&gt;=ДатаОфисМенеджера,ОфисМенеджерNet/NetGross*BM7,0)</f>
        <v/>
      </c>
      <c r="BN10" s="87">
        <f>IF('03_Сеть'!BN7&gt;=ДатаОфисМенеджера,ОфисМенеджерNet/NetGross*BN7,0)</f>
        <v/>
      </c>
      <c r="BO10" s="87">
        <f>IF('03_Сеть'!BO7&gt;=ДатаОфисМенеджера,ОфисМенеджерNet/NetGross*BO7,0)</f>
        <v/>
      </c>
      <c r="BP10" s="87">
        <f>IF('03_Сеть'!BP7&gt;=ДатаОфисМенеджера,ОфисМенеджерNet/NetGross*BP7,0)</f>
        <v/>
      </c>
      <c r="BQ10" s="87">
        <f>IF('03_Сеть'!BQ7&gt;=ДатаОфисМенеджера,ОфисМенеджерNet/NetGross*BQ7,0)</f>
        <v/>
      </c>
      <c r="BR10" s="87">
        <f>IF('03_Сеть'!BR7&gt;=ДатаОфисМенеджера,ОфисМенеджерNet/NetGross*BR7,0)</f>
        <v/>
      </c>
      <c r="BS10" s="87">
        <f>IF('03_Сеть'!BS7&gt;=ДатаОфисМенеджера,ОфисМенеджерNet/NetGross*BS7,0)</f>
        <v/>
      </c>
      <c r="BT10" s="87">
        <f>IF('03_Сеть'!BT7&gt;=ДатаОфисМенеджера,ОфисМенеджерNet/NetGross*BT7,0)</f>
        <v/>
      </c>
      <c r="BU10" s="87">
        <f>IF('03_Сеть'!BU7&gt;=ДатаОфисМенеджера,ОфисМенеджерNet/NetGross*BU7,0)</f>
        <v/>
      </c>
      <c r="BV10" s="87">
        <f>IF('03_Сеть'!BV7&gt;=ДатаОфисМенеджера,ОфисМенеджерNet/NetGross*BV7,0)</f>
        <v/>
      </c>
      <c r="BW10" s="87">
        <f>IF('03_Сеть'!BW7&gt;=ДатаОфисМенеджера,ОфисМенеджерNet/NetGross*BW7,0)</f>
        <v/>
      </c>
      <c r="BX10" s="87">
        <f>IF('03_Сеть'!BX7&gt;=ДатаОфисМенеджера,ОфисМенеджерNet/NetGross*BX7,0)</f>
        <v/>
      </c>
      <c r="BY10" s="87">
        <f>IF('03_Сеть'!BY7&gt;=ДатаОфисМенеджера,ОфисМенеджерNet/NetGross*BY7,0)</f>
        <v/>
      </c>
    </row>
    <row r="11">
      <c r="B11" s="56" t="inlineStr">
        <is>
          <t>SMM-специалист, gross</t>
        </is>
      </c>
      <c r="C11" s="56" t="inlineStr">
        <is>
          <t>₽</t>
        </is>
      </c>
      <c r="D11" s="57" t="n"/>
      <c r="E11" s="85">
        <f>SUM(L11:W11)</f>
        <v/>
      </c>
      <c r="F11" s="85">
        <f>SUM(X11:AI11)</f>
        <v/>
      </c>
      <c r="G11" s="85">
        <f>SUM(AJ11:AU11)</f>
        <v/>
      </c>
      <c r="H11" s="85">
        <f>SUM(AV11:BG11)</f>
        <v/>
      </c>
      <c r="I11" s="85">
        <f>SUM(BH11:BS11)</f>
        <v/>
      </c>
      <c r="J11" s="86">
        <f>SUM(L11:BS11)</f>
        <v/>
      </c>
      <c r="L11" s="87">
        <f>IF('03_Сеть'!L7&gt;=ДатаSMM,SMMNet/NetGross*(1+ИнфляцияЗарплат)^MAX(0,YEAR('03_Сеть'!L7)-YEAR(ДатаSMM)+IF(MONTH('03_Сеть'!L7)&gt;=9,1,0)-IF(MONTH(ДатаSMM)&gt;=9,1,0)),0)</f>
        <v/>
      </c>
      <c r="M11" s="87">
        <f>IF('03_Сеть'!M7&gt;=ДатаSMM,SMMNet/NetGross*(1+ИнфляцияЗарплат)^MAX(0,YEAR('03_Сеть'!M7)-YEAR(ДатаSMM)+IF(MONTH('03_Сеть'!M7)&gt;=9,1,0)-IF(MONTH(ДатаSMM)&gt;=9,1,0)),0)</f>
        <v/>
      </c>
      <c r="N11" s="87">
        <f>IF('03_Сеть'!N7&gt;=ДатаSMM,SMMNet/NetGross*(1+ИнфляцияЗарплат)^MAX(0,YEAR('03_Сеть'!N7)-YEAR(ДатаSMM)+IF(MONTH('03_Сеть'!N7)&gt;=9,1,0)-IF(MONTH(ДатаSMM)&gt;=9,1,0)),0)</f>
        <v/>
      </c>
      <c r="O11" s="87">
        <f>IF('03_Сеть'!O7&gt;=ДатаSMM,SMMNet/NetGross*(1+ИнфляцияЗарплат)^MAX(0,YEAR('03_Сеть'!O7)-YEAR(ДатаSMM)+IF(MONTH('03_Сеть'!O7)&gt;=9,1,0)-IF(MONTH(ДатаSMM)&gt;=9,1,0)),0)</f>
        <v/>
      </c>
      <c r="P11" s="87">
        <f>IF('03_Сеть'!P7&gt;=ДатаSMM,SMMNet/NetGross*(1+ИнфляцияЗарплат)^MAX(0,YEAR('03_Сеть'!P7)-YEAR(ДатаSMM)+IF(MONTH('03_Сеть'!P7)&gt;=9,1,0)-IF(MONTH(ДатаSMM)&gt;=9,1,0)),0)</f>
        <v/>
      </c>
      <c r="Q11" s="87">
        <f>IF('03_Сеть'!Q7&gt;=ДатаSMM,SMMNet/NetGross*(1+ИнфляцияЗарплат)^MAX(0,YEAR('03_Сеть'!Q7)-YEAR(ДатаSMM)+IF(MONTH('03_Сеть'!Q7)&gt;=9,1,0)-IF(MONTH(ДатаSMM)&gt;=9,1,0)),0)</f>
        <v/>
      </c>
      <c r="R11" s="87">
        <f>IF('03_Сеть'!R7&gt;=ДатаSMM,SMMNet/NetGross*(1+ИнфляцияЗарплат)^MAX(0,YEAR('03_Сеть'!R7)-YEAR(ДатаSMM)+IF(MONTH('03_Сеть'!R7)&gt;=9,1,0)-IF(MONTH(ДатаSMM)&gt;=9,1,0)),0)</f>
        <v/>
      </c>
      <c r="S11" s="87">
        <f>IF('03_Сеть'!S7&gt;=ДатаSMM,SMMNet/NetGross*(1+ИнфляцияЗарплат)^MAX(0,YEAR('03_Сеть'!S7)-YEAR(ДатаSMM)+IF(MONTH('03_Сеть'!S7)&gt;=9,1,0)-IF(MONTH(ДатаSMM)&gt;=9,1,0)),0)</f>
        <v/>
      </c>
      <c r="T11" s="87">
        <f>IF('03_Сеть'!T7&gt;=ДатаSMM,SMMNet/NetGross*(1+ИнфляцияЗарплат)^MAX(0,YEAR('03_Сеть'!T7)-YEAR(ДатаSMM)+IF(MONTH('03_Сеть'!T7)&gt;=9,1,0)-IF(MONTH(ДатаSMM)&gt;=9,1,0)),0)</f>
        <v/>
      </c>
      <c r="U11" s="87">
        <f>IF('03_Сеть'!U7&gt;=ДатаSMM,SMMNet/NetGross*(1+ИнфляцияЗарплат)^MAX(0,YEAR('03_Сеть'!U7)-YEAR(ДатаSMM)+IF(MONTH('03_Сеть'!U7)&gt;=9,1,0)-IF(MONTH(ДатаSMM)&gt;=9,1,0)),0)</f>
        <v/>
      </c>
      <c r="V11" s="87">
        <f>IF('03_Сеть'!V7&gt;=ДатаSMM,SMMNet/NetGross*(1+ИнфляцияЗарплат)^MAX(0,YEAR('03_Сеть'!V7)-YEAR(ДатаSMM)+IF(MONTH('03_Сеть'!V7)&gt;=9,1,0)-IF(MONTH(ДатаSMM)&gt;=9,1,0)),0)</f>
        <v/>
      </c>
      <c r="W11" s="87">
        <f>IF('03_Сеть'!W7&gt;=ДатаSMM,SMMNet/NetGross*(1+ИнфляцияЗарплат)^MAX(0,YEAR('03_Сеть'!W7)-YEAR(ДатаSMM)+IF(MONTH('03_Сеть'!W7)&gt;=9,1,0)-IF(MONTH(ДатаSMM)&gt;=9,1,0)),0)</f>
        <v/>
      </c>
      <c r="X11" s="87">
        <f>IF('03_Сеть'!X7&gt;=ДатаSMM,SMMNet/NetGross*(1+ИнфляцияЗарплат)^MAX(0,YEAR('03_Сеть'!X7)-YEAR(ДатаSMM)+IF(MONTH('03_Сеть'!X7)&gt;=9,1,0)-IF(MONTH(ДатаSMM)&gt;=9,1,0)),0)</f>
        <v/>
      </c>
      <c r="Y11" s="87">
        <f>IF('03_Сеть'!Y7&gt;=ДатаSMM,SMMNet/NetGross*(1+ИнфляцияЗарплат)^MAX(0,YEAR('03_Сеть'!Y7)-YEAR(ДатаSMM)+IF(MONTH('03_Сеть'!Y7)&gt;=9,1,0)-IF(MONTH(ДатаSMM)&gt;=9,1,0)),0)</f>
        <v/>
      </c>
      <c r="Z11" s="87">
        <f>IF('03_Сеть'!Z7&gt;=ДатаSMM,SMMNet/NetGross*(1+ИнфляцияЗарплат)^MAX(0,YEAR('03_Сеть'!Z7)-YEAR(ДатаSMM)+IF(MONTH('03_Сеть'!Z7)&gt;=9,1,0)-IF(MONTH(ДатаSMM)&gt;=9,1,0)),0)</f>
        <v/>
      </c>
      <c r="AA11" s="87">
        <f>IF('03_Сеть'!AA7&gt;=ДатаSMM,SMMNet/NetGross*(1+ИнфляцияЗарплат)^MAX(0,YEAR('03_Сеть'!AA7)-YEAR(ДатаSMM)+IF(MONTH('03_Сеть'!AA7)&gt;=9,1,0)-IF(MONTH(ДатаSMM)&gt;=9,1,0)),0)</f>
        <v/>
      </c>
      <c r="AB11" s="87">
        <f>IF('03_Сеть'!AB7&gt;=ДатаSMM,SMMNet/NetGross*(1+ИнфляцияЗарплат)^MAX(0,YEAR('03_Сеть'!AB7)-YEAR(ДатаSMM)+IF(MONTH('03_Сеть'!AB7)&gt;=9,1,0)-IF(MONTH(ДатаSMM)&gt;=9,1,0)),0)</f>
        <v/>
      </c>
      <c r="AC11" s="87">
        <f>IF('03_Сеть'!AC7&gt;=ДатаSMM,SMMNet/NetGross*(1+ИнфляцияЗарплат)^MAX(0,YEAR('03_Сеть'!AC7)-YEAR(ДатаSMM)+IF(MONTH('03_Сеть'!AC7)&gt;=9,1,0)-IF(MONTH(ДатаSMM)&gt;=9,1,0)),0)</f>
        <v/>
      </c>
      <c r="AD11" s="87">
        <f>IF('03_Сеть'!AD7&gt;=ДатаSMM,SMMNet/NetGross*(1+ИнфляцияЗарплат)^MAX(0,YEAR('03_Сеть'!AD7)-YEAR(ДатаSMM)+IF(MONTH('03_Сеть'!AD7)&gt;=9,1,0)-IF(MONTH(ДатаSMM)&gt;=9,1,0)),0)</f>
        <v/>
      </c>
      <c r="AE11" s="87">
        <f>IF('03_Сеть'!AE7&gt;=ДатаSMM,SMMNet/NetGross*(1+ИнфляцияЗарплат)^MAX(0,YEAR('03_Сеть'!AE7)-YEAR(ДатаSMM)+IF(MONTH('03_Сеть'!AE7)&gt;=9,1,0)-IF(MONTH(ДатаSMM)&gt;=9,1,0)),0)</f>
        <v/>
      </c>
      <c r="AF11" s="87">
        <f>IF('03_Сеть'!AF7&gt;=ДатаSMM,SMMNet/NetGross*(1+ИнфляцияЗарплат)^MAX(0,YEAR('03_Сеть'!AF7)-YEAR(ДатаSMM)+IF(MONTH('03_Сеть'!AF7)&gt;=9,1,0)-IF(MONTH(ДатаSMM)&gt;=9,1,0)),0)</f>
        <v/>
      </c>
      <c r="AG11" s="87">
        <f>IF('03_Сеть'!AG7&gt;=ДатаSMM,SMMNet/NetGross*(1+ИнфляцияЗарплат)^MAX(0,YEAR('03_Сеть'!AG7)-YEAR(ДатаSMM)+IF(MONTH('03_Сеть'!AG7)&gt;=9,1,0)-IF(MONTH(ДатаSMM)&gt;=9,1,0)),0)</f>
        <v/>
      </c>
      <c r="AH11" s="87">
        <f>IF('03_Сеть'!AH7&gt;=ДатаSMM,SMMNet/NetGross*(1+ИнфляцияЗарплат)^MAX(0,YEAR('03_Сеть'!AH7)-YEAR(ДатаSMM)+IF(MONTH('03_Сеть'!AH7)&gt;=9,1,0)-IF(MONTH(ДатаSMM)&gt;=9,1,0)),0)</f>
        <v/>
      </c>
      <c r="AI11" s="87">
        <f>IF('03_Сеть'!AI7&gt;=ДатаSMM,SMMNet/NetGross*(1+ИнфляцияЗарплат)^MAX(0,YEAR('03_Сеть'!AI7)-YEAR(ДатаSMM)+IF(MONTH('03_Сеть'!AI7)&gt;=9,1,0)-IF(MONTH(ДатаSMM)&gt;=9,1,0)),0)</f>
        <v/>
      </c>
      <c r="AJ11" s="87">
        <f>IF('03_Сеть'!AJ7&gt;=ДатаSMM,SMMNet/NetGross*(1+ИнфляцияЗарплат)^MAX(0,YEAR('03_Сеть'!AJ7)-YEAR(ДатаSMM)+IF(MONTH('03_Сеть'!AJ7)&gt;=9,1,0)-IF(MONTH(ДатаSMM)&gt;=9,1,0)),0)</f>
        <v/>
      </c>
      <c r="AK11" s="87">
        <f>IF('03_Сеть'!AK7&gt;=ДатаSMM,SMMNet/NetGross*(1+ИнфляцияЗарплат)^MAX(0,YEAR('03_Сеть'!AK7)-YEAR(ДатаSMM)+IF(MONTH('03_Сеть'!AK7)&gt;=9,1,0)-IF(MONTH(ДатаSMM)&gt;=9,1,0)),0)</f>
        <v/>
      </c>
      <c r="AL11" s="87">
        <f>IF('03_Сеть'!AL7&gt;=ДатаSMM,SMMNet/NetGross*(1+ИнфляцияЗарплат)^MAX(0,YEAR('03_Сеть'!AL7)-YEAR(ДатаSMM)+IF(MONTH('03_Сеть'!AL7)&gt;=9,1,0)-IF(MONTH(ДатаSMM)&gt;=9,1,0)),0)</f>
        <v/>
      </c>
      <c r="AM11" s="87">
        <f>IF('03_Сеть'!AM7&gt;=ДатаSMM,SMMNet/NetGross*(1+ИнфляцияЗарплат)^MAX(0,YEAR('03_Сеть'!AM7)-YEAR(ДатаSMM)+IF(MONTH('03_Сеть'!AM7)&gt;=9,1,0)-IF(MONTH(ДатаSMM)&gt;=9,1,0)),0)</f>
        <v/>
      </c>
      <c r="AN11" s="87">
        <f>IF('03_Сеть'!AN7&gt;=ДатаSMM,SMMNet/NetGross*(1+ИнфляцияЗарплат)^MAX(0,YEAR('03_Сеть'!AN7)-YEAR(ДатаSMM)+IF(MONTH('03_Сеть'!AN7)&gt;=9,1,0)-IF(MONTH(ДатаSMM)&gt;=9,1,0)),0)</f>
        <v/>
      </c>
      <c r="AO11" s="87">
        <f>IF('03_Сеть'!AO7&gt;=ДатаSMM,SMMNet/NetGross*(1+ИнфляцияЗарплат)^MAX(0,YEAR('03_Сеть'!AO7)-YEAR(ДатаSMM)+IF(MONTH('03_Сеть'!AO7)&gt;=9,1,0)-IF(MONTH(ДатаSMM)&gt;=9,1,0)),0)</f>
        <v/>
      </c>
      <c r="AP11" s="87">
        <f>IF('03_Сеть'!AP7&gt;=ДатаSMM,SMMNet/NetGross*(1+ИнфляцияЗарплат)^MAX(0,YEAR('03_Сеть'!AP7)-YEAR(ДатаSMM)+IF(MONTH('03_Сеть'!AP7)&gt;=9,1,0)-IF(MONTH(ДатаSMM)&gt;=9,1,0)),0)</f>
        <v/>
      </c>
      <c r="AQ11" s="87">
        <f>IF('03_Сеть'!AQ7&gt;=ДатаSMM,SMMNet/NetGross*(1+ИнфляцияЗарплат)^MAX(0,YEAR('03_Сеть'!AQ7)-YEAR(ДатаSMM)+IF(MONTH('03_Сеть'!AQ7)&gt;=9,1,0)-IF(MONTH(ДатаSMM)&gt;=9,1,0)),0)</f>
        <v/>
      </c>
      <c r="AR11" s="87">
        <f>IF('03_Сеть'!AR7&gt;=ДатаSMM,SMMNet/NetGross*(1+ИнфляцияЗарплат)^MAX(0,YEAR('03_Сеть'!AR7)-YEAR(ДатаSMM)+IF(MONTH('03_Сеть'!AR7)&gt;=9,1,0)-IF(MONTH(ДатаSMM)&gt;=9,1,0)),0)</f>
        <v/>
      </c>
      <c r="AS11" s="87">
        <f>IF('03_Сеть'!AS7&gt;=ДатаSMM,SMMNet/NetGross*(1+ИнфляцияЗарплат)^MAX(0,YEAR('03_Сеть'!AS7)-YEAR(ДатаSMM)+IF(MONTH('03_Сеть'!AS7)&gt;=9,1,0)-IF(MONTH(ДатаSMM)&gt;=9,1,0)),0)</f>
        <v/>
      </c>
      <c r="AT11" s="87">
        <f>IF('03_Сеть'!AT7&gt;=ДатаSMM,SMMNet/NetGross*(1+ИнфляцияЗарплат)^MAX(0,YEAR('03_Сеть'!AT7)-YEAR(ДатаSMM)+IF(MONTH('03_Сеть'!AT7)&gt;=9,1,0)-IF(MONTH(ДатаSMM)&gt;=9,1,0)),0)</f>
        <v/>
      </c>
      <c r="AU11" s="87">
        <f>IF('03_Сеть'!AU7&gt;=ДатаSMM,SMMNet/NetGross*(1+ИнфляцияЗарплат)^MAX(0,YEAR('03_Сеть'!AU7)-YEAR(ДатаSMM)+IF(MONTH('03_Сеть'!AU7)&gt;=9,1,0)-IF(MONTH(ДатаSMM)&gt;=9,1,0)),0)</f>
        <v/>
      </c>
      <c r="AV11" s="87">
        <f>IF('03_Сеть'!AV7&gt;=ДатаSMM,SMMNet/NetGross*(1+ИнфляцияЗарплат)^MAX(0,YEAR('03_Сеть'!AV7)-YEAR(ДатаSMM)+IF(MONTH('03_Сеть'!AV7)&gt;=9,1,0)-IF(MONTH(ДатаSMM)&gt;=9,1,0)),0)</f>
        <v/>
      </c>
      <c r="AW11" s="87">
        <f>IF('03_Сеть'!AW7&gt;=ДатаSMM,SMMNet/NetGross*(1+ИнфляцияЗарплат)^MAX(0,YEAR('03_Сеть'!AW7)-YEAR(ДатаSMM)+IF(MONTH('03_Сеть'!AW7)&gt;=9,1,0)-IF(MONTH(ДатаSMM)&gt;=9,1,0)),0)</f>
        <v/>
      </c>
      <c r="AX11" s="87">
        <f>IF('03_Сеть'!AX7&gt;=ДатаSMM,SMMNet/NetGross*(1+ИнфляцияЗарплат)^MAX(0,YEAR('03_Сеть'!AX7)-YEAR(ДатаSMM)+IF(MONTH('03_Сеть'!AX7)&gt;=9,1,0)-IF(MONTH(ДатаSMM)&gt;=9,1,0)),0)</f>
        <v/>
      </c>
      <c r="AY11" s="87">
        <f>IF('03_Сеть'!AY7&gt;=ДатаSMM,SMMNet/NetGross*(1+ИнфляцияЗарплат)^MAX(0,YEAR('03_Сеть'!AY7)-YEAR(ДатаSMM)+IF(MONTH('03_Сеть'!AY7)&gt;=9,1,0)-IF(MONTH(ДатаSMM)&gt;=9,1,0)),0)</f>
        <v/>
      </c>
      <c r="AZ11" s="87">
        <f>IF('03_Сеть'!AZ7&gt;=ДатаSMM,SMMNet/NetGross*(1+ИнфляцияЗарплат)^MAX(0,YEAR('03_Сеть'!AZ7)-YEAR(ДатаSMM)+IF(MONTH('03_Сеть'!AZ7)&gt;=9,1,0)-IF(MONTH(ДатаSMM)&gt;=9,1,0)),0)</f>
        <v/>
      </c>
      <c r="BA11" s="87">
        <f>IF('03_Сеть'!BA7&gt;=ДатаSMM,SMMNet/NetGross*(1+ИнфляцияЗарплат)^MAX(0,YEAR('03_Сеть'!BA7)-YEAR(ДатаSMM)+IF(MONTH('03_Сеть'!BA7)&gt;=9,1,0)-IF(MONTH(ДатаSMM)&gt;=9,1,0)),0)</f>
        <v/>
      </c>
      <c r="BB11" s="87">
        <f>IF('03_Сеть'!BB7&gt;=ДатаSMM,SMMNet/NetGross*(1+ИнфляцияЗарплат)^MAX(0,YEAR('03_Сеть'!BB7)-YEAR(ДатаSMM)+IF(MONTH('03_Сеть'!BB7)&gt;=9,1,0)-IF(MONTH(ДатаSMM)&gt;=9,1,0)),0)</f>
        <v/>
      </c>
      <c r="BC11" s="87">
        <f>IF('03_Сеть'!BC7&gt;=ДатаSMM,SMMNet/NetGross*(1+ИнфляцияЗарплат)^MAX(0,YEAR('03_Сеть'!BC7)-YEAR(ДатаSMM)+IF(MONTH('03_Сеть'!BC7)&gt;=9,1,0)-IF(MONTH(ДатаSMM)&gt;=9,1,0)),0)</f>
        <v/>
      </c>
      <c r="BD11" s="87">
        <f>IF('03_Сеть'!BD7&gt;=ДатаSMM,SMMNet/NetGross*(1+ИнфляцияЗарплат)^MAX(0,YEAR('03_Сеть'!BD7)-YEAR(ДатаSMM)+IF(MONTH('03_Сеть'!BD7)&gt;=9,1,0)-IF(MONTH(ДатаSMM)&gt;=9,1,0)),0)</f>
        <v/>
      </c>
      <c r="BE11" s="87">
        <f>IF('03_Сеть'!BE7&gt;=ДатаSMM,SMMNet/NetGross*(1+ИнфляцияЗарплат)^MAX(0,YEAR('03_Сеть'!BE7)-YEAR(ДатаSMM)+IF(MONTH('03_Сеть'!BE7)&gt;=9,1,0)-IF(MONTH(ДатаSMM)&gt;=9,1,0)),0)</f>
        <v/>
      </c>
      <c r="BF11" s="87">
        <f>IF('03_Сеть'!BF7&gt;=ДатаSMM,SMMNet/NetGross*(1+ИнфляцияЗарплат)^MAX(0,YEAR('03_Сеть'!BF7)-YEAR(ДатаSMM)+IF(MONTH('03_Сеть'!BF7)&gt;=9,1,0)-IF(MONTH(ДатаSMM)&gt;=9,1,0)),0)</f>
        <v/>
      </c>
      <c r="BG11" s="87">
        <f>IF('03_Сеть'!BG7&gt;=ДатаSMM,SMMNet/NetGross*(1+ИнфляцияЗарплат)^MAX(0,YEAR('03_Сеть'!BG7)-YEAR(ДатаSMM)+IF(MONTH('03_Сеть'!BG7)&gt;=9,1,0)-IF(MONTH(ДатаSMM)&gt;=9,1,0)),0)</f>
        <v/>
      </c>
      <c r="BH11" s="87">
        <f>IF('03_Сеть'!BH7&gt;=ДатаSMM,SMMNet/NetGross*(1+ИнфляцияЗарплат)^MAX(0,YEAR('03_Сеть'!BH7)-YEAR(ДатаSMM)+IF(MONTH('03_Сеть'!BH7)&gt;=9,1,0)-IF(MONTH(ДатаSMM)&gt;=9,1,0)),0)</f>
        <v/>
      </c>
      <c r="BI11" s="87">
        <f>IF('03_Сеть'!BI7&gt;=ДатаSMM,SMMNet/NetGross*(1+ИнфляцияЗарплат)^MAX(0,YEAR('03_Сеть'!BI7)-YEAR(ДатаSMM)+IF(MONTH('03_Сеть'!BI7)&gt;=9,1,0)-IF(MONTH(ДатаSMM)&gt;=9,1,0)),0)</f>
        <v/>
      </c>
      <c r="BJ11" s="87">
        <f>IF('03_Сеть'!BJ7&gt;=ДатаSMM,SMMNet/NetGross*(1+ИнфляцияЗарплат)^MAX(0,YEAR('03_Сеть'!BJ7)-YEAR(ДатаSMM)+IF(MONTH('03_Сеть'!BJ7)&gt;=9,1,0)-IF(MONTH(ДатаSMM)&gt;=9,1,0)),0)</f>
        <v/>
      </c>
      <c r="BK11" s="87">
        <f>IF('03_Сеть'!BK7&gt;=ДатаSMM,SMMNet/NetGross*(1+ИнфляцияЗарплат)^MAX(0,YEAR('03_Сеть'!BK7)-YEAR(ДатаSMM)+IF(MONTH('03_Сеть'!BK7)&gt;=9,1,0)-IF(MONTH(ДатаSMM)&gt;=9,1,0)),0)</f>
        <v/>
      </c>
      <c r="BL11" s="87">
        <f>IF('03_Сеть'!BL7&gt;=ДатаSMM,SMMNet/NetGross*(1+ИнфляцияЗарплат)^MAX(0,YEAR('03_Сеть'!BL7)-YEAR(ДатаSMM)+IF(MONTH('03_Сеть'!BL7)&gt;=9,1,0)-IF(MONTH(ДатаSMM)&gt;=9,1,0)),0)</f>
        <v/>
      </c>
      <c r="BM11" s="87">
        <f>IF('03_Сеть'!BM7&gt;=ДатаSMM,SMMNet/NetGross*(1+ИнфляцияЗарплат)^MAX(0,YEAR('03_Сеть'!BM7)-YEAR(ДатаSMM)+IF(MONTH('03_Сеть'!BM7)&gt;=9,1,0)-IF(MONTH(ДатаSMM)&gt;=9,1,0)),0)</f>
        <v/>
      </c>
      <c r="BN11" s="87">
        <f>IF('03_Сеть'!BN7&gt;=ДатаSMM,SMMNet/NetGross*(1+ИнфляцияЗарплат)^MAX(0,YEAR('03_Сеть'!BN7)-YEAR(ДатаSMM)+IF(MONTH('03_Сеть'!BN7)&gt;=9,1,0)-IF(MONTH(ДатаSMM)&gt;=9,1,0)),0)</f>
        <v/>
      </c>
      <c r="BO11" s="87">
        <f>IF('03_Сеть'!BO7&gt;=ДатаSMM,SMMNet/NetGross*(1+ИнфляцияЗарплат)^MAX(0,YEAR('03_Сеть'!BO7)-YEAR(ДатаSMM)+IF(MONTH('03_Сеть'!BO7)&gt;=9,1,0)-IF(MONTH(ДатаSMM)&gt;=9,1,0)),0)</f>
        <v/>
      </c>
      <c r="BP11" s="87">
        <f>IF('03_Сеть'!BP7&gt;=ДатаSMM,SMMNet/NetGross*(1+ИнфляцияЗарплат)^MAX(0,YEAR('03_Сеть'!BP7)-YEAR(ДатаSMM)+IF(MONTH('03_Сеть'!BP7)&gt;=9,1,0)-IF(MONTH(ДатаSMM)&gt;=9,1,0)),0)</f>
        <v/>
      </c>
      <c r="BQ11" s="87">
        <f>IF('03_Сеть'!BQ7&gt;=ДатаSMM,SMMNet/NetGross*(1+ИнфляцияЗарплат)^MAX(0,YEAR('03_Сеть'!BQ7)-YEAR(ДатаSMM)+IF(MONTH('03_Сеть'!BQ7)&gt;=9,1,0)-IF(MONTH(ДатаSMM)&gt;=9,1,0)),0)</f>
        <v/>
      </c>
      <c r="BR11" s="87">
        <f>IF('03_Сеть'!BR7&gt;=ДатаSMM,SMMNet/NetGross*(1+ИнфляцияЗарплат)^MAX(0,YEAR('03_Сеть'!BR7)-YEAR(ДатаSMM)+IF(MONTH('03_Сеть'!BR7)&gt;=9,1,0)-IF(MONTH(ДатаSMM)&gt;=9,1,0)),0)</f>
        <v/>
      </c>
      <c r="BS11" s="87">
        <f>IF('03_Сеть'!BS7&gt;=ДатаSMM,SMMNet/NetGross*(1+ИнфляцияЗарплат)^MAX(0,YEAR('03_Сеть'!BS7)-YEAR(ДатаSMM)+IF(MONTH('03_Сеть'!BS7)&gt;=9,1,0)-IF(MONTH(ДатаSMM)&gt;=9,1,0)),0)</f>
        <v/>
      </c>
      <c r="BT11" s="87">
        <f>IF('03_Сеть'!BT7&gt;=ДатаSMM,SMMNet/NetGross*(1+ИнфляцияЗарплат)^MAX(0,YEAR('03_Сеть'!BT7)-YEAR(ДатаSMM)+IF(MONTH('03_Сеть'!BT7)&gt;=9,1,0)-IF(MONTH(ДатаSMM)&gt;=9,1,0)),0)</f>
        <v/>
      </c>
      <c r="BU11" s="87">
        <f>IF('03_Сеть'!BU7&gt;=ДатаSMM,SMMNet/NetGross*(1+ИнфляцияЗарплат)^MAX(0,YEAR('03_Сеть'!BU7)-YEAR(ДатаSMM)+IF(MONTH('03_Сеть'!BU7)&gt;=9,1,0)-IF(MONTH(ДатаSMM)&gt;=9,1,0)),0)</f>
        <v/>
      </c>
      <c r="BV11" s="87">
        <f>IF('03_Сеть'!BV7&gt;=ДатаSMM,SMMNet/NetGross*(1+ИнфляцияЗарплат)^MAX(0,YEAR('03_Сеть'!BV7)-YEAR(ДатаSMM)+IF(MONTH('03_Сеть'!BV7)&gt;=9,1,0)-IF(MONTH(ДатаSMM)&gt;=9,1,0)),0)</f>
        <v/>
      </c>
      <c r="BW11" s="87">
        <f>IF('03_Сеть'!BW7&gt;=ДатаSMM,SMMNet/NetGross*(1+ИнфляцияЗарплат)^MAX(0,YEAR('03_Сеть'!BW7)-YEAR(ДатаSMM)+IF(MONTH('03_Сеть'!BW7)&gt;=9,1,0)-IF(MONTH(ДатаSMM)&gt;=9,1,0)),0)</f>
        <v/>
      </c>
      <c r="BX11" s="87">
        <f>IF('03_Сеть'!BX7&gt;=ДатаSMM,SMMNet/NetGross*(1+ИнфляцияЗарплат)^MAX(0,YEAR('03_Сеть'!BX7)-YEAR(ДатаSMM)+IF(MONTH('03_Сеть'!BX7)&gt;=9,1,0)-IF(MONTH(ДатаSMM)&gt;=9,1,0)),0)</f>
        <v/>
      </c>
      <c r="BY11" s="87">
        <f>IF('03_Сеть'!BY7&gt;=ДатаSMM,SMMNet/NetGross*(1+ИнфляцияЗарплат)^MAX(0,YEAR('03_Сеть'!BY7)-YEAR(ДатаSMM)+IF(MONTH('03_Сеть'!BY7)&gt;=9,1,0)-IF(MONTH(ДатаSMM)&gt;=9,1,0)),0)</f>
        <v/>
      </c>
    </row>
    <row r="12">
      <c r="B12" s="56" t="inlineStr">
        <is>
          <t>Доп. менеджеры развития</t>
        </is>
      </c>
      <c r="C12" s="56" t="inlineStr">
        <is>
          <t>чел.</t>
        </is>
      </c>
      <c r="D12" s="57" t="inlineStr">
        <is>
          <t>Новый менеджер на каждые 35 партнёров В колонках лет — значение на конец года, в «Итого» — на конец пятого года. Это остаток, а не сумма.</t>
        </is>
      </c>
      <c r="E12" s="85">
        <f>W12</f>
        <v/>
      </c>
      <c r="F12" s="85">
        <f>AI12</f>
        <v/>
      </c>
      <c r="G12" s="85">
        <f>AU12</f>
        <v/>
      </c>
      <c r="H12" s="85">
        <f>BG12</f>
        <v/>
      </c>
      <c r="I12" s="85">
        <f>BS12</f>
        <v/>
      </c>
      <c r="J12" s="86">
        <f>BS12</f>
        <v/>
      </c>
      <c r="L12" s="87">
        <f>MAX(0,MAX(БазовыхМенеджеров,INT('03_Сеть'!L61/ЮрлицНаМенеджера)+1)-БазовыхМенеджеров)</f>
        <v/>
      </c>
      <c r="M12" s="87">
        <f>MAX(0,MAX(БазовыхМенеджеров,INT('03_Сеть'!M61/ЮрлицНаМенеджера)+1)-БазовыхМенеджеров)</f>
        <v/>
      </c>
      <c r="N12" s="87">
        <f>MAX(0,MAX(БазовыхМенеджеров,INT('03_Сеть'!N61/ЮрлицНаМенеджера)+1)-БазовыхМенеджеров)</f>
        <v/>
      </c>
      <c r="O12" s="87">
        <f>MAX(0,MAX(БазовыхМенеджеров,INT('03_Сеть'!O61/ЮрлицНаМенеджера)+1)-БазовыхМенеджеров)</f>
        <v/>
      </c>
      <c r="P12" s="87">
        <f>MAX(0,MAX(БазовыхМенеджеров,INT('03_Сеть'!P61/ЮрлицНаМенеджера)+1)-БазовыхМенеджеров)</f>
        <v/>
      </c>
      <c r="Q12" s="87">
        <f>MAX(0,MAX(БазовыхМенеджеров,INT('03_Сеть'!Q61/ЮрлицНаМенеджера)+1)-БазовыхМенеджеров)</f>
        <v/>
      </c>
      <c r="R12" s="87">
        <f>MAX(0,MAX(БазовыхМенеджеров,INT('03_Сеть'!R61/ЮрлицНаМенеджера)+1)-БазовыхМенеджеров)</f>
        <v/>
      </c>
      <c r="S12" s="87">
        <f>MAX(0,MAX(БазовыхМенеджеров,INT('03_Сеть'!S61/ЮрлицНаМенеджера)+1)-БазовыхМенеджеров)</f>
        <v/>
      </c>
      <c r="T12" s="87">
        <f>MAX(0,MAX(БазовыхМенеджеров,INT('03_Сеть'!T61/ЮрлицНаМенеджера)+1)-БазовыхМенеджеров)</f>
        <v/>
      </c>
      <c r="U12" s="87">
        <f>MAX(0,MAX(БазовыхМенеджеров,INT('03_Сеть'!U61/ЮрлицНаМенеджера)+1)-БазовыхМенеджеров)</f>
        <v/>
      </c>
      <c r="V12" s="87">
        <f>MAX(0,MAX(БазовыхМенеджеров,INT('03_Сеть'!V61/ЮрлицНаМенеджера)+1)-БазовыхМенеджеров)</f>
        <v/>
      </c>
      <c r="W12" s="87">
        <f>MAX(0,MAX(БазовыхМенеджеров,INT('03_Сеть'!W61/ЮрлицНаМенеджера)+1)-БазовыхМенеджеров)</f>
        <v/>
      </c>
      <c r="X12" s="87">
        <f>MAX(0,MAX(БазовыхМенеджеров,INT('03_Сеть'!X61/ЮрлицНаМенеджера)+1)-БазовыхМенеджеров)</f>
        <v/>
      </c>
      <c r="Y12" s="87">
        <f>MAX(0,MAX(БазовыхМенеджеров,INT('03_Сеть'!Y61/ЮрлицНаМенеджера)+1)-БазовыхМенеджеров)</f>
        <v/>
      </c>
      <c r="Z12" s="87">
        <f>MAX(0,MAX(БазовыхМенеджеров,INT('03_Сеть'!Z61/ЮрлицНаМенеджера)+1)-БазовыхМенеджеров)</f>
        <v/>
      </c>
      <c r="AA12" s="87">
        <f>MAX(0,MAX(БазовыхМенеджеров,INT('03_Сеть'!AA61/ЮрлицНаМенеджера)+1)-БазовыхМенеджеров)</f>
        <v/>
      </c>
      <c r="AB12" s="87">
        <f>MAX(0,MAX(БазовыхМенеджеров,INT('03_Сеть'!AB61/ЮрлицНаМенеджера)+1)-БазовыхМенеджеров)</f>
        <v/>
      </c>
      <c r="AC12" s="87">
        <f>MAX(0,MAX(БазовыхМенеджеров,INT('03_Сеть'!AC61/ЮрлицНаМенеджера)+1)-БазовыхМенеджеров)</f>
        <v/>
      </c>
      <c r="AD12" s="87">
        <f>MAX(0,MAX(БазовыхМенеджеров,INT('03_Сеть'!AD61/ЮрлицНаМенеджера)+1)-БазовыхМенеджеров)</f>
        <v/>
      </c>
      <c r="AE12" s="87">
        <f>MAX(0,MAX(БазовыхМенеджеров,INT('03_Сеть'!AE61/ЮрлицНаМенеджера)+1)-БазовыхМенеджеров)</f>
        <v/>
      </c>
      <c r="AF12" s="87">
        <f>MAX(0,MAX(БазовыхМенеджеров,INT('03_Сеть'!AF61/ЮрлицНаМенеджера)+1)-БазовыхМенеджеров)</f>
        <v/>
      </c>
      <c r="AG12" s="87">
        <f>MAX(0,MAX(БазовыхМенеджеров,INT('03_Сеть'!AG61/ЮрлицНаМенеджера)+1)-БазовыхМенеджеров)</f>
        <v/>
      </c>
      <c r="AH12" s="87">
        <f>MAX(0,MAX(БазовыхМенеджеров,INT('03_Сеть'!AH61/ЮрлицНаМенеджера)+1)-БазовыхМенеджеров)</f>
        <v/>
      </c>
      <c r="AI12" s="87">
        <f>MAX(0,MAX(БазовыхМенеджеров,INT('03_Сеть'!AI61/ЮрлицНаМенеджера)+1)-БазовыхМенеджеров)</f>
        <v/>
      </c>
      <c r="AJ12" s="87">
        <f>MAX(0,MAX(БазовыхМенеджеров,INT('03_Сеть'!AJ61/ЮрлицНаМенеджера)+1)-БазовыхМенеджеров)</f>
        <v/>
      </c>
      <c r="AK12" s="87">
        <f>MAX(0,MAX(БазовыхМенеджеров,INT('03_Сеть'!AK61/ЮрлицНаМенеджера)+1)-БазовыхМенеджеров)</f>
        <v/>
      </c>
      <c r="AL12" s="87">
        <f>MAX(0,MAX(БазовыхМенеджеров,INT('03_Сеть'!AL61/ЮрлицНаМенеджера)+1)-БазовыхМенеджеров)</f>
        <v/>
      </c>
      <c r="AM12" s="87">
        <f>MAX(0,MAX(БазовыхМенеджеров,INT('03_Сеть'!AM61/ЮрлицНаМенеджера)+1)-БазовыхМенеджеров)</f>
        <v/>
      </c>
      <c r="AN12" s="87">
        <f>MAX(0,MAX(БазовыхМенеджеров,INT('03_Сеть'!AN61/ЮрлицНаМенеджера)+1)-БазовыхМенеджеров)</f>
        <v/>
      </c>
      <c r="AO12" s="87">
        <f>MAX(0,MAX(БазовыхМенеджеров,INT('03_Сеть'!AO61/ЮрлицНаМенеджера)+1)-БазовыхМенеджеров)</f>
        <v/>
      </c>
      <c r="AP12" s="87">
        <f>MAX(0,MAX(БазовыхМенеджеров,INT('03_Сеть'!AP61/ЮрлицНаМенеджера)+1)-БазовыхМенеджеров)</f>
        <v/>
      </c>
      <c r="AQ12" s="87">
        <f>MAX(0,MAX(БазовыхМенеджеров,INT('03_Сеть'!AQ61/ЮрлицНаМенеджера)+1)-БазовыхМенеджеров)</f>
        <v/>
      </c>
      <c r="AR12" s="87">
        <f>MAX(0,MAX(БазовыхМенеджеров,INT('03_Сеть'!AR61/ЮрлицНаМенеджера)+1)-БазовыхМенеджеров)</f>
        <v/>
      </c>
      <c r="AS12" s="87">
        <f>MAX(0,MAX(БазовыхМенеджеров,INT('03_Сеть'!AS61/ЮрлицНаМенеджера)+1)-БазовыхМенеджеров)</f>
        <v/>
      </c>
      <c r="AT12" s="87">
        <f>MAX(0,MAX(БазовыхМенеджеров,INT('03_Сеть'!AT61/ЮрлицНаМенеджера)+1)-БазовыхМенеджеров)</f>
        <v/>
      </c>
      <c r="AU12" s="87">
        <f>MAX(0,MAX(БазовыхМенеджеров,INT('03_Сеть'!AU61/ЮрлицНаМенеджера)+1)-БазовыхМенеджеров)</f>
        <v/>
      </c>
      <c r="AV12" s="87">
        <f>MAX(0,MAX(БазовыхМенеджеров,INT('03_Сеть'!AV61/ЮрлицНаМенеджера)+1)-БазовыхМенеджеров)</f>
        <v/>
      </c>
      <c r="AW12" s="87">
        <f>MAX(0,MAX(БазовыхМенеджеров,INT('03_Сеть'!AW61/ЮрлицНаМенеджера)+1)-БазовыхМенеджеров)</f>
        <v/>
      </c>
      <c r="AX12" s="87">
        <f>MAX(0,MAX(БазовыхМенеджеров,INT('03_Сеть'!AX61/ЮрлицНаМенеджера)+1)-БазовыхМенеджеров)</f>
        <v/>
      </c>
      <c r="AY12" s="87">
        <f>MAX(0,MAX(БазовыхМенеджеров,INT('03_Сеть'!AY61/ЮрлицНаМенеджера)+1)-БазовыхМенеджеров)</f>
        <v/>
      </c>
      <c r="AZ12" s="87">
        <f>MAX(0,MAX(БазовыхМенеджеров,INT('03_Сеть'!AZ61/ЮрлицНаМенеджера)+1)-БазовыхМенеджеров)</f>
        <v/>
      </c>
      <c r="BA12" s="87">
        <f>MAX(0,MAX(БазовыхМенеджеров,INT('03_Сеть'!BA61/ЮрлицНаМенеджера)+1)-БазовыхМенеджеров)</f>
        <v/>
      </c>
      <c r="BB12" s="87">
        <f>MAX(0,MAX(БазовыхМенеджеров,INT('03_Сеть'!BB61/ЮрлицНаМенеджера)+1)-БазовыхМенеджеров)</f>
        <v/>
      </c>
      <c r="BC12" s="87">
        <f>MAX(0,MAX(БазовыхМенеджеров,INT('03_Сеть'!BC61/ЮрлицНаМенеджера)+1)-БазовыхМенеджеров)</f>
        <v/>
      </c>
      <c r="BD12" s="87">
        <f>MAX(0,MAX(БазовыхМенеджеров,INT('03_Сеть'!BD61/ЮрлицНаМенеджера)+1)-БазовыхМенеджеров)</f>
        <v/>
      </c>
      <c r="BE12" s="87">
        <f>MAX(0,MAX(БазовыхМенеджеров,INT('03_Сеть'!BE61/ЮрлицНаМенеджера)+1)-БазовыхМенеджеров)</f>
        <v/>
      </c>
      <c r="BF12" s="87">
        <f>MAX(0,MAX(БазовыхМенеджеров,INT('03_Сеть'!BF61/ЮрлицНаМенеджера)+1)-БазовыхМенеджеров)</f>
        <v/>
      </c>
      <c r="BG12" s="87">
        <f>MAX(0,MAX(БазовыхМенеджеров,INT('03_Сеть'!BG61/ЮрлицНаМенеджера)+1)-БазовыхМенеджеров)</f>
        <v/>
      </c>
      <c r="BH12" s="87">
        <f>MAX(0,MAX(БазовыхМенеджеров,INT('03_Сеть'!BH61/ЮрлицНаМенеджера)+1)-БазовыхМенеджеров)</f>
        <v/>
      </c>
      <c r="BI12" s="87">
        <f>MAX(0,MAX(БазовыхМенеджеров,INT('03_Сеть'!BI61/ЮрлицНаМенеджера)+1)-БазовыхМенеджеров)</f>
        <v/>
      </c>
      <c r="BJ12" s="87">
        <f>MAX(0,MAX(БазовыхМенеджеров,INT('03_Сеть'!BJ61/ЮрлицНаМенеджера)+1)-БазовыхМенеджеров)</f>
        <v/>
      </c>
      <c r="BK12" s="87">
        <f>MAX(0,MAX(БазовыхМенеджеров,INT('03_Сеть'!BK61/ЮрлицНаМенеджера)+1)-БазовыхМенеджеров)</f>
        <v/>
      </c>
      <c r="BL12" s="87">
        <f>MAX(0,MAX(БазовыхМенеджеров,INT('03_Сеть'!BL61/ЮрлицНаМенеджера)+1)-БазовыхМенеджеров)</f>
        <v/>
      </c>
      <c r="BM12" s="87">
        <f>MAX(0,MAX(БазовыхМенеджеров,INT('03_Сеть'!BM61/ЮрлицНаМенеджера)+1)-БазовыхМенеджеров)</f>
        <v/>
      </c>
      <c r="BN12" s="87">
        <f>MAX(0,MAX(БазовыхМенеджеров,INT('03_Сеть'!BN61/ЮрлицНаМенеджера)+1)-БазовыхМенеджеров)</f>
        <v/>
      </c>
      <c r="BO12" s="87">
        <f>MAX(0,MAX(БазовыхМенеджеров,INT('03_Сеть'!BO61/ЮрлицНаМенеджера)+1)-БазовыхМенеджеров)</f>
        <v/>
      </c>
      <c r="BP12" s="87">
        <f>MAX(0,MAX(БазовыхМенеджеров,INT('03_Сеть'!BP61/ЮрлицНаМенеджера)+1)-БазовыхМенеджеров)</f>
        <v/>
      </c>
      <c r="BQ12" s="87">
        <f>MAX(0,MAX(БазовыхМенеджеров,INT('03_Сеть'!BQ61/ЮрлицНаМенеджера)+1)-БазовыхМенеджеров)</f>
        <v/>
      </c>
      <c r="BR12" s="87">
        <f>MAX(0,MAX(БазовыхМенеджеров,INT('03_Сеть'!BR61/ЮрлицНаМенеджера)+1)-БазовыхМенеджеров)</f>
        <v/>
      </c>
      <c r="BS12" s="87">
        <f>MAX(0,MAX(БазовыхМенеджеров,INT('03_Сеть'!BS61/ЮрлицНаМенеджера)+1)-БазовыхМенеджеров)</f>
        <v/>
      </c>
      <c r="BT12" s="87">
        <f>MAX(0,MAX(БазовыхМенеджеров,INT('03_Сеть'!BT61/ЮрлицНаМенеджера)+1)-БазовыхМенеджеров)</f>
        <v/>
      </c>
      <c r="BU12" s="87">
        <f>MAX(0,MAX(БазовыхМенеджеров,INT('03_Сеть'!BU61/ЮрлицНаМенеджера)+1)-БазовыхМенеджеров)</f>
        <v/>
      </c>
      <c r="BV12" s="87">
        <f>MAX(0,MAX(БазовыхМенеджеров,INT('03_Сеть'!BV61/ЮрлицНаМенеджера)+1)-БазовыхМенеджеров)</f>
        <v/>
      </c>
      <c r="BW12" s="87">
        <f>MAX(0,MAX(БазовыхМенеджеров,INT('03_Сеть'!BW61/ЮрлицНаМенеджера)+1)-БазовыхМенеджеров)</f>
        <v/>
      </c>
      <c r="BX12" s="87">
        <f>MAX(0,MAX(БазовыхМенеджеров,INT('03_Сеть'!BX61/ЮрлицНаМенеджера)+1)-БазовыхМенеджеров)</f>
        <v/>
      </c>
      <c r="BY12" s="87">
        <f>MAX(0,MAX(БазовыхМенеджеров,INT('03_Сеть'!BY61/ЮрлицНаМенеджера)+1)-БазовыхМенеджеров)</f>
        <v/>
      </c>
    </row>
    <row r="13">
      <c r="B13" s="56" t="inlineStr">
        <is>
          <t>Доп. менеджеры, gross</t>
        </is>
      </c>
      <c r="C13" s="56" t="inlineStr">
        <is>
          <t>₽</t>
        </is>
      </c>
      <c r="D13" s="57" t="n"/>
      <c r="E13" s="85">
        <f>SUM(L13:W13)</f>
        <v/>
      </c>
      <c r="F13" s="85">
        <f>SUM(X13:AI13)</f>
        <v/>
      </c>
      <c r="G13" s="85">
        <f>SUM(AJ13:AU13)</f>
        <v/>
      </c>
      <c r="H13" s="85">
        <f>SUM(AV13:BG13)</f>
        <v/>
      </c>
      <c r="I13" s="85">
        <f>SUM(BH13:BS13)</f>
        <v/>
      </c>
      <c r="J13" s="86">
        <f>SUM(L13:BS13)</f>
        <v/>
      </c>
      <c r="L13" s="87">
        <f>L12*ОкладМенеджера*L7</f>
        <v/>
      </c>
      <c r="M13" s="87">
        <f>M12*ОкладМенеджера*M7</f>
        <v/>
      </c>
      <c r="N13" s="87">
        <f>N12*ОкладМенеджера*N7</f>
        <v/>
      </c>
      <c r="O13" s="87">
        <f>O12*ОкладМенеджера*O7</f>
        <v/>
      </c>
      <c r="P13" s="87">
        <f>P12*ОкладМенеджера*P7</f>
        <v/>
      </c>
      <c r="Q13" s="87">
        <f>Q12*ОкладМенеджера*Q7</f>
        <v/>
      </c>
      <c r="R13" s="87">
        <f>R12*ОкладМенеджера*R7</f>
        <v/>
      </c>
      <c r="S13" s="87">
        <f>S12*ОкладМенеджера*S7</f>
        <v/>
      </c>
      <c r="T13" s="87">
        <f>T12*ОкладМенеджера*T7</f>
        <v/>
      </c>
      <c r="U13" s="87">
        <f>U12*ОкладМенеджера*U7</f>
        <v/>
      </c>
      <c r="V13" s="87">
        <f>V12*ОкладМенеджера*V7</f>
        <v/>
      </c>
      <c r="W13" s="87">
        <f>W12*ОкладМенеджера*W7</f>
        <v/>
      </c>
      <c r="X13" s="87">
        <f>X12*ОкладМенеджера*X7</f>
        <v/>
      </c>
      <c r="Y13" s="87">
        <f>Y12*ОкладМенеджера*Y7</f>
        <v/>
      </c>
      <c r="Z13" s="87">
        <f>Z12*ОкладМенеджера*Z7</f>
        <v/>
      </c>
      <c r="AA13" s="87">
        <f>AA12*ОкладМенеджера*AA7</f>
        <v/>
      </c>
      <c r="AB13" s="87">
        <f>AB12*ОкладМенеджера*AB7</f>
        <v/>
      </c>
      <c r="AC13" s="87">
        <f>AC12*ОкладМенеджера*AC7</f>
        <v/>
      </c>
      <c r="AD13" s="87">
        <f>AD12*ОкладМенеджера*AD7</f>
        <v/>
      </c>
      <c r="AE13" s="87">
        <f>AE12*ОкладМенеджера*AE7</f>
        <v/>
      </c>
      <c r="AF13" s="87">
        <f>AF12*ОкладМенеджера*AF7</f>
        <v/>
      </c>
      <c r="AG13" s="87">
        <f>AG12*ОкладМенеджера*AG7</f>
        <v/>
      </c>
      <c r="AH13" s="87">
        <f>AH12*ОкладМенеджера*AH7</f>
        <v/>
      </c>
      <c r="AI13" s="87">
        <f>AI12*ОкладМенеджера*AI7</f>
        <v/>
      </c>
      <c r="AJ13" s="87">
        <f>AJ12*ОкладМенеджера*AJ7</f>
        <v/>
      </c>
      <c r="AK13" s="87">
        <f>AK12*ОкладМенеджера*AK7</f>
        <v/>
      </c>
      <c r="AL13" s="87">
        <f>AL12*ОкладМенеджера*AL7</f>
        <v/>
      </c>
      <c r="AM13" s="87">
        <f>AM12*ОкладМенеджера*AM7</f>
        <v/>
      </c>
      <c r="AN13" s="87">
        <f>AN12*ОкладМенеджера*AN7</f>
        <v/>
      </c>
      <c r="AO13" s="87">
        <f>AO12*ОкладМенеджера*AO7</f>
        <v/>
      </c>
      <c r="AP13" s="87">
        <f>AP12*ОкладМенеджера*AP7</f>
        <v/>
      </c>
      <c r="AQ13" s="87">
        <f>AQ12*ОкладМенеджера*AQ7</f>
        <v/>
      </c>
      <c r="AR13" s="87">
        <f>AR12*ОкладМенеджера*AR7</f>
        <v/>
      </c>
      <c r="AS13" s="87">
        <f>AS12*ОкладМенеджера*AS7</f>
        <v/>
      </c>
      <c r="AT13" s="87">
        <f>AT12*ОкладМенеджера*AT7</f>
        <v/>
      </c>
      <c r="AU13" s="87">
        <f>AU12*ОкладМенеджера*AU7</f>
        <v/>
      </c>
      <c r="AV13" s="87">
        <f>AV12*ОкладМенеджера*AV7</f>
        <v/>
      </c>
      <c r="AW13" s="87">
        <f>AW12*ОкладМенеджера*AW7</f>
        <v/>
      </c>
      <c r="AX13" s="87">
        <f>AX12*ОкладМенеджера*AX7</f>
        <v/>
      </c>
      <c r="AY13" s="87">
        <f>AY12*ОкладМенеджера*AY7</f>
        <v/>
      </c>
      <c r="AZ13" s="87">
        <f>AZ12*ОкладМенеджера*AZ7</f>
        <v/>
      </c>
      <c r="BA13" s="87">
        <f>BA12*ОкладМенеджера*BA7</f>
        <v/>
      </c>
      <c r="BB13" s="87">
        <f>BB12*ОкладМенеджера*BB7</f>
        <v/>
      </c>
      <c r="BC13" s="87">
        <f>BC12*ОкладМенеджера*BC7</f>
        <v/>
      </c>
      <c r="BD13" s="87">
        <f>BD12*ОкладМенеджера*BD7</f>
        <v/>
      </c>
      <c r="BE13" s="87">
        <f>BE12*ОкладМенеджера*BE7</f>
        <v/>
      </c>
      <c r="BF13" s="87">
        <f>BF12*ОкладМенеджера*BF7</f>
        <v/>
      </c>
      <c r="BG13" s="87">
        <f>BG12*ОкладМенеджера*BG7</f>
        <v/>
      </c>
      <c r="BH13" s="87">
        <f>BH12*ОкладМенеджера*BH7</f>
        <v/>
      </c>
      <c r="BI13" s="87">
        <f>BI12*ОкладМенеджера*BI7</f>
        <v/>
      </c>
      <c r="BJ13" s="87">
        <f>BJ12*ОкладМенеджера*BJ7</f>
        <v/>
      </c>
      <c r="BK13" s="87">
        <f>BK12*ОкладМенеджера*BK7</f>
        <v/>
      </c>
      <c r="BL13" s="87">
        <f>BL12*ОкладМенеджера*BL7</f>
        <v/>
      </c>
      <c r="BM13" s="87">
        <f>BM12*ОкладМенеджера*BM7</f>
        <v/>
      </c>
      <c r="BN13" s="87">
        <f>BN12*ОкладМенеджера*BN7</f>
        <v/>
      </c>
      <c r="BO13" s="87">
        <f>BO12*ОкладМенеджера*BO7</f>
        <v/>
      </c>
      <c r="BP13" s="87">
        <f>BP12*ОкладМенеджера*BP7</f>
        <v/>
      </c>
      <c r="BQ13" s="87">
        <f>BQ12*ОкладМенеджера*BQ7</f>
        <v/>
      </c>
      <c r="BR13" s="87">
        <f>BR12*ОкладМенеджера*BR7</f>
        <v/>
      </c>
      <c r="BS13" s="87">
        <f>BS12*ОкладМенеджера*BS7</f>
        <v/>
      </c>
      <c r="BT13" s="87">
        <f>BT12*ОкладМенеджера*BT7</f>
        <v/>
      </c>
      <c r="BU13" s="87">
        <f>BU12*ОкладМенеджера*BU7</f>
        <v/>
      </c>
      <c r="BV13" s="87">
        <f>BV12*ОкладМенеджера*BV7</f>
        <v/>
      </c>
      <c r="BW13" s="87">
        <f>BW12*ОкладМенеджера*BW7</f>
        <v/>
      </c>
      <c r="BX13" s="87">
        <f>BX12*ОкладМенеджера*BX7</f>
        <v/>
      </c>
      <c r="BY13" s="87">
        <f>BY12*ОкладМенеджера*BY7</f>
        <v/>
      </c>
    </row>
    <row r="14">
      <c r="B14" s="130" t="inlineStr">
        <is>
          <t>Все оклады, gross</t>
        </is>
      </c>
      <c r="C14" s="130" t="inlineStr">
        <is>
          <t>₽</t>
        </is>
      </c>
      <c r="D14" s="156" t="n"/>
      <c r="E14" s="157">
        <f>SUM(L14:W14)</f>
        <v/>
      </c>
      <c r="F14" s="157">
        <f>SUM(X14:AI14)</f>
        <v/>
      </c>
      <c r="G14" s="157">
        <f>SUM(AJ14:AU14)</f>
        <v/>
      </c>
      <c r="H14" s="157">
        <f>SUM(AV14:BG14)</f>
        <v/>
      </c>
      <c r="I14" s="157">
        <f>SUM(BH14:BS14)</f>
        <v/>
      </c>
      <c r="J14" s="134">
        <f>SUM(L14:BS14)</f>
        <v/>
      </c>
      <c r="L14" s="133">
        <f>L9+L10+L11+L13</f>
        <v/>
      </c>
      <c r="M14" s="133">
        <f>M9+M10+M11+M13</f>
        <v/>
      </c>
      <c r="N14" s="133">
        <f>N9+N10+N11+N13</f>
        <v/>
      </c>
      <c r="O14" s="133">
        <f>O9+O10+O11+O13</f>
        <v/>
      </c>
      <c r="P14" s="133">
        <f>P9+P10+P11+P13</f>
        <v/>
      </c>
      <c r="Q14" s="133">
        <f>Q9+Q10+Q11+Q13</f>
        <v/>
      </c>
      <c r="R14" s="133">
        <f>R9+R10+R11+R13</f>
        <v/>
      </c>
      <c r="S14" s="133">
        <f>S9+S10+S11+S13</f>
        <v/>
      </c>
      <c r="T14" s="133">
        <f>T9+T10+T11+T13</f>
        <v/>
      </c>
      <c r="U14" s="133">
        <f>U9+U10+U11+U13</f>
        <v/>
      </c>
      <c r="V14" s="133">
        <f>V9+V10+V11+V13</f>
        <v/>
      </c>
      <c r="W14" s="133">
        <f>W9+W10+W11+W13</f>
        <v/>
      </c>
      <c r="X14" s="133">
        <f>X9+X10+X11+X13</f>
        <v/>
      </c>
      <c r="Y14" s="133">
        <f>Y9+Y10+Y11+Y13</f>
        <v/>
      </c>
      <c r="Z14" s="133">
        <f>Z9+Z10+Z11+Z13</f>
        <v/>
      </c>
      <c r="AA14" s="133">
        <f>AA9+AA10+AA11+AA13</f>
        <v/>
      </c>
      <c r="AB14" s="133">
        <f>AB9+AB10+AB11+AB13</f>
        <v/>
      </c>
      <c r="AC14" s="133">
        <f>AC9+AC10+AC11+AC13</f>
        <v/>
      </c>
      <c r="AD14" s="133">
        <f>AD9+AD10+AD11+AD13</f>
        <v/>
      </c>
      <c r="AE14" s="133">
        <f>AE9+AE10+AE11+AE13</f>
        <v/>
      </c>
      <c r="AF14" s="133">
        <f>AF9+AF10+AF11+AF13</f>
        <v/>
      </c>
      <c r="AG14" s="133">
        <f>AG9+AG10+AG11+AG13</f>
        <v/>
      </c>
      <c r="AH14" s="133">
        <f>AH9+AH10+AH11+AH13</f>
        <v/>
      </c>
      <c r="AI14" s="133">
        <f>AI9+AI10+AI11+AI13</f>
        <v/>
      </c>
      <c r="AJ14" s="133">
        <f>AJ9+AJ10+AJ11+AJ13</f>
        <v/>
      </c>
      <c r="AK14" s="133">
        <f>AK9+AK10+AK11+AK13</f>
        <v/>
      </c>
      <c r="AL14" s="133">
        <f>AL9+AL10+AL11+AL13</f>
        <v/>
      </c>
      <c r="AM14" s="133">
        <f>AM9+AM10+AM11+AM13</f>
        <v/>
      </c>
      <c r="AN14" s="133">
        <f>AN9+AN10+AN11+AN13</f>
        <v/>
      </c>
      <c r="AO14" s="133">
        <f>AO9+AO10+AO11+AO13</f>
        <v/>
      </c>
      <c r="AP14" s="133">
        <f>AP9+AP10+AP11+AP13</f>
        <v/>
      </c>
      <c r="AQ14" s="133">
        <f>AQ9+AQ10+AQ11+AQ13</f>
        <v/>
      </c>
      <c r="AR14" s="133">
        <f>AR9+AR10+AR11+AR13</f>
        <v/>
      </c>
      <c r="AS14" s="133">
        <f>AS9+AS10+AS11+AS13</f>
        <v/>
      </c>
      <c r="AT14" s="133">
        <f>AT9+AT10+AT11+AT13</f>
        <v/>
      </c>
      <c r="AU14" s="133">
        <f>AU9+AU10+AU11+AU13</f>
        <v/>
      </c>
      <c r="AV14" s="133">
        <f>AV9+AV10+AV11+AV13</f>
        <v/>
      </c>
      <c r="AW14" s="133">
        <f>AW9+AW10+AW11+AW13</f>
        <v/>
      </c>
      <c r="AX14" s="133">
        <f>AX9+AX10+AX11+AX13</f>
        <v/>
      </c>
      <c r="AY14" s="133">
        <f>AY9+AY10+AY11+AY13</f>
        <v/>
      </c>
      <c r="AZ14" s="133">
        <f>AZ9+AZ10+AZ11+AZ13</f>
        <v/>
      </c>
      <c r="BA14" s="133">
        <f>BA9+BA10+BA11+BA13</f>
        <v/>
      </c>
      <c r="BB14" s="133">
        <f>BB9+BB10+BB11+BB13</f>
        <v/>
      </c>
      <c r="BC14" s="133">
        <f>BC9+BC10+BC11+BC13</f>
        <v/>
      </c>
      <c r="BD14" s="133">
        <f>BD9+BD10+BD11+BD13</f>
        <v/>
      </c>
      <c r="BE14" s="133">
        <f>BE9+BE10+BE11+BE13</f>
        <v/>
      </c>
      <c r="BF14" s="133">
        <f>BF9+BF10+BF11+BF13</f>
        <v/>
      </c>
      <c r="BG14" s="133">
        <f>BG9+BG10+BG11+BG13</f>
        <v/>
      </c>
      <c r="BH14" s="133">
        <f>BH9+BH10+BH11+BH13</f>
        <v/>
      </c>
      <c r="BI14" s="133">
        <f>BI9+BI10+BI11+BI13</f>
        <v/>
      </c>
      <c r="BJ14" s="133">
        <f>BJ9+BJ10+BJ11+BJ13</f>
        <v/>
      </c>
      <c r="BK14" s="133">
        <f>BK9+BK10+BK11+BK13</f>
        <v/>
      </c>
      <c r="BL14" s="133">
        <f>BL9+BL10+BL11+BL13</f>
        <v/>
      </c>
      <c r="BM14" s="133">
        <f>BM9+BM10+BM11+BM13</f>
        <v/>
      </c>
      <c r="BN14" s="133">
        <f>BN9+BN10+BN11+BN13</f>
        <v/>
      </c>
      <c r="BO14" s="133">
        <f>BO9+BO10+BO11+BO13</f>
        <v/>
      </c>
      <c r="BP14" s="133">
        <f>BP9+BP10+BP11+BP13</f>
        <v/>
      </c>
      <c r="BQ14" s="133">
        <f>BQ9+BQ10+BQ11+BQ13</f>
        <v/>
      </c>
      <c r="BR14" s="133">
        <f>BR9+BR10+BR11+BR13</f>
        <v/>
      </c>
      <c r="BS14" s="133">
        <f>BS9+BS10+BS11+BS13</f>
        <v/>
      </c>
      <c r="BT14" s="133">
        <f>BT9+BT10+BT11+BT13</f>
        <v/>
      </c>
      <c r="BU14" s="133">
        <f>BU9+BU10+BU11+BU13</f>
        <v/>
      </c>
      <c r="BV14" s="133">
        <f>BV9+BV10+BV11+BV13</f>
        <v/>
      </c>
      <c r="BW14" s="133">
        <f>BW9+BW10+BW11+BW13</f>
        <v/>
      </c>
      <c r="BX14" s="133">
        <f>BX9+BX10+BX11+BX13</f>
        <v/>
      </c>
      <c r="BY14" s="133">
        <f>BY9+BY10+BY11+BY13</f>
        <v/>
      </c>
    </row>
    <row r="15">
      <c r="B15" s="56" t="inlineStr">
        <is>
          <t>Страховые взносы на оклады</t>
        </is>
      </c>
      <c r="C15" s="56" t="inlineStr">
        <is>
          <t>₽</t>
        </is>
      </c>
      <c r="D15" s="57" t="n"/>
      <c r="E15" s="85">
        <f>SUM(L15:W15)</f>
        <v/>
      </c>
      <c r="F15" s="85">
        <f>SUM(X15:AI15)</f>
        <v/>
      </c>
      <c r="G15" s="85">
        <f>SUM(AJ15:AU15)</f>
        <v/>
      </c>
      <c r="H15" s="85">
        <f>SUM(AV15:BG15)</f>
        <v/>
      </c>
      <c r="I15" s="85">
        <f>SUM(BH15:BS15)</f>
        <v/>
      </c>
      <c r="J15" s="86">
        <f>SUM(L15:BS15)</f>
        <v/>
      </c>
      <c r="L15" s="87">
        <f>L14*СтраховыеВзносы</f>
        <v/>
      </c>
      <c r="M15" s="87">
        <f>M14*СтраховыеВзносы</f>
        <v/>
      </c>
      <c r="N15" s="87">
        <f>N14*СтраховыеВзносы</f>
        <v/>
      </c>
      <c r="O15" s="87">
        <f>O14*СтраховыеВзносы</f>
        <v/>
      </c>
      <c r="P15" s="87">
        <f>P14*СтраховыеВзносы</f>
        <v/>
      </c>
      <c r="Q15" s="87">
        <f>Q14*СтраховыеВзносы</f>
        <v/>
      </c>
      <c r="R15" s="87">
        <f>R14*СтраховыеВзносы</f>
        <v/>
      </c>
      <c r="S15" s="87">
        <f>S14*СтраховыеВзносы</f>
        <v/>
      </c>
      <c r="T15" s="87">
        <f>T14*СтраховыеВзносы</f>
        <v/>
      </c>
      <c r="U15" s="87">
        <f>U14*СтраховыеВзносы</f>
        <v/>
      </c>
      <c r="V15" s="87">
        <f>V14*СтраховыеВзносы</f>
        <v/>
      </c>
      <c r="W15" s="87">
        <f>W14*СтраховыеВзносы</f>
        <v/>
      </c>
      <c r="X15" s="87">
        <f>X14*СтраховыеВзносы</f>
        <v/>
      </c>
      <c r="Y15" s="87">
        <f>Y14*СтраховыеВзносы</f>
        <v/>
      </c>
      <c r="Z15" s="87">
        <f>Z14*СтраховыеВзносы</f>
        <v/>
      </c>
      <c r="AA15" s="87">
        <f>AA14*СтраховыеВзносы</f>
        <v/>
      </c>
      <c r="AB15" s="87">
        <f>AB14*СтраховыеВзносы</f>
        <v/>
      </c>
      <c r="AC15" s="87">
        <f>AC14*СтраховыеВзносы</f>
        <v/>
      </c>
      <c r="AD15" s="87">
        <f>AD14*СтраховыеВзносы</f>
        <v/>
      </c>
      <c r="AE15" s="87">
        <f>AE14*СтраховыеВзносы</f>
        <v/>
      </c>
      <c r="AF15" s="87">
        <f>AF14*СтраховыеВзносы</f>
        <v/>
      </c>
      <c r="AG15" s="87">
        <f>AG14*СтраховыеВзносы</f>
        <v/>
      </c>
      <c r="AH15" s="87">
        <f>AH14*СтраховыеВзносы</f>
        <v/>
      </c>
      <c r="AI15" s="87">
        <f>AI14*СтраховыеВзносы</f>
        <v/>
      </c>
      <c r="AJ15" s="87">
        <f>AJ14*СтраховыеВзносы</f>
        <v/>
      </c>
      <c r="AK15" s="87">
        <f>AK14*СтраховыеВзносы</f>
        <v/>
      </c>
      <c r="AL15" s="87">
        <f>AL14*СтраховыеВзносы</f>
        <v/>
      </c>
      <c r="AM15" s="87">
        <f>AM14*СтраховыеВзносы</f>
        <v/>
      </c>
      <c r="AN15" s="87">
        <f>AN14*СтраховыеВзносы</f>
        <v/>
      </c>
      <c r="AO15" s="87">
        <f>AO14*СтраховыеВзносы</f>
        <v/>
      </c>
      <c r="AP15" s="87">
        <f>AP14*СтраховыеВзносы</f>
        <v/>
      </c>
      <c r="AQ15" s="87">
        <f>AQ14*СтраховыеВзносы</f>
        <v/>
      </c>
      <c r="AR15" s="87">
        <f>AR14*СтраховыеВзносы</f>
        <v/>
      </c>
      <c r="AS15" s="87">
        <f>AS14*СтраховыеВзносы</f>
        <v/>
      </c>
      <c r="AT15" s="87">
        <f>AT14*СтраховыеВзносы</f>
        <v/>
      </c>
      <c r="AU15" s="87">
        <f>AU14*СтраховыеВзносы</f>
        <v/>
      </c>
      <c r="AV15" s="87">
        <f>AV14*СтраховыеВзносы</f>
        <v/>
      </c>
      <c r="AW15" s="87">
        <f>AW14*СтраховыеВзносы</f>
        <v/>
      </c>
      <c r="AX15" s="87">
        <f>AX14*СтраховыеВзносы</f>
        <v/>
      </c>
      <c r="AY15" s="87">
        <f>AY14*СтраховыеВзносы</f>
        <v/>
      </c>
      <c r="AZ15" s="87">
        <f>AZ14*СтраховыеВзносы</f>
        <v/>
      </c>
      <c r="BA15" s="87">
        <f>BA14*СтраховыеВзносы</f>
        <v/>
      </c>
      <c r="BB15" s="87">
        <f>BB14*СтраховыеВзносы</f>
        <v/>
      </c>
      <c r="BC15" s="87">
        <f>BC14*СтраховыеВзносы</f>
        <v/>
      </c>
      <c r="BD15" s="87">
        <f>BD14*СтраховыеВзносы</f>
        <v/>
      </c>
      <c r="BE15" s="87">
        <f>BE14*СтраховыеВзносы</f>
        <v/>
      </c>
      <c r="BF15" s="87">
        <f>BF14*СтраховыеВзносы</f>
        <v/>
      </c>
      <c r="BG15" s="87">
        <f>BG14*СтраховыеВзносы</f>
        <v/>
      </c>
      <c r="BH15" s="87">
        <f>BH14*СтраховыеВзносы</f>
        <v/>
      </c>
      <c r="BI15" s="87">
        <f>BI14*СтраховыеВзносы</f>
        <v/>
      </c>
      <c r="BJ15" s="87">
        <f>BJ14*СтраховыеВзносы</f>
        <v/>
      </c>
      <c r="BK15" s="87">
        <f>BK14*СтраховыеВзносы</f>
        <v/>
      </c>
      <c r="BL15" s="87">
        <f>BL14*СтраховыеВзносы</f>
        <v/>
      </c>
      <c r="BM15" s="87">
        <f>BM14*СтраховыеВзносы</f>
        <v/>
      </c>
      <c r="BN15" s="87">
        <f>BN14*СтраховыеВзносы</f>
        <v/>
      </c>
      <c r="BO15" s="87">
        <f>BO14*СтраховыеВзносы</f>
        <v/>
      </c>
      <c r="BP15" s="87">
        <f>BP14*СтраховыеВзносы</f>
        <v/>
      </c>
      <c r="BQ15" s="87">
        <f>BQ14*СтраховыеВзносы</f>
        <v/>
      </c>
      <c r="BR15" s="87">
        <f>BR14*СтраховыеВзносы</f>
        <v/>
      </c>
      <c r="BS15" s="87">
        <f>BS14*СтраховыеВзносы</f>
        <v/>
      </c>
      <c r="BT15" s="87">
        <f>BT14*СтраховыеВзносы</f>
        <v/>
      </c>
      <c r="BU15" s="87">
        <f>BU14*СтраховыеВзносы</f>
        <v/>
      </c>
      <c r="BV15" s="87">
        <f>BV14*СтраховыеВзносы</f>
        <v/>
      </c>
      <c r="BW15" s="87">
        <f>BW14*СтраховыеВзносы</f>
        <v/>
      </c>
      <c r="BX15" s="87">
        <f>BX14*СтраховыеВзносы</f>
        <v/>
      </c>
      <c r="BY15" s="87">
        <f>BY14*СтраховыеВзносы</f>
        <v/>
      </c>
    </row>
    <row r="17">
      <c r="B17" s="54" t="inlineStr">
        <is>
          <t>Премии</t>
        </is>
      </c>
      <c r="C17" s="55" t="n"/>
      <c r="D17" s="55" t="n"/>
      <c r="E17" s="55" t="n"/>
      <c r="F17" s="55" t="n"/>
      <c r="G17" s="55" t="n"/>
      <c r="H17" s="55" t="n"/>
      <c r="I17" s="55" t="n"/>
      <c r="J17" s="55" t="n"/>
      <c r="K17" s="55" t="n"/>
      <c r="L17" s="55" t="n"/>
      <c r="M17" s="55" t="n"/>
      <c r="N17" s="55" t="n"/>
      <c r="O17" s="55" t="n"/>
      <c r="P17" s="55" t="n"/>
      <c r="Q17" s="55" t="n"/>
      <c r="R17" s="55" t="n"/>
      <c r="S17" s="55" t="n"/>
      <c r="T17" s="55" t="n"/>
      <c r="U17" s="55" t="n"/>
      <c r="V17" s="55" t="n"/>
      <c r="W17" s="55" t="n"/>
      <c r="X17" s="55" t="n"/>
      <c r="Y17" s="55" t="n"/>
      <c r="Z17" s="55" t="n"/>
      <c r="AA17" s="55" t="n"/>
      <c r="AB17" s="55" t="n"/>
      <c r="AC17" s="55" t="n"/>
      <c r="AD17" s="55" t="n"/>
      <c r="AE17" s="55" t="n"/>
      <c r="AF17" s="55" t="n"/>
      <c r="AG17" s="55" t="n"/>
      <c r="AH17" s="55" t="n"/>
      <c r="AI17" s="55" t="n"/>
      <c r="AJ17" s="55" t="n"/>
      <c r="AK17" s="55" t="n"/>
      <c r="AL17" s="55" t="n"/>
      <c r="AM17" s="55" t="n"/>
      <c r="AN17" s="55" t="n"/>
      <c r="AO17" s="55" t="n"/>
      <c r="AP17" s="55" t="n"/>
      <c r="AQ17" s="55" t="n"/>
      <c r="AR17" s="55" t="n"/>
      <c r="AS17" s="55" t="n"/>
      <c r="AT17" s="55" t="n"/>
      <c r="AU17" s="55" t="n"/>
      <c r="AV17" s="55" t="n"/>
      <c r="AW17" s="55" t="n"/>
      <c r="AX17" s="55" t="n"/>
      <c r="AY17" s="55" t="n"/>
      <c r="AZ17" s="55" t="n"/>
      <c r="BA17" s="55" t="n"/>
      <c r="BB17" s="55" t="n"/>
      <c r="BC17" s="55" t="n"/>
      <c r="BD17" s="55" t="n"/>
      <c r="BE17" s="55" t="n"/>
      <c r="BF17" s="55" t="n"/>
      <c r="BG17" s="55" t="n"/>
      <c r="BH17" s="55" t="n"/>
      <c r="BI17" s="55" t="n"/>
      <c r="BJ17" s="55" t="n"/>
      <c r="BK17" s="55" t="n"/>
      <c r="BL17" s="55" t="n"/>
      <c r="BM17" s="55" t="n"/>
      <c r="BN17" s="55" t="n"/>
      <c r="BO17" s="55" t="n"/>
      <c r="BP17" s="55" t="n"/>
      <c r="BQ17" s="55" t="n"/>
      <c r="BR17" s="55" t="n"/>
      <c r="BS17" s="55" t="n"/>
      <c r="BT17" s="55" t="n"/>
      <c r="BU17" s="55" t="n"/>
      <c r="BV17" s="55" t="n"/>
      <c r="BW17" s="55" t="n"/>
      <c r="BX17" s="55" t="n"/>
      <c r="BY17" s="55" t="n"/>
    </row>
    <row r="18">
      <c r="B18" s="56" t="inlineStr">
        <is>
          <t>Премия развития, gross</t>
        </is>
      </c>
      <c r="C18" s="56" t="inlineStr">
        <is>
          <t>₽</t>
        </is>
      </c>
      <c r="D18" s="57" t="inlineStr">
        <is>
          <t>Всем менеджерам развития и проектному менеджеру</t>
        </is>
      </c>
      <c r="E18" s="85">
        <f>SUM(L18:W18)</f>
        <v/>
      </c>
      <c r="F18" s="85">
        <f>SUM(X18:AI18)</f>
        <v/>
      </c>
      <c r="G18" s="85">
        <f>SUM(AJ18:AU18)</f>
        <v/>
      </c>
      <c r="H18" s="85">
        <f>SUM(AV18:BG18)</f>
        <v/>
      </c>
      <c r="I18" s="85">
        <f>SUM(BH18:BS18)</f>
        <v/>
      </c>
      <c r="J18" s="86">
        <f>SUM(L18:BS18)</f>
        <v/>
      </c>
      <c r="L18" s="87">
        <f>(БазовыхМенеджеров+L12+1)*IF('03_Сеть'!L7&lt;ДатаПремииРазвития,ПремияРазвитияДо,ПремияРазвитияС)/NetGross</f>
        <v/>
      </c>
      <c r="M18" s="87">
        <f>(БазовыхМенеджеров+M12+1)*IF('03_Сеть'!M7&lt;ДатаПремииРазвития,ПремияРазвитияДо,ПремияРазвитияС)/NetGross</f>
        <v/>
      </c>
      <c r="N18" s="87">
        <f>(БазовыхМенеджеров+N12+1)*IF('03_Сеть'!N7&lt;ДатаПремииРазвития,ПремияРазвитияДо,ПремияРазвитияС)/NetGross</f>
        <v/>
      </c>
      <c r="O18" s="87">
        <f>(БазовыхМенеджеров+O12+1)*IF('03_Сеть'!O7&lt;ДатаПремииРазвития,ПремияРазвитияДо,ПремияРазвитияС)/NetGross</f>
        <v/>
      </c>
      <c r="P18" s="87">
        <f>(БазовыхМенеджеров+P12+1)*IF('03_Сеть'!P7&lt;ДатаПремииРазвития,ПремияРазвитияДо,ПремияРазвитияС)/NetGross</f>
        <v/>
      </c>
      <c r="Q18" s="87">
        <f>(БазовыхМенеджеров+Q12+1)*IF('03_Сеть'!Q7&lt;ДатаПремииРазвития,ПремияРазвитияДо,ПремияРазвитияС)/NetGross</f>
        <v/>
      </c>
      <c r="R18" s="87">
        <f>(БазовыхМенеджеров+R12+1)*IF('03_Сеть'!R7&lt;ДатаПремииРазвития,ПремияРазвитияДо,ПремияРазвитияС)/NetGross</f>
        <v/>
      </c>
      <c r="S18" s="87">
        <f>(БазовыхМенеджеров+S12+1)*IF('03_Сеть'!S7&lt;ДатаПремииРазвития,ПремияРазвитияДо,ПремияРазвитияС)/NetGross</f>
        <v/>
      </c>
      <c r="T18" s="87">
        <f>(БазовыхМенеджеров+T12+1)*IF('03_Сеть'!T7&lt;ДатаПремииРазвития,ПремияРазвитияДо,ПремияРазвитияС)/NetGross</f>
        <v/>
      </c>
      <c r="U18" s="87">
        <f>(БазовыхМенеджеров+U12+1)*IF('03_Сеть'!U7&lt;ДатаПремииРазвития,ПремияРазвитияДо,ПремияРазвитияС)/NetGross</f>
        <v/>
      </c>
      <c r="V18" s="87">
        <f>(БазовыхМенеджеров+V12+1)*IF('03_Сеть'!V7&lt;ДатаПремииРазвития,ПремияРазвитияДо,ПремияРазвитияС)/NetGross</f>
        <v/>
      </c>
      <c r="W18" s="87">
        <f>(БазовыхМенеджеров+W12+1)*IF('03_Сеть'!W7&lt;ДатаПремииРазвития,ПремияРазвитияДо,ПремияРазвитияС)/NetGross</f>
        <v/>
      </c>
      <c r="X18" s="87">
        <f>(БазовыхМенеджеров+X12+1)*IF('03_Сеть'!X7&lt;ДатаПремииРазвития,ПремияРазвитияДо,ПремияРазвитияС)/NetGross</f>
        <v/>
      </c>
      <c r="Y18" s="87">
        <f>(БазовыхМенеджеров+Y12+1)*IF('03_Сеть'!Y7&lt;ДатаПремииРазвития,ПремияРазвитияДо,ПремияРазвитияС)/NetGross</f>
        <v/>
      </c>
      <c r="Z18" s="87">
        <f>(БазовыхМенеджеров+Z12+1)*IF('03_Сеть'!Z7&lt;ДатаПремииРазвития,ПремияРазвитияДо,ПремияРазвитияС)/NetGross</f>
        <v/>
      </c>
      <c r="AA18" s="87">
        <f>(БазовыхМенеджеров+AA12+1)*IF('03_Сеть'!AA7&lt;ДатаПремииРазвития,ПремияРазвитияДо,ПремияРазвитияС)/NetGross</f>
        <v/>
      </c>
      <c r="AB18" s="87">
        <f>(БазовыхМенеджеров+AB12+1)*IF('03_Сеть'!AB7&lt;ДатаПремииРазвития,ПремияРазвитияДо,ПремияРазвитияС)/NetGross</f>
        <v/>
      </c>
      <c r="AC18" s="87">
        <f>(БазовыхМенеджеров+AC12+1)*IF('03_Сеть'!AC7&lt;ДатаПремииРазвития,ПремияРазвитияДо,ПремияРазвитияС)/NetGross</f>
        <v/>
      </c>
      <c r="AD18" s="87">
        <f>(БазовыхМенеджеров+AD12+1)*IF('03_Сеть'!AD7&lt;ДатаПремииРазвития,ПремияРазвитияДо,ПремияРазвитияС)/NetGross</f>
        <v/>
      </c>
      <c r="AE18" s="87">
        <f>(БазовыхМенеджеров+AE12+1)*IF('03_Сеть'!AE7&lt;ДатаПремииРазвития,ПремияРазвитияДо,ПремияРазвитияС)/NetGross</f>
        <v/>
      </c>
      <c r="AF18" s="87">
        <f>(БазовыхМенеджеров+AF12+1)*IF('03_Сеть'!AF7&lt;ДатаПремииРазвития,ПремияРазвитияДо,ПремияРазвитияС)/NetGross</f>
        <v/>
      </c>
      <c r="AG18" s="87">
        <f>(БазовыхМенеджеров+AG12+1)*IF('03_Сеть'!AG7&lt;ДатаПремииРазвития,ПремияРазвитияДо,ПремияРазвитияС)/NetGross</f>
        <v/>
      </c>
      <c r="AH18" s="87">
        <f>(БазовыхМенеджеров+AH12+1)*IF('03_Сеть'!AH7&lt;ДатаПремииРазвития,ПремияРазвитияДо,ПремияРазвитияС)/NetGross</f>
        <v/>
      </c>
      <c r="AI18" s="87">
        <f>(БазовыхМенеджеров+AI12+1)*IF('03_Сеть'!AI7&lt;ДатаПремииРазвития,ПремияРазвитияДо,ПремияРазвитияС)/NetGross</f>
        <v/>
      </c>
      <c r="AJ18" s="87">
        <f>(БазовыхМенеджеров+AJ12+1)*IF('03_Сеть'!AJ7&lt;ДатаПремииРазвития,ПремияРазвитияДо,ПремияРазвитияС)/NetGross</f>
        <v/>
      </c>
      <c r="AK18" s="87">
        <f>(БазовыхМенеджеров+AK12+1)*IF('03_Сеть'!AK7&lt;ДатаПремииРазвития,ПремияРазвитияДо,ПремияРазвитияС)/NetGross</f>
        <v/>
      </c>
      <c r="AL18" s="87">
        <f>(БазовыхМенеджеров+AL12+1)*IF('03_Сеть'!AL7&lt;ДатаПремииРазвития,ПремияРазвитияДо,ПремияРазвитияС)/NetGross</f>
        <v/>
      </c>
      <c r="AM18" s="87">
        <f>(БазовыхМенеджеров+AM12+1)*IF('03_Сеть'!AM7&lt;ДатаПремииРазвития,ПремияРазвитияДо,ПремияРазвитияС)/NetGross</f>
        <v/>
      </c>
      <c r="AN18" s="87">
        <f>(БазовыхМенеджеров+AN12+1)*IF('03_Сеть'!AN7&lt;ДатаПремииРазвития,ПремияРазвитияДо,ПремияРазвитияС)/NetGross</f>
        <v/>
      </c>
      <c r="AO18" s="87">
        <f>(БазовыхМенеджеров+AO12+1)*IF('03_Сеть'!AO7&lt;ДатаПремииРазвития,ПремияРазвитияДо,ПремияРазвитияС)/NetGross</f>
        <v/>
      </c>
      <c r="AP18" s="87">
        <f>(БазовыхМенеджеров+AP12+1)*IF('03_Сеть'!AP7&lt;ДатаПремииРазвития,ПремияРазвитияДо,ПремияРазвитияС)/NetGross</f>
        <v/>
      </c>
      <c r="AQ18" s="87">
        <f>(БазовыхМенеджеров+AQ12+1)*IF('03_Сеть'!AQ7&lt;ДатаПремииРазвития,ПремияРазвитияДо,ПремияРазвитияС)/NetGross</f>
        <v/>
      </c>
      <c r="AR18" s="87">
        <f>(БазовыхМенеджеров+AR12+1)*IF('03_Сеть'!AR7&lt;ДатаПремииРазвития,ПремияРазвитияДо,ПремияРазвитияС)/NetGross</f>
        <v/>
      </c>
      <c r="AS18" s="87">
        <f>(БазовыхМенеджеров+AS12+1)*IF('03_Сеть'!AS7&lt;ДатаПремииРазвития,ПремияРазвитияДо,ПремияРазвитияС)/NetGross</f>
        <v/>
      </c>
      <c r="AT18" s="87">
        <f>(БазовыхМенеджеров+AT12+1)*IF('03_Сеть'!AT7&lt;ДатаПремииРазвития,ПремияРазвитияДо,ПремияРазвитияС)/NetGross</f>
        <v/>
      </c>
      <c r="AU18" s="87">
        <f>(БазовыхМенеджеров+AU12+1)*IF('03_Сеть'!AU7&lt;ДатаПремииРазвития,ПремияРазвитияДо,ПремияРазвитияС)/NetGross</f>
        <v/>
      </c>
      <c r="AV18" s="87">
        <f>(БазовыхМенеджеров+AV12+1)*IF('03_Сеть'!AV7&lt;ДатаПремииРазвития,ПремияРазвитияДо,ПремияРазвитияС)/NetGross</f>
        <v/>
      </c>
      <c r="AW18" s="87">
        <f>(БазовыхМенеджеров+AW12+1)*IF('03_Сеть'!AW7&lt;ДатаПремииРазвития,ПремияРазвитияДо,ПремияРазвитияС)/NetGross</f>
        <v/>
      </c>
      <c r="AX18" s="87">
        <f>(БазовыхМенеджеров+AX12+1)*IF('03_Сеть'!AX7&lt;ДатаПремииРазвития,ПремияРазвитияДо,ПремияРазвитияС)/NetGross</f>
        <v/>
      </c>
      <c r="AY18" s="87">
        <f>(БазовыхМенеджеров+AY12+1)*IF('03_Сеть'!AY7&lt;ДатаПремииРазвития,ПремияРазвитияДо,ПремияРазвитияС)/NetGross</f>
        <v/>
      </c>
      <c r="AZ18" s="87">
        <f>(БазовыхМенеджеров+AZ12+1)*IF('03_Сеть'!AZ7&lt;ДатаПремииРазвития,ПремияРазвитияДо,ПремияРазвитияС)/NetGross</f>
        <v/>
      </c>
      <c r="BA18" s="87">
        <f>(БазовыхМенеджеров+BA12+1)*IF('03_Сеть'!BA7&lt;ДатаПремииРазвития,ПремияРазвитияДо,ПремияРазвитияС)/NetGross</f>
        <v/>
      </c>
      <c r="BB18" s="87">
        <f>(БазовыхМенеджеров+BB12+1)*IF('03_Сеть'!BB7&lt;ДатаПремииРазвития,ПремияРазвитияДо,ПремияРазвитияС)/NetGross</f>
        <v/>
      </c>
      <c r="BC18" s="87">
        <f>(БазовыхМенеджеров+BC12+1)*IF('03_Сеть'!BC7&lt;ДатаПремииРазвития,ПремияРазвитияДо,ПремияРазвитияС)/NetGross</f>
        <v/>
      </c>
      <c r="BD18" s="87">
        <f>(БазовыхМенеджеров+BD12+1)*IF('03_Сеть'!BD7&lt;ДатаПремииРазвития,ПремияРазвитияДо,ПремияРазвитияС)/NetGross</f>
        <v/>
      </c>
      <c r="BE18" s="87">
        <f>(БазовыхМенеджеров+BE12+1)*IF('03_Сеть'!BE7&lt;ДатаПремииРазвития,ПремияРазвитияДо,ПремияРазвитияС)/NetGross</f>
        <v/>
      </c>
      <c r="BF18" s="87">
        <f>(БазовыхМенеджеров+BF12+1)*IF('03_Сеть'!BF7&lt;ДатаПремииРазвития,ПремияРазвитияДо,ПремияРазвитияС)/NetGross</f>
        <v/>
      </c>
      <c r="BG18" s="87">
        <f>(БазовыхМенеджеров+BG12+1)*IF('03_Сеть'!BG7&lt;ДатаПремииРазвития,ПремияРазвитияДо,ПремияРазвитияС)/NetGross</f>
        <v/>
      </c>
      <c r="BH18" s="87">
        <f>(БазовыхМенеджеров+BH12+1)*IF('03_Сеть'!BH7&lt;ДатаПремииРазвития,ПремияРазвитияДо,ПремияРазвитияС)/NetGross</f>
        <v/>
      </c>
      <c r="BI18" s="87">
        <f>(БазовыхМенеджеров+BI12+1)*IF('03_Сеть'!BI7&lt;ДатаПремииРазвития,ПремияРазвитияДо,ПремияРазвитияС)/NetGross</f>
        <v/>
      </c>
      <c r="BJ18" s="87">
        <f>(БазовыхМенеджеров+BJ12+1)*IF('03_Сеть'!BJ7&lt;ДатаПремииРазвития,ПремияРазвитияДо,ПремияРазвитияС)/NetGross</f>
        <v/>
      </c>
      <c r="BK18" s="87">
        <f>(БазовыхМенеджеров+BK12+1)*IF('03_Сеть'!BK7&lt;ДатаПремииРазвития,ПремияРазвитияДо,ПремияРазвитияС)/NetGross</f>
        <v/>
      </c>
      <c r="BL18" s="87">
        <f>(БазовыхМенеджеров+BL12+1)*IF('03_Сеть'!BL7&lt;ДатаПремииРазвития,ПремияРазвитияДо,ПремияРазвитияС)/NetGross</f>
        <v/>
      </c>
      <c r="BM18" s="87">
        <f>(БазовыхМенеджеров+BM12+1)*IF('03_Сеть'!BM7&lt;ДатаПремииРазвития,ПремияРазвитияДо,ПремияРазвитияС)/NetGross</f>
        <v/>
      </c>
      <c r="BN18" s="87">
        <f>(БазовыхМенеджеров+BN12+1)*IF('03_Сеть'!BN7&lt;ДатаПремииРазвития,ПремияРазвитияДо,ПремияРазвитияС)/NetGross</f>
        <v/>
      </c>
      <c r="BO18" s="87">
        <f>(БазовыхМенеджеров+BO12+1)*IF('03_Сеть'!BO7&lt;ДатаПремииРазвития,ПремияРазвитияДо,ПремияРазвитияС)/NetGross</f>
        <v/>
      </c>
      <c r="BP18" s="87">
        <f>(БазовыхМенеджеров+BP12+1)*IF('03_Сеть'!BP7&lt;ДатаПремииРазвития,ПремияРазвитияДо,ПремияРазвитияС)/NetGross</f>
        <v/>
      </c>
      <c r="BQ18" s="87">
        <f>(БазовыхМенеджеров+BQ12+1)*IF('03_Сеть'!BQ7&lt;ДатаПремииРазвития,ПремияРазвитияДо,ПремияРазвитияС)/NetGross</f>
        <v/>
      </c>
      <c r="BR18" s="87">
        <f>(БазовыхМенеджеров+BR12+1)*IF('03_Сеть'!BR7&lt;ДатаПремииРазвития,ПремияРазвитияДо,ПремияРазвитияС)/NetGross</f>
        <v/>
      </c>
      <c r="BS18" s="87">
        <f>(БазовыхМенеджеров+BS12+1)*IF('03_Сеть'!BS7&lt;ДатаПремииРазвития,ПремияРазвитияДо,ПремияРазвитияС)/NetGross</f>
        <v/>
      </c>
      <c r="BT18" s="87">
        <f>(БазовыхМенеджеров+BT12+1)*IF('03_Сеть'!BT7&lt;ДатаПремииРазвития,ПремияРазвитияДо,ПремияРазвитияС)/NetGross</f>
        <v/>
      </c>
      <c r="BU18" s="87">
        <f>(БазовыхМенеджеров+BU12+1)*IF('03_Сеть'!BU7&lt;ДатаПремииРазвития,ПремияРазвитияДо,ПремияРазвитияС)/NetGross</f>
        <v/>
      </c>
      <c r="BV18" s="87">
        <f>(БазовыхМенеджеров+BV12+1)*IF('03_Сеть'!BV7&lt;ДатаПремииРазвития,ПремияРазвитияДо,ПремияРазвитияС)/NetGross</f>
        <v/>
      </c>
      <c r="BW18" s="87">
        <f>(БазовыхМенеджеров+BW12+1)*IF('03_Сеть'!BW7&lt;ДатаПремииРазвития,ПремияРазвитияДо,ПремияРазвитияС)/NetGross</f>
        <v/>
      </c>
      <c r="BX18" s="87">
        <f>(БазовыхМенеджеров+BX12+1)*IF('03_Сеть'!BX7&lt;ДатаПремииРазвития,ПремияРазвитияДо,ПремияРазвитияС)/NetGross</f>
        <v/>
      </c>
      <c r="BY18" s="87">
        <f>(БазовыхМенеджеров+BY12+1)*IF('03_Сеть'!BY7&lt;ДатаПремииРазвития,ПремияРазвитияДо,ПремияРазвитияС)/NetGross</f>
        <v/>
      </c>
    </row>
    <row r="19">
      <c r="B19" s="56" t="inlineStr">
        <is>
          <t>Взносы на премию развития</t>
        </is>
      </c>
      <c r="C19" s="56" t="inlineStr">
        <is>
          <t>₽</t>
        </is>
      </c>
      <c r="D19" s="57" t="n"/>
      <c r="E19" s="85">
        <f>SUM(L19:W19)</f>
        <v/>
      </c>
      <c r="F19" s="85">
        <f>SUM(X19:AI19)</f>
        <v/>
      </c>
      <c r="G19" s="85">
        <f>SUM(AJ19:AU19)</f>
        <v/>
      </c>
      <c r="H19" s="85">
        <f>SUM(AV19:BG19)</f>
        <v/>
      </c>
      <c r="I19" s="85">
        <f>SUM(BH19:BS19)</f>
        <v/>
      </c>
      <c r="J19" s="86">
        <f>SUM(L19:BS19)</f>
        <v/>
      </c>
      <c r="L19" s="87">
        <f>L18*СтраховыеВзносы</f>
        <v/>
      </c>
      <c r="M19" s="87">
        <f>M18*СтраховыеВзносы</f>
        <v/>
      </c>
      <c r="N19" s="87">
        <f>N18*СтраховыеВзносы</f>
        <v/>
      </c>
      <c r="O19" s="87">
        <f>O18*СтраховыеВзносы</f>
        <v/>
      </c>
      <c r="P19" s="87">
        <f>P18*СтраховыеВзносы</f>
        <v/>
      </c>
      <c r="Q19" s="87">
        <f>Q18*СтраховыеВзносы</f>
        <v/>
      </c>
      <c r="R19" s="87">
        <f>R18*СтраховыеВзносы</f>
        <v/>
      </c>
      <c r="S19" s="87">
        <f>S18*СтраховыеВзносы</f>
        <v/>
      </c>
      <c r="T19" s="87">
        <f>T18*СтраховыеВзносы</f>
        <v/>
      </c>
      <c r="U19" s="87">
        <f>U18*СтраховыеВзносы</f>
        <v/>
      </c>
      <c r="V19" s="87">
        <f>V18*СтраховыеВзносы</f>
        <v/>
      </c>
      <c r="W19" s="87">
        <f>W18*СтраховыеВзносы</f>
        <v/>
      </c>
      <c r="X19" s="87">
        <f>X18*СтраховыеВзносы</f>
        <v/>
      </c>
      <c r="Y19" s="87">
        <f>Y18*СтраховыеВзносы</f>
        <v/>
      </c>
      <c r="Z19" s="87">
        <f>Z18*СтраховыеВзносы</f>
        <v/>
      </c>
      <c r="AA19" s="87">
        <f>AA18*СтраховыеВзносы</f>
        <v/>
      </c>
      <c r="AB19" s="87">
        <f>AB18*СтраховыеВзносы</f>
        <v/>
      </c>
      <c r="AC19" s="87">
        <f>AC18*СтраховыеВзносы</f>
        <v/>
      </c>
      <c r="AD19" s="87">
        <f>AD18*СтраховыеВзносы</f>
        <v/>
      </c>
      <c r="AE19" s="87">
        <f>AE18*СтраховыеВзносы</f>
        <v/>
      </c>
      <c r="AF19" s="87">
        <f>AF18*СтраховыеВзносы</f>
        <v/>
      </c>
      <c r="AG19" s="87">
        <f>AG18*СтраховыеВзносы</f>
        <v/>
      </c>
      <c r="AH19" s="87">
        <f>AH18*СтраховыеВзносы</f>
        <v/>
      </c>
      <c r="AI19" s="87">
        <f>AI18*СтраховыеВзносы</f>
        <v/>
      </c>
      <c r="AJ19" s="87">
        <f>AJ18*СтраховыеВзносы</f>
        <v/>
      </c>
      <c r="AK19" s="87">
        <f>AK18*СтраховыеВзносы</f>
        <v/>
      </c>
      <c r="AL19" s="87">
        <f>AL18*СтраховыеВзносы</f>
        <v/>
      </c>
      <c r="AM19" s="87">
        <f>AM18*СтраховыеВзносы</f>
        <v/>
      </c>
      <c r="AN19" s="87">
        <f>AN18*СтраховыеВзносы</f>
        <v/>
      </c>
      <c r="AO19" s="87">
        <f>AO18*СтраховыеВзносы</f>
        <v/>
      </c>
      <c r="AP19" s="87">
        <f>AP18*СтраховыеВзносы</f>
        <v/>
      </c>
      <c r="AQ19" s="87">
        <f>AQ18*СтраховыеВзносы</f>
        <v/>
      </c>
      <c r="AR19" s="87">
        <f>AR18*СтраховыеВзносы</f>
        <v/>
      </c>
      <c r="AS19" s="87">
        <f>AS18*СтраховыеВзносы</f>
        <v/>
      </c>
      <c r="AT19" s="87">
        <f>AT18*СтраховыеВзносы</f>
        <v/>
      </c>
      <c r="AU19" s="87">
        <f>AU18*СтраховыеВзносы</f>
        <v/>
      </c>
      <c r="AV19" s="87">
        <f>AV18*СтраховыеВзносы</f>
        <v/>
      </c>
      <c r="AW19" s="87">
        <f>AW18*СтраховыеВзносы</f>
        <v/>
      </c>
      <c r="AX19" s="87">
        <f>AX18*СтраховыеВзносы</f>
        <v/>
      </c>
      <c r="AY19" s="87">
        <f>AY18*СтраховыеВзносы</f>
        <v/>
      </c>
      <c r="AZ19" s="87">
        <f>AZ18*СтраховыеВзносы</f>
        <v/>
      </c>
      <c r="BA19" s="87">
        <f>BA18*СтраховыеВзносы</f>
        <v/>
      </c>
      <c r="BB19" s="87">
        <f>BB18*СтраховыеВзносы</f>
        <v/>
      </c>
      <c r="BC19" s="87">
        <f>BC18*СтраховыеВзносы</f>
        <v/>
      </c>
      <c r="BD19" s="87">
        <f>BD18*СтраховыеВзносы</f>
        <v/>
      </c>
      <c r="BE19" s="87">
        <f>BE18*СтраховыеВзносы</f>
        <v/>
      </c>
      <c r="BF19" s="87">
        <f>BF18*СтраховыеВзносы</f>
        <v/>
      </c>
      <c r="BG19" s="87">
        <f>BG18*СтраховыеВзносы</f>
        <v/>
      </c>
      <c r="BH19" s="87">
        <f>BH18*СтраховыеВзносы</f>
        <v/>
      </c>
      <c r="BI19" s="87">
        <f>BI18*СтраховыеВзносы</f>
        <v/>
      </c>
      <c r="BJ19" s="87">
        <f>BJ18*СтраховыеВзносы</f>
        <v/>
      </c>
      <c r="BK19" s="87">
        <f>BK18*СтраховыеВзносы</f>
        <v/>
      </c>
      <c r="BL19" s="87">
        <f>BL18*СтраховыеВзносы</f>
        <v/>
      </c>
      <c r="BM19" s="87">
        <f>BM18*СтраховыеВзносы</f>
        <v/>
      </c>
      <c r="BN19" s="87">
        <f>BN18*СтраховыеВзносы</f>
        <v/>
      </c>
      <c r="BO19" s="87">
        <f>BO18*СтраховыеВзносы</f>
        <v/>
      </c>
      <c r="BP19" s="87">
        <f>BP18*СтраховыеВзносы</f>
        <v/>
      </c>
      <c r="BQ19" s="87">
        <f>BQ18*СтраховыеВзносы</f>
        <v/>
      </c>
      <c r="BR19" s="87">
        <f>BR18*СтраховыеВзносы</f>
        <v/>
      </c>
      <c r="BS19" s="87">
        <f>BS18*СтраховыеВзносы</f>
        <v/>
      </c>
      <c r="BT19" s="87">
        <f>BT18*СтраховыеВзносы</f>
        <v/>
      </c>
      <c r="BU19" s="87">
        <f>BU18*СтраховыеВзносы</f>
        <v/>
      </c>
      <c r="BV19" s="87">
        <f>BV18*СтраховыеВзносы</f>
        <v/>
      </c>
      <c r="BW19" s="87">
        <f>BW18*СтраховыеВзносы</f>
        <v/>
      </c>
      <c r="BX19" s="87">
        <f>BX18*СтраховыеВзносы</f>
        <v/>
      </c>
      <c r="BY19" s="87">
        <f>BY18*СтраховыеВзносы</f>
        <v/>
      </c>
    </row>
    <row r="20">
      <c r="B20" s="56" t="inlineStr">
        <is>
          <t>Премия Евгения, gross</t>
        </is>
      </c>
      <c r="C20" s="56" t="inlineStr">
        <is>
          <t>₽</t>
        </is>
      </c>
      <c r="D20" s="57" t="inlineStr">
        <is>
          <t>4% от паушальных — это вся стоимость премии для компании, поэтому взносы уже внутри: gross получается делением на 1,3</t>
        </is>
      </c>
      <c r="E20" s="85">
        <f>SUM(L20:W20)</f>
        <v/>
      </c>
      <c r="F20" s="85">
        <f>SUM(X20:AI20)</f>
        <v/>
      </c>
      <c r="G20" s="85">
        <f>SUM(AJ20:AU20)</f>
        <v/>
      </c>
      <c r="H20" s="85">
        <f>SUM(AV20:BG20)</f>
        <v/>
      </c>
      <c r="I20" s="85">
        <f>SUM(BH20:BS20)</f>
        <v/>
      </c>
      <c r="J20" s="86">
        <f>SUM(L20:BS20)</f>
        <v/>
      </c>
      <c r="L20" s="87">
        <f>IF('03_Сеть'!L13&gt;=2,'04_Доходы'!L14*ПремияЕвгения/(1+СтраховыеВзносы),0)</f>
        <v/>
      </c>
      <c r="M20" s="87">
        <f>IF('03_Сеть'!M13&gt;=2,'04_Доходы'!M14*ПремияЕвгения/(1+СтраховыеВзносы),0)</f>
        <v/>
      </c>
      <c r="N20" s="87">
        <f>IF('03_Сеть'!N13&gt;=2,'04_Доходы'!N14*ПремияЕвгения/(1+СтраховыеВзносы),0)</f>
        <v/>
      </c>
      <c r="O20" s="87">
        <f>IF('03_Сеть'!O13&gt;=2,'04_Доходы'!O14*ПремияЕвгения/(1+СтраховыеВзносы),0)</f>
        <v/>
      </c>
      <c r="P20" s="87">
        <f>IF('03_Сеть'!P13&gt;=2,'04_Доходы'!P14*ПремияЕвгения/(1+СтраховыеВзносы),0)</f>
        <v/>
      </c>
      <c r="Q20" s="87">
        <f>IF('03_Сеть'!Q13&gt;=2,'04_Доходы'!Q14*ПремияЕвгения/(1+СтраховыеВзносы),0)</f>
        <v/>
      </c>
      <c r="R20" s="87">
        <f>IF('03_Сеть'!R13&gt;=2,'04_Доходы'!R14*ПремияЕвгения/(1+СтраховыеВзносы),0)</f>
        <v/>
      </c>
      <c r="S20" s="87">
        <f>IF('03_Сеть'!S13&gt;=2,'04_Доходы'!S14*ПремияЕвгения/(1+СтраховыеВзносы),0)</f>
        <v/>
      </c>
      <c r="T20" s="87">
        <f>IF('03_Сеть'!T13&gt;=2,'04_Доходы'!T14*ПремияЕвгения/(1+СтраховыеВзносы),0)</f>
        <v/>
      </c>
      <c r="U20" s="87">
        <f>IF('03_Сеть'!U13&gt;=2,'04_Доходы'!U14*ПремияЕвгения/(1+СтраховыеВзносы),0)</f>
        <v/>
      </c>
      <c r="V20" s="87">
        <f>IF('03_Сеть'!V13&gt;=2,'04_Доходы'!V14*ПремияЕвгения/(1+СтраховыеВзносы),0)</f>
        <v/>
      </c>
      <c r="W20" s="87">
        <f>IF('03_Сеть'!W13&gt;=2,'04_Доходы'!W14*ПремияЕвгения/(1+СтраховыеВзносы),0)</f>
        <v/>
      </c>
      <c r="X20" s="87">
        <f>IF('03_Сеть'!X13&gt;=2,'04_Доходы'!X14*ПремияЕвгения/(1+СтраховыеВзносы),0)</f>
        <v/>
      </c>
      <c r="Y20" s="87">
        <f>IF('03_Сеть'!Y13&gt;=2,'04_Доходы'!Y14*ПремияЕвгения/(1+СтраховыеВзносы),0)</f>
        <v/>
      </c>
      <c r="Z20" s="87">
        <f>IF('03_Сеть'!Z13&gt;=2,'04_Доходы'!Z14*ПремияЕвгения/(1+СтраховыеВзносы),0)</f>
        <v/>
      </c>
      <c r="AA20" s="87">
        <f>IF('03_Сеть'!AA13&gt;=2,'04_Доходы'!AA14*ПремияЕвгения/(1+СтраховыеВзносы),0)</f>
        <v/>
      </c>
      <c r="AB20" s="87">
        <f>IF('03_Сеть'!AB13&gt;=2,'04_Доходы'!AB14*ПремияЕвгения/(1+СтраховыеВзносы),0)</f>
        <v/>
      </c>
      <c r="AC20" s="87">
        <f>IF('03_Сеть'!AC13&gt;=2,'04_Доходы'!AC14*ПремияЕвгения/(1+СтраховыеВзносы),0)</f>
        <v/>
      </c>
      <c r="AD20" s="87">
        <f>IF('03_Сеть'!AD13&gt;=2,'04_Доходы'!AD14*ПремияЕвгения/(1+СтраховыеВзносы),0)</f>
        <v/>
      </c>
      <c r="AE20" s="87">
        <f>IF('03_Сеть'!AE13&gt;=2,'04_Доходы'!AE14*ПремияЕвгения/(1+СтраховыеВзносы),0)</f>
        <v/>
      </c>
      <c r="AF20" s="87">
        <f>IF('03_Сеть'!AF13&gt;=2,'04_Доходы'!AF14*ПремияЕвгения/(1+СтраховыеВзносы),0)</f>
        <v/>
      </c>
      <c r="AG20" s="87">
        <f>IF('03_Сеть'!AG13&gt;=2,'04_Доходы'!AG14*ПремияЕвгения/(1+СтраховыеВзносы),0)</f>
        <v/>
      </c>
      <c r="AH20" s="87">
        <f>IF('03_Сеть'!AH13&gt;=2,'04_Доходы'!AH14*ПремияЕвгения/(1+СтраховыеВзносы),0)</f>
        <v/>
      </c>
      <c r="AI20" s="87">
        <f>IF('03_Сеть'!AI13&gt;=2,'04_Доходы'!AI14*ПремияЕвгения/(1+СтраховыеВзносы),0)</f>
        <v/>
      </c>
      <c r="AJ20" s="87">
        <f>IF('03_Сеть'!AJ13&gt;=2,'04_Доходы'!AJ14*ПремияЕвгения/(1+СтраховыеВзносы),0)</f>
        <v/>
      </c>
      <c r="AK20" s="87">
        <f>IF('03_Сеть'!AK13&gt;=2,'04_Доходы'!AK14*ПремияЕвгения/(1+СтраховыеВзносы),0)</f>
        <v/>
      </c>
      <c r="AL20" s="87">
        <f>IF('03_Сеть'!AL13&gt;=2,'04_Доходы'!AL14*ПремияЕвгения/(1+СтраховыеВзносы),0)</f>
        <v/>
      </c>
      <c r="AM20" s="87">
        <f>IF('03_Сеть'!AM13&gt;=2,'04_Доходы'!AM14*ПремияЕвгения/(1+СтраховыеВзносы),0)</f>
        <v/>
      </c>
      <c r="AN20" s="87">
        <f>IF('03_Сеть'!AN13&gt;=2,'04_Доходы'!AN14*ПремияЕвгения/(1+СтраховыеВзносы),0)</f>
        <v/>
      </c>
      <c r="AO20" s="87">
        <f>IF('03_Сеть'!AO13&gt;=2,'04_Доходы'!AO14*ПремияЕвгения/(1+СтраховыеВзносы),0)</f>
        <v/>
      </c>
      <c r="AP20" s="87">
        <f>IF('03_Сеть'!AP13&gt;=2,'04_Доходы'!AP14*ПремияЕвгения/(1+СтраховыеВзносы),0)</f>
        <v/>
      </c>
      <c r="AQ20" s="87">
        <f>IF('03_Сеть'!AQ13&gt;=2,'04_Доходы'!AQ14*ПремияЕвгения/(1+СтраховыеВзносы),0)</f>
        <v/>
      </c>
      <c r="AR20" s="87">
        <f>IF('03_Сеть'!AR13&gt;=2,'04_Доходы'!AR14*ПремияЕвгения/(1+СтраховыеВзносы),0)</f>
        <v/>
      </c>
      <c r="AS20" s="87">
        <f>IF('03_Сеть'!AS13&gt;=2,'04_Доходы'!AS14*ПремияЕвгения/(1+СтраховыеВзносы),0)</f>
        <v/>
      </c>
      <c r="AT20" s="87">
        <f>IF('03_Сеть'!AT13&gt;=2,'04_Доходы'!AT14*ПремияЕвгения/(1+СтраховыеВзносы),0)</f>
        <v/>
      </c>
      <c r="AU20" s="87">
        <f>IF('03_Сеть'!AU13&gt;=2,'04_Доходы'!AU14*ПремияЕвгения/(1+СтраховыеВзносы),0)</f>
        <v/>
      </c>
      <c r="AV20" s="87">
        <f>IF('03_Сеть'!AV13&gt;=2,'04_Доходы'!AV14*ПремияЕвгения/(1+СтраховыеВзносы),0)</f>
        <v/>
      </c>
      <c r="AW20" s="87">
        <f>IF('03_Сеть'!AW13&gt;=2,'04_Доходы'!AW14*ПремияЕвгения/(1+СтраховыеВзносы),0)</f>
        <v/>
      </c>
      <c r="AX20" s="87">
        <f>IF('03_Сеть'!AX13&gt;=2,'04_Доходы'!AX14*ПремияЕвгения/(1+СтраховыеВзносы),0)</f>
        <v/>
      </c>
      <c r="AY20" s="87">
        <f>IF('03_Сеть'!AY13&gt;=2,'04_Доходы'!AY14*ПремияЕвгения/(1+СтраховыеВзносы),0)</f>
        <v/>
      </c>
      <c r="AZ20" s="87">
        <f>IF('03_Сеть'!AZ13&gt;=2,'04_Доходы'!AZ14*ПремияЕвгения/(1+СтраховыеВзносы),0)</f>
        <v/>
      </c>
      <c r="BA20" s="87">
        <f>IF('03_Сеть'!BA13&gt;=2,'04_Доходы'!BA14*ПремияЕвгения/(1+СтраховыеВзносы),0)</f>
        <v/>
      </c>
      <c r="BB20" s="87">
        <f>IF('03_Сеть'!BB13&gt;=2,'04_Доходы'!BB14*ПремияЕвгения/(1+СтраховыеВзносы),0)</f>
        <v/>
      </c>
      <c r="BC20" s="87">
        <f>IF('03_Сеть'!BC13&gt;=2,'04_Доходы'!BC14*ПремияЕвгения/(1+СтраховыеВзносы),0)</f>
        <v/>
      </c>
      <c r="BD20" s="87">
        <f>IF('03_Сеть'!BD13&gt;=2,'04_Доходы'!BD14*ПремияЕвгения/(1+СтраховыеВзносы),0)</f>
        <v/>
      </c>
      <c r="BE20" s="87">
        <f>IF('03_Сеть'!BE13&gt;=2,'04_Доходы'!BE14*ПремияЕвгения/(1+СтраховыеВзносы),0)</f>
        <v/>
      </c>
      <c r="BF20" s="87">
        <f>IF('03_Сеть'!BF13&gt;=2,'04_Доходы'!BF14*ПремияЕвгения/(1+СтраховыеВзносы),0)</f>
        <v/>
      </c>
      <c r="BG20" s="87">
        <f>IF('03_Сеть'!BG13&gt;=2,'04_Доходы'!BG14*ПремияЕвгения/(1+СтраховыеВзносы),0)</f>
        <v/>
      </c>
      <c r="BH20" s="87">
        <f>IF('03_Сеть'!BH13&gt;=2,'04_Доходы'!BH14*ПремияЕвгения/(1+СтраховыеВзносы),0)</f>
        <v/>
      </c>
      <c r="BI20" s="87">
        <f>IF('03_Сеть'!BI13&gt;=2,'04_Доходы'!BI14*ПремияЕвгения/(1+СтраховыеВзносы),0)</f>
        <v/>
      </c>
      <c r="BJ20" s="87">
        <f>IF('03_Сеть'!BJ13&gt;=2,'04_Доходы'!BJ14*ПремияЕвгения/(1+СтраховыеВзносы),0)</f>
        <v/>
      </c>
      <c r="BK20" s="87">
        <f>IF('03_Сеть'!BK13&gt;=2,'04_Доходы'!BK14*ПремияЕвгения/(1+СтраховыеВзносы),0)</f>
        <v/>
      </c>
      <c r="BL20" s="87">
        <f>IF('03_Сеть'!BL13&gt;=2,'04_Доходы'!BL14*ПремияЕвгения/(1+СтраховыеВзносы),0)</f>
        <v/>
      </c>
      <c r="BM20" s="87">
        <f>IF('03_Сеть'!BM13&gt;=2,'04_Доходы'!BM14*ПремияЕвгения/(1+СтраховыеВзносы),0)</f>
        <v/>
      </c>
      <c r="BN20" s="87">
        <f>IF('03_Сеть'!BN13&gt;=2,'04_Доходы'!BN14*ПремияЕвгения/(1+СтраховыеВзносы),0)</f>
        <v/>
      </c>
      <c r="BO20" s="87">
        <f>IF('03_Сеть'!BO13&gt;=2,'04_Доходы'!BO14*ПремияЕвгения/(1+СтраховыеВзносы),0)</f>
        <v/>
      </c>
      <c r="BP20" s="87">
        <f>IF('03_Сеть'!BP13&gt;=2,'04_Доходы'!BP14*ПремияЕвгения/(1+СтраховыеВзносы),0)</f>
        <v/>
      </c>
      <c r="BQ20" s="87">
        <f>IF('03_Сеть'!BQ13&gt;=2,'04_Доходы'!BQ14*ПремияЕвгения/(1+СтраховыеВзносы),0)</f>
        <v/>
      </c>
      <c r="BR20" s="87">
        <f>IF('03_Сеть'!BR13&gt;=2,'04_Доходы'!BR14*ПремияЕвгения/(1+СтраховыеВзносы),0)</f>
        <v/>
      </c>
      <c r="BS20" s="87">
        <f>IF('03_Сеть'!BS13&gt;=2,'04_Доходы'!BS14*ПремияЕвгения/(1+СтраховыеВзносы),0)</f>
        <v/>
      </c>
      <c r="BT20" s="87">
        <f>IF('03_Сеть'!BT13&gt;=2,'04_Доходы'!BT14*ПремияЕвгения/(1+СтраховыеВзносы),0)</f>
        <v/>
      </c>
      <c r="BU20" s="87">
        <f>IF('03_Сеть'!BU13&gt;=2,'04_Доходы'!BU14*ПремияЕвгения/(1+СтраховыеВзносы),0)</f>
        <v/>
      </c>
      <c r="BV20" s="87">
        <f>IF('03_Сеть'!BV13&gt;=2,'04_Доходы'!BV14*ПремияЕвгения/(1+СтраховыеВзносы),0)</f>
        <v/>
      </c>
      <c r="BW20" s="87">
        <f>IF('03_Сеть'!BW13&gt;=2,'04_Доходы'!BW14*ПремияЕвгения/(1+СтраховыеВзносы),0)</f>
        <v/>
      </c>
      <c r="BX20" s="87">
        <f>IF('03_Сеть'!BX13&gt;=2,'04_Доходы'!BX14*ПремияЕвгения/(1+СтраховыеВзносы),0)</f>
        <v/>
      </c>
      <c r="BY20" s="87">
        <f>IF('03_Сеть'!BY13&gt;=2,'04_Доходы'!BY14*ПремияЕвгения/(1+СтраховыеВзносы),0)</f>
        <v/>
      </c>
    </row>
    <row r="21" ht="15.75" customHeight="1" s="194">
      <c r="B21" s="56" t="inlineStr">
        <is>
          <t>Взносы на премию Евгения</t>
        </is>
      </c>
      <c r="C21" s="56" t="inlineStr">
        <is>
          <t>₽</t>
        </is>
      </c>
      <c r="D21" s="57" t="n"/>
      <c r="E21" s="85">
        <f>SUM(L21:W21)</f>
        <v/>
      </c>
      <c r="F21" s="85">
        <f>SUM(X21:AI21)</f>
        <v/>
      </c>
      <c r="G21" s="85">
        <f>SUM(AJ21:AU21)</f>
        <v/>
      </c>
      <c r="H21" s="85">
        <f>SUM(AV21:BG21)</f>
        <v/>
      </c>
      <c r="I21" s="85">
        <f>SUM(BH21:BS21)</f>
        <v/>
      </c>
      <c r="J21" s="86">
        <f>SUM(L21:BS21)</f>
        <v/>
      </c>
      <c r="L21" s="87">
        <f>L20*СтраховыеВзносы</f>
        <v/>
      </c>
      <c r="M21" s="87">
        <f>M20*СтраховыеВзносы</f>
        <v/>
      </c>
      <c r="N21" s="87">
        <f>N20*СтраховыеВзносы</f>
        <v/>
      </c>
      <c r="O21" s="87">
        <f>O20*СтраховыеВзносы</f>
        <v/>
      </c>
      <c r="P21" s="87">
        <f>P20*СтраховыеВзносы</f>
        <v/>
      </c>
      <c r="Q21" s="87">
        <f>Q20*СтраховыеВзносы</f>
        <v/>
      </c>
      <c r="R21" s="87">
        <f>R20*СтраховыеВзносы</f>
        <v/>
      </c>
      <c r="S21" s="87">
        <f>S20*СтраховыеВзносы</f>
        <v/>
      </c>
      <c r="T21" s="87">
        <f>T20*СтраховыеВзносы</f>
        <v/>
      </c>
      <c r="U21" s="87">
        <f>U20*СтраховыеВзносы</f>
        <v/>
      </c>
      <c r="V21" s="87">
        <f>V20*СтраховыеВзносы</f>
        <v/>
      </c>
      <c r="W21" s="87">
        <f>W20*СтраховыеВзносы</f>
        <v/>
      </c>
      <c r="X21" s="87">
        <f>X20*СтраховыеВзносы</f>
        <v/>
      </c>
      <c r="Y21" s="87">
        <f>Y20*СтраховыеВзносы</f>
        <v/>
      </c>
      <c r="Z21" s="87">
        <f>Z20*СтраховыеВзносы</f>
        <v/>
      </c>
      <c r="AA21" s="87">
        <f>AA20*СтраховыеВзносы</f>
        <v/>
      </c>
      <c r="AB21" s="87">
        <f>AB20*СтраховыеВзносы</f>
        <v/>
      </c>
      <c r="AC21" s="87">
        <f>AC20*СтраховыеВзносы</f>
        <v/>
      </c>
      <c r="AD21" s="87">
        <f>AD20*СтраховыеВзносы</f>
        <v/>
      </c>
      <c r="AE21" s="87">
        <f>AE20*СтраховыеВзносы</f>
        <v/>
      </c>
      <c r="AF21" s="87">
        <f>AF20*СтраховыеВзносы</f>
        <v/>
      </c>
      <c r="AG21" s="87">
        <f>AG20*СтраховыеВзносы</f>
        <v/>
      </c>
      <c r="AH21" s="87">
        <f>AH20*СтраховыеВзносы</f>
        <v/>
      </c>
      <c r="AI21" s="87">
        <f>AI20*СтраховыеВзносы</f>
        <v/>
      </c>
      <c r="AJ21" s="87">
        <f>AJ20*СтраховыеВзносы</f>
        <v/>
      </c>
      <c r="AK21" s="87">
        <f>AK20*СтраховыеВзносы</f>
        <v/>
      </c>
      <c r="AL21" s="87">
        <f>AL20*СтраховыеВзносы</f>
        <v/>
      </c>
      <c r="AM21" s="87">
        <f>AM20*СтраховыеВзносы</f>
        <v/>
      </c>
      <c r="AN21" s="87">
        <f>AN20*СтраховыеВзносы</f>
        <v/>
      </c>
      <c r="AO21" s="87">
        <f>AO20*СтраховыеВзносы</f>
        <v/>
      </c>
      <c r="AP21" s="87">
        <f>AP20*СтраховыеВзносы</f>
        <v/>
      </c>
      <c r="AQ21" s="87">
        <f>AQ20*СтраховыеВзносы</f>
        <v/>
      </c>
      <c r="AR21" s="87">
        <f>AR20*СтраховыеВзносы</f>
        <v/>
      </c>
      <c r="AS21" s="87">
        <f>AS20*СтраховыеВзносы</f>
        <v/>
      </c>
      <c r="AT21" s="87">
        <f>AT20*СтраховыеВзносы</f>
        <v/>
      </c>
      <c r="AU21" s="87">
        <f>AU20*СтраховыеВзносы</f>
        <v/>
      </c>
      <c r="AV21" s="87">
        <f>AV20*СтраховыеВзносы</f>
        <v/>
      </c>
      <c r="AW21" s="87">
        <f>AW20*СтраховыеВзносы</f>
        <v/>
      </c>
      <c r="AX21" s="87">
        <f>AX20*СтраховыеВзносы</f>
        <v/>
      </c>
      <c r="AY21" s="87">
        <f>AY20*СтраховыеВзносы</f>
        <v/>
      </c>
      <c r="AZ21" s="87">
        <f>AZ20*СтраховыеВзносы</f>
        <v/>
      </c>
      <c r="BA21" s="87">
        <f>BA20*СтраховыеВзносы</f>
        <v/>
      </c>
      <c r="BB21" s="87">
        <f>BB20*СтраховыеВзносы</f>
        <v/>
      </c>
      <c r="BC21" s="87">
        <f>BC20*СтраховыеВзносы</f>
        <v/>
      </c>
      <c r="BD21" s="87">
        <f>BD20*СтраховыеВзносы</f>
        <v/>
      </c>
      <c r="BE21" s="87">
        <f>BE20*СтраховыеВзносы</f>
        <v/>
      </c>
      <c r="BF21" s="87">
        <f>BF20*СтраховыеВзносы</f>
        <v/>
      </c>
      <c r="BG21" s="87">
        <f>BG20*СтраховыеВзносы</f>
        <v/>
      </c>
      <c r="BH21" s="87">
        <f>BH20*СтраховыеВзносы</f>
        <v/>
      </c>
      <c r="BI21" s="87">
        <f>BI20*СтраховыеВзносы</f>
        <v/>
      </c>
      <c r="BJ21" s="87">
        <f>BJ20*СтраховыеВзносы</f>
        <v/>
      </c>
      <c r="BK21" s="87">
        <f>BK20*СтраховыеВзносы</f>
        <v/>
      </c>
      <c r="BL21" s="87">
        <f>BL20*СтраховыеВзносы</f>
        <v/>
      </c>
      <c r="BM21" s="87">
        <f>BM20*СтраховыеВзносы</f>
        <v/>
      </c>
      <c r="BN21" s="87">
        <f>BN20*СтраховыеВзносы</f>
        <v/>
      </c>
      <c r="BO21" s="87">
        <f>BO20*СтраховыеВзносы</f>
        <v/>
      </c>
      <c r="BP21" s="87">
        <f>BP20*СтраховыеВзносы</f>
        <v/>
      </c>
      <c r="BQ21" s="87">
        <f>BQ20*СтраховыеВзносы</f>
        <v/>
      </c>
      <c r="BR21" s="87">
        <f>BR20*СтраховыеВзносы</f>
        <v/>
      </c>
      <c r="BS21" s="87">
        <f>BS20*СтраховыеВзносы</f>
        <v/>
      </c>
      <c r="BT21" s="87">
        <f>BT20*СтраховыеВзносы</f>
        <v/>
      </c>
      <c r="BU21" s="87">
        <f>BU20*СтраховыеВзносы</f>
        <v/>
      </c>
      <c r="BV21" s="87">
        <f>BV20*СтраховыеВзносы</f>
        <v/>
      </c>
      <c r="BW21" s="87">
        <f>BW20*СтраховыеВзносы</f>
        <v/>
      </c>
      <c r="BX21" s="87">
        <f>BX20*СтраховыеВзносы</f>
        <v/>
      </c>
      <c r="BY21" s="87">
        <f>BY20*СтраховыеВзносы</f>
        <v/>
      </c>
    </row>
    <row r="22" ht="15.75" customHeight="1" s="194">
      <c r="B22" s="56" t="inlineStr">
        <is>
          <t>Временный продавец</t>
        </is>
      </c>
      <c r="C22" s="56" t="inlineStr">
        <is>
          <t>₽</t>
        </is>
      </c>
      <c r="D22" s="57" t="inlineStr">
        <is>
          <t>Подключается при пяти продажах за месяц</t>
        </is>
      </c>
      <c r="E22" s="85">
        <f>SUM(L22:W22)</f>
        <v/>
      </c>
      <c r="F22" s="85">
        <f>SUM(X22:AI22)</f>
        <v/>
      </c>
      <c r="G22" s="85">
        <f>SUM(AJ22:AU22)</f>
        <v/>
      </c>
      <c r="H22" s="85">
        <f>SUM(AV22:BG22)</f>
        <v/>
      </c>
      <c r="I22" s="85">
        <f>SUM(BH22:BS22)</f>
        <v/>
      </c>
      <c r="J22" s="86">
        <f>SUM(L22:BS22)</f>
        <v/>
      </c>
      <c r="L22" s="87">
        <f>IF('03_Сеть'!L13&gt;=ТриггерПродавца,IF(СтатусПродавца="ИП",ПродавецФикс+'04_Доходы'!L14*ПродавецБонус,(ПродавецФикс/NetGross+'04_Доходы'!L14*ПродавецБонус)*(1+СтраховыеВзносы)),0)</f>
        <v/>
      </c>
      <c r="M22" s="87">
        <f>IF('03_Сеть'!M13&gt;=ТриггерПродавца,IF(СтатусПродавца="ИП",ПродавецФикс+'04_Доходы'!M14*ПродавецБонус,(ПродавецФикс/NetGross+'04_Доходы'!M14*ПродавецБонус)*(1+СтраховыеВзносы)),0)</f>
        <v/>
      </c>
      <c r="N22" s="87">
        <f>IF('03_Сеть'!N13&gt;=ТриггерПродавца,IF(СтатусПродавца="ИП",ПродавецФикс+'04_Доходы'!N14*ПродавецБонус,(ПродавецФикс/NetGross+'04_Доходы'!N14*ПродавецБонус)*(1+СтраховыеВзносы)),0)</f>
        <v/>
      </c>
      <c r="O22" s="87">
        <f>IF('03_Сеть'!O13&gt;=ТриггерПродавца,IF(СтатусПродавца="ИП",ПродавецФикс+'04_Доходы'!O14*ПродавецБонус,(ПродавецФикс/NetGross+'04_Доходы'!O14*ПродавецБонус)*(1+СтраховыеВзносы)),0)</f>
        <v/>
      </c>
      <c r="P22" s="87">
        <f>IF('03_Сеть'!P13&gt;=ТриггерПродавца,IF(СтатусПродавца="ИП",ПродавецФикс+'04_Доходы'!P14*ПродавецБонус,(ПродавецФикс/NetGross+'04_Доходы'!P14*ПродавецБонус)*(1+СтраховыеВзносы)),0)</f>
        <v/>
      </c>
      <c r="Q22" s="87">
        <f>IF('03_Сеть'!Q13&gt;=ТриггерПродавца,IF(СтатусПродавца="ИП",ПродавецФикс+'04_Доходы'!Q14*ПродавецБонус,(ПродавецФикс/NetGross+'04_Доходы'!Q14*ПродавецБонус)*(1+СтраховыеВзносы)),0)</f>
        <v/>
      </c>
      <c r="R22" s="87">
        <f>IF('03_Сеть'!R13&gt;=ТриггерПродавца,IF(СтатусПродавца="ИП",ПродавецФикс+'04_Доходы'!R14*ПродавецБонус,(ПродавецФикс/NetGross+'04_Доходы'!R14*ПродавецБонус)*(1+СтраховыеВзносы)),0)</f>
        <v/>
      </c>
      <c r="S22" s="87">
        <f>IF('03_Сеть'!S13&gt;=ТриггерПродавца,IF(СтатусПродавца="ИП",ПродавецФикс+'04_Доходы'!S14*ПродавецБонус,(ПродавецФикс/NetGross+'04_Доходы'!S14*ПродавецБонус)*(1+СтраховыеВзносы)),0)</f>
        <v/>
      </c>
      <c r="T22" s="87">
        <f>IF('03_Сеть'!T13&gt;=ТриггерПродавца,IF(СтатусПродавца="ИП",ПродавецФикс+'04_Доходы'!T14*ПродавецБонус,(ПродавецФикс/NetGross+'04_Доходы'!T14*ПродавецБонус)*(1+СтраховыеВзносы)),0)</f>
        <v/>
      </c>
      <c r="U22" s="87">
        <f>IF('03_Сеть'!U13&gt;=ТриггерПродавца,IF(СтатусПродавца="ИП",ПродавецФикс+'04_Доходы'!U14*ПродавецБонус,(ПродавецФикс/NetGross+'04_Доходы'!U14*ПродавецБонус)*(1+СтраховыеВзносы)),0)</f>
        <v/>
      </c>
      <c r="V22" s="87">
        <f>IF('03_Сеть'!V13&gt;=ТриггерПродавца,IF(СтатусПродавца="ИП",ПродавецФикс+'04_Доходы'!V14*ПродавецБонус,(ПродавецФикс/NetGross+'04_Доходы'!V14*ПродавецБонус)*(1+СтраховыеВзносы)),0)</f>
        <v/>
      </c>
      <c r="W22" s="87">
        <f>IF('03_Сеть'!W13&gt;=ТриггерПродавца,IF(СтатусПродавца="ИП",ПродавецФикс+'04_Доходы'!W14*ПродавецБонус,(ПродавецФикс/NetGross+'04_Доходы'!W14*ПродавецБонус)*(1+СтраховыеВзносы)),0)</f>
        <v/>
      </c>
      <c r="X22" s="87">
        <f>IF('03_Сеть'!X13&gt;=ТриггерПродавца,IF(СтатусПродавца="ИП",ПродавецФикс+'04_Доходы'!X14*ПродавецБонус,(ПродавецФикс/NetGross+'04_Доходы'!X14*ПродавецБонус)*(1+СтраховыеВзносы)),0)</f>
        <v/>
      </c>
      <c r="Y22" s="87">
        <f>IF('03_Сеть'!Y13&gt;=ТриггерПродавца,IF(СтатусПродавца="ИП",ПродавецФикс+'04_Доходы'!Y14*ПродавецБонус,(ПродавецФикс/NetGross+'04_Доходы'!Y14*ПродавецБонус)*(1+СтраховыеВзносы)),0)</f>
        <v/>
      </c>
      <c r="Z22" s="87">
        <f>IF('03_Сеть'!Z13&gt;=ТриггерПродавца,IF(СтатусПродавца="ИП",ПродавецФикс+'04_Доходы'!Z14*ПродавецБонус,(ПродавецФикс/NetGross+'04_Доходы'!Z14*ПродавецБонус)*(1+СтраховыеВзносы)),0)</f>
        <v/>
      </c>
      <c r="AA22" s="87">
        <f>IF('03_Сеть'!AA13&gt;=ТриггерПродавца,IF(СтатусПродавца="ИП",ПродавецФикс+'04_Доходы'!AA14*ПродавецБонус,(ПродавецФикс/NetGross+'04_Доходы'!AA14*ПродавецБонус)*(1+СтраховыеВзносы)),0)</f>
        <v/>
      </c>
      <c r="AB22" s="87">
        <f>IF('03_Сеть'!AB13&gt;=ТриггерПродавца,IF(СтатусПродавца="ИП",ПродавецФикс+'04_Доходы'!AB14*ПродавецБонус,(ПродавецФикс/NetGross+'04_Доходы'!AB14*ПродавецБонус)*(1+СтраховыеВзносы)),0)</f>
        <v/>
      </c>
      <c r="AC22" s="87">
        <f>IF('03_Сеть'!AC13&gt;=ТриггерПродавца,IF(СтатусПродавца="ИП",ПродавецФикс+'04_Доходы'!AC14*ПродавецБонус,(ПродавецФикс/NetGross+'04_Доходы'!AC14*ПродавецБонус)*(1+СтраховыеВзносы)),0)</f>
        <v/>
      </c>
      <c r="AD22" s="87">
        <f>IF('03_Сеть'!AD13&gt;=ТриггерПродавца,IF(СтатусПродавца="ИП",ПродавецФикс+'04_Доходы'!AD14*ПродавецБонус,(ПродавецФикс/NetGross+'04_Доходы'!AD14*ПродавецБонус)*(1+СтраховыеВзносы)),0)</f>
        <v/>
      </c>
      <c r="AE22" s="87">
        <f>IF('03_Сеть'!AE13&gt;=ТриггерПродавца,IF(СтатусПродавца="ИП",ПродавецФикс+'04_Доходы'!AE14*ПродавецБонус,(ПродавецФикс/NetGross+'04_Доходы'!AE14*ПродавецБонус)*(1+СтраховыеВзносы)),0)</f>
        <v/>
      </c>
      <c r="AF22" s="87">
        <f>IF('03_Сеть'!AF13&gt;=ТриггерПродавца,IF(СтатусПродавца="ИП",ПродавецФикс+'04_Доходы'!AF14*ПродавецБонус,(ПродавецФикс/NetGross+'04_Доходы'!AF14*ПродавецБонус)*(1+СтраховыеВзносы)),0)</f>
        <v/>
      </c>
      <c r="AG22" s="87">
        <f>IF('03_Сеть'!AG13&gt;=ТриггерПродавца,IF(СтатусПродавца="ИП",ПродавецФикс+'04_Доходы'!AG14*ПродавецБонус,(ПродавецФикс/NetGross+'04_Доходы'!AG14*ПродавецБонус)*(1+СтраховыеВзносы)),0)</f>
        <v/>
      </c>
      <c r="AH22" s="87">
        <f>IF('03_Сеть'!AH13&gt;=ТриггерПродавца,IF(СтатусПродавца="ИП",ПродавецФикс+'04_Доходы'!AH14*ПродавецБонус,(ПродавецФикс/NetGross+'04_Доходы'!AH14*ПродавецБонус)*(1+СтраховыеВзносы)),0)</f>
        <v/>
      </c>
      <c r="AI22" s="87">
        <f>IF('03_Сеть'!AI13&gt;=ТриггерПродавца,IF(СтатусПродавца="ИП",ПродавецФикс+'04_Доходы'!AI14*ПродавецБонус,(ПродавецФикс/NetGross+'04_Доходы'!AI14*ПродавецБонус)*(1+СтраховыеВзносы)),0)</f>
        <v/>
      </c>
      <c r="AJ22" s="87">
        <f>IF('03_Сеть'!AJ13&gt;=ТриггерПродавца,IF(СтатусПродавца="ИП",ПродавецФикс+'04_Доходы'!AJ14*ПродавецБонус,(ПродавецФикс/NetGross+'04_Доходы'!AJ14*ПродавецБонус)*(1+СтраховыеВзносы)),0)</f>
        <v/>
      </c>
      <c r="AK22" s="87">
        <f>IF('03_Сеть'!AK13&gt;=ТриггерПродавца,IF(СтатусПродавца="ИП",ПродавецФикс+'04_Доходы'!AK14*ПродавецБонус,(ПродавецФикс/NetGross+'04_Доходы'!AK14*ПродавецБонус)*(1+СтраховыеВзносы)),0)</f>
        <v/>
      </c>
      <c r="AL22" s="87">
        <f>IF('03_Сеть'!AL13&gt;=ТриггерПродавца,IF(СтатусПродавца="ИП",ПродавецФикс+'04_Доходы'!AL14*ПродавецБонус,(ПродавецФикс/NetGross+'04_Доходы'!AL14*ПродавецБонус)*(1+СтраховыеВзносы)),0)</f>
        <v/>
      </c>
      <c r="AM22" s="87">
        <f>IF('03_Сеть'!AM13&gt;=ТриггерПродавца,IF(СтатусПродавца="ИП",ПродавецФикс+'04_Доходы'!AM14*ПродавецБонус,(ПродавецФикс/NetGross+'04_Доходы'!AM14*ПродавецБонус)*(1+СтраховыеВзносы)),0)</f>
        <v/>
      </c>
      <c r="AN22" s="87">
        <f>IF('03_Сеть'!AN13&gt;=ТриггерПродавца,IF(СтатусПродавца="ИП",ПродавецФикс+'04_Доходы'!AN14*ПродавецБонус,(ПродавецФикс/NetGross+'04_Доходы'!AN14*ПродавецБонус)*(1+СтраховыеВзносы)),0)</f>
        <v/>
      </c>
      <c r="AO22" s="87">
        <f>IF('03_Сеть'!AO13&gt;=ТриггерПродавца,IF(СтатусПродавца="ИП",ПродавецФикс+'04_Доходы'!AO14*ПродавецБонус,(ПродавецФикс/NetGross+'04_Доходы'!AO14*ПродавецБонус)*(1+СтраховыеВзносы)),0)</f>
        <v/>
      </c>
      <c r="AP22" s="87">
        <f>IF('03_Сеть'!AP13&gt;=ТриггерПродавца,IF(СтатусПродавца="ИП",ПродавецФикс+'04_Доходы'!AP14*ПродавецБонус,(ПродавецФикс/NetGross+'04_Доходы'!AP14*ПродавецБонус)*(1+СтраховыеВзносы)),0)</f>
        <v/>
      </c>
      <c r="AQ22" s="87">
        <f>IF('03_Сеть'!AQ13&gt;=ТриггерПродавца,IF(СтатусПродавца="ИП",ПродавецФикс+'04_Доходы'!AQ14*ПродавецБонус,(ПродавецФикс/NetGross+'04_Доходы'!AQ14*ПродавецБонус)*(1+СтраховыеВзносы)),0)</f>
        <v/>
      </c>
      <c r="AR22" s="87">
        <f>IF('03_Сеть'!AR13&gt;=ТриггерПродавца,IF(СтатусПродавца="ИП",ПродавецФикс+'04_Доходы'!AR14*ПродавецБонус,(ПродавецФикс/NetGross+'04_Доходы'!AR14*ПродавецБонус)*(1+СтраховыеВзносы)),0)</f>
        <v/>
      </c>
      <c r="AS22" s="87">
        <f>IF('03_Сеть'!AS13&gt;=ТриггерПродавца,IF(СтатусПродавца="ИП",ПродавецФикс+'04_Доходы'!AS14*ПродавецБонус,(ПродавецФикс/NetGross+'04_Доходы'!AS14*ПродавецБонус)*(1+СтраховыеВзносы)),0)</f>
        <v/>
      </c>
      <c r="AT22" s="87">
        <f>IF('03_Сеть'!AT13&gt;=ТриггерПродавца,IF(СтатусПродавца="ИП",ПродавецФикс+'04_Доходы'!AT14*ПродавецБонус,(ПродавецФикс/NetGross+'04_Доходы'!AT14*ПродавецБонус)*(1+СтраховыеВзносы)),0)</f>
        <v/>
      </c>
      <c r="AU22" s="87">
        <f>IF('03_Сеть'!AU13&gt;=ТриггерПродавца,IF(СтатусПродавца="ИП",ПродавецФикс+'04_Доходы'!AU14*ПродавецБонус,(ПродавецФикс/NetGross+'04_Доходы'!AU14*ПродавецБонус)*(1+СтраховыеВзносы)),0)</f>
        <v/>
      </c>
      <c r="AV22" s="87">
        <f>IF('03_Сеть'!AV13&gt;=ТриггерПродавца,IF(СтатусПродавца="ИП",ПродавецФикс+'04_Доходы'!AV14*ПродавецБонус,(ПродавецФикс/NetGross+'04_Доходы'!AV14*ПродавецБонус)*(1+СтраховыеВзносы)),0)</f>
        <v/>
      </c>
      <c r="AW22" s="87">
        <f>IF('03_Сеть'!AW13&gt;=ТриггерПродавца,IF(СтатусПродавца="ИП",ПродавецФикс+'04_Доходы'!AW14*ПродавецБонус,(ПродавецФикс/NetGross+'04_Доходы'!AW14*ПродавецБонус)*(1+СтраховыеВзносы)),0)</f>
        <v/>
      </c>
      <c r="AX22" s="87">
        <f>IF('03_Сеть'!AX13&gt;=ТриггерПродавца,IF(СтатусПродавца="ИП",ПродавецФикс+'04_Доходы'!AX14*ПродавецБонус,(ПродавецФикс/NetGross+'04_Доходы'!AX14*ПродавецБонус)*(1+СтраховыеВзносы)),0)</f>
        <v/>
      </c>
      <c r="AY22" s="87">
        <f>IF('03_Сеть'!AY13&gt;=ТриггерПродавца,IF(СтатусПродавца="ИП",ПродавецФикс+'04_Доходы'!AY14*ПродавецБонус,(ПродавецФикс/NetGross+'04_Доходы'!AY14*ПродавецБонус)*(1+СтраховыеВзносы)),0)</f>
        <v/>
      </c>
      <c r="AZ22" s="87">
        <f>IF('03_Сеть'!AZ13&gt;=ТриггерПродавца,IF(СтатусПродавца="ИП",ПродавецФикс+'04_Доходы'!AZ14*ПродавецБонус,(ПродавецФикс/NetGross+'04_Доходы'!AZ14*ПродавецБонус)*(1+СтраховыеВзносы)),0)</f>
        <v/>
      </c>
      <c r="BA22" s="87">
        <f>IF('03_Сеть'!BA13&gt;=ТриггерПродавца,IF(СтатусПродавца="ИП",ПродавецФикс+'04_Доходы'!BA14*ПродавецБонус,(ПродавецФикс/NetGross+'04_Доходы'!BA14*ПродавецБонус)*(1+СтраховыеВзносы)),0)</f>
        <v/>
      </c>
      <c r="BB22" s="87">
        <f>IF('03_Сеть'!BB13&gt;=ТриггерПродавца,IF(СтатусПродавца="ИП",ПродавецФикс+'04_Доходы'!BB14*ПродавецБонус,(ПродавецФикс/NetGross+'04_Доходы'!BB14*ПродавецБонус)*(1+СтраховыеВзносы)),0)</f>
        <v/>
      </c>
      <c r="BC22" s="87">
        <f>IF('03_Сеть'!BC13&gt;=ТриггерПродавца,IF(СтатусПродавца="ИП",ПродавецФикс+'04_Доходы'!BC14*ПродавецБонус,(ПродавецФикс/NetGross+'04_Доходы'!BC14*ПродавецБонус)*(1+СтраховыеВзносы)),0)</f>
        <v/>
      </c>
      <c r="BD22" s="87">
        <f>IF('03_Сеть'!BD13&gt;=ТриггерПродавца,IF(СтатусПродавца="ИП",ПродавецФикс+'04_Доходы'!BD14*ПродавецБонус,(ПродавецФикс/NetGross+'04_Доходы'!BD14*ПродавецБонус)*(1+СтраховыеВзносы)),0)</f>
        <v/>
      </c>
      <c r="BE22" s="87">
        <f>IF('03_Сеть'!BE13&gt;=ТриггерПродавца,IF(СтатусПродавца="ИП",ПродавецФикс+'04_Доходы'!BE14*ПродавецБонус,(ПродавецФикс/NetGross+'04_Доходы'!BE14*ПродавецБонус)*(1+СтраховыеВзносы)),0)</f>
        <v/>
      </c>
      <c r="BF22" s="87">
        <f>IF('03_Сеть'!BF13&gt;=ТриггерПродавца,IF(СтатусПродавца="ИП",ПродавецФикс+'04_Доходы'!BF14*ПродавецБонус,(ПродавецФикс/NetGross+'04_Доходы'!BF14*ПродавецБонус)*(1+СтраховыеВзносы)),0)</f>
        <v/>
      </c>
      <c r="BG22" s="87">
        <f>IF('03_Сеть'!BG13&gt;=ТриггерПродавца,IF(СтатусПродавца="ИП",ПродавецФикс+'04_Доходы'!BG14*ПродавецБонус,(ПродавецФикс/NetGross+'04_Доходы'!BG14*ПродавецБонус)*(1+СтраховыеВзносы)),0)</f>
        <v/>
      </c>
      <c r="BH22" s="87">
        <f>IF('03_Сеть'!BH13&gt;=ТриггерПродавца,IF(СтатусПродавца="ИП",ПродавецФикс+'04_Доходы'!BH14*ПродавецБонус,(ПродавецФикс/NetGross+'04_Доходы'!BH14*ПродавецБонус)*(1+СтраховыеВзносы)),0)</f>
        <v/>
      </c>
      <c r="BI22" s="87">
        <f>IF('03_Сеть'!BI13&gt;=ТриггерПродавца,IF(СтатусПродавца="ИП",ПродавецФикс+'04_Доходы'!BI14*ПродавецБонус,(ПродавецФикс/NetGross+'04_Доходы'!BI14*ПродавецБонус)*(1+СтраховыеВзносы)),0)</f>
        <v/>
      </c>
      <c r="BJ22" s="87">
        <f>IF('03_Сеть'!BJ13&gt;=ТриггерПродавца,IF(СтатусПродавца="ИП",ПродавецФикс+'04_Доходы'!BJ14*ПродавецБонус,(ПродавецФикс/NetGross+'04_Доходы'!BJ14*ПродавецБонус)*(1+СтраховыеВзносы)),0)</f>
        <v/>
      </c>
      <c r="BK22" s="87">
        <f>IF('03_Сеть'!BK13&gt;=ТриггерПродавца,IF(СтатусПродавца="ИП",ПродавецФикс+'04_Доходы'!BK14*ПродавецБонус,(ПродавецФикс/NetGross+'04_Доходы'!BK14*ПродавецБонус)*(1+СтраховыеВзносы)),0)</f>
        <v/>
      </c>
      <c r="BL22" s="87">
        <f>IF('03_Сеть'!BL13&gt;=ТриггерПродавца,IF(СтатусПродавца="ИП",ПродавецФикс+'04_Доходы'!BL14*ПродавецБонус,(ПродавецФикс/NetGross+'04_Доходы'!BL14*ПродавецБонус)*(1+СтраховыеВзносы)),0)</f>
        <v/>
      </c>
      <c r="BM22" s="87">
        <f>IF('03_Сеть'!BM13&gt;=ТриггерПродавца,IF(СтатусПродавца="ИП",ПродавецФикс+'04_Доходы'!BM14*ПродавецБонус,(ПродавецФикс/NetGross+'04_Доходы'!BM14*ПродавецБонус)*(1+СтраховыеВзносы)),0)</f>
        <v/>
      </c>
      <c r="BN22" s="87">
        <f>IF('03_Сеть'!BN13&gt;=ТриггерПродавца,IF(СтатусПродавца="ИП",ПродавецФикс+'04_Доходы'!BN14*ПродавецБонус,(ПродавецФикс/NetGross+'04_Доходы'!BN14*ПродавецБонус)*(1+СтраховыеВзносы)),0)</f>
        <v/>
      </c>
      <c r="BO22" s="87">
        <f>IF('03_Сеть'!BO13&gt;=ТриггерПродавца,IF(СтатусПродавца="ИП",ПродавецФикс+'04_Доходы'!BO14*ПродавецБонус,(ПродавецФикс/NetGross+'04_Доходы'!BO14*ПродавецБонус)*(1+СтраховыеВзносы)),0)</f>
        <v/>
      </c>
      <c r="BP22" s="87">
        <f>IF('03_Сеть'!BP13&gt;=ТриггерПродавца,IF(СтатусПродавца="ИП",ПродавецФикс+'04_Доходы'!BP14*ПродавецБонус,(ПродавецФикс/NetGross+'04_Доходы'!BP14*ПродавецБонус)*(1+СтраховыеВзносы)),0)</f>
        <v/>
      </c>
      <c r="BQ22" s="87">
        <f>IF('03_Сеть'!BQ13&gt;=ТриггерПродавца,IF(СтатусПродавца="ИП",ПродавецФикс+'04_Доходы'!BQ14*ПродавецБонус,(ПродавецФикс/NetGross+'04_Доходы'!BQ14*ПродавецБонус)*(1+СтраховыеВзносы)),0)</f>
        <v/>
      </c>
      <c r="BR22" s="87">
        <f>IF('03_Сеть'!BR13&gt;=ТриггерПродавца,IF(СтатусПродавца="ИП",ПродавецФикс+'04_Доходы'!BR14*ПродавецБонус,(ПродавецФикс/NetGross+'04_Доходы'!BR14*ПродавецБонус)*(1+СтраховыеВзносы)),0)</f>
        <v/>
      </c>
      <c r="BS22" s="87">
        <f>IF('03_Сеть'!BS13&gt;=ТриггерПродавца,IF(СтатусПродавца="ИП",ПродавецФикс+'04_Доходы'!BS14*ПродавецБонус,(ПродавецФикс/NetGross+'04_Доходы'!BS14*ПродавецБонус)*(1+СтраховыеВзносы)),0)</f>
        <v/>
      </c>
      <c r="BT22" s="87">
        <f>IF('03_Сеть'!BT13&gt;=ТриггерПродавца,IF(СтатусПродавца="ИП",ПродавецФикс+'04_Доходы'!BT14*ПродавецБонус,(ПродавецФикс/NetGross+'04_Доходы'!BT14*ПродавецБонус)*(1+СтраховыеВзносы)),0)</f>
        <v/>
      </c>
      <c r="BU22" s="87">
        <f>IF('03_Сеть'!BU13&gt;=ТриггерПродавца,IF(СтатусПродавца="ИП",ПродавецФикс+'04_Доходы'!BU14*ПродавецБонус,(ПродавецФикс/NetGross+'04_Доходы'!BU14*ПродавецБонус)*(1+СтраховыеВзносы)),0)</f>
        <v/>
      </c>
      <c r="BV22" s="87">
        <f>IF('03_Сеть'!BV13&gt;=ТриггерПродавца,IF(СтатусПродавца="ИП",ПродавецФикс+'04_Доходы'!BV14*ПродавецБонус,(ПродавецФикс/NetGross+'04_Доходы'!BV14*ПродавецБонус)*(1+СтраховыеВзносы)),0)</f>
        <v/>
      </c>
      <c r="BW22" s="87">
        <f>IF('03_Сеть'!BW13&gt;=ТриггерПродавца,IF(СтатусПродавца="ИП",ПродавецФикс+'04_Доходы'!BW14*ПродавецБонус,(ПродавецФикс/NetGross+'04_Доходы'!BW14*ПродавецБонус)*(1+СтраховыеВзносы)),0)</f>
        <v/>
      </c>
      <c r="BX22" s="87">
        <f>IF('03_Сеть'!BX13&gt;=ТриггерПродавца,IF(СтатусПродавца="ИП",ПродавецФикс+'04_Доходы'!BX14*ПродавецБонус,(ПродавецФикс/NetGross+'04_Доходы'!BX14*ПродавецБонус)*(1+СтраховыеВзносы)),0)</f>
        <v/>
      </c>
      <c r="BY22" s="87">
        <f>IF('03_Сеть'!BY13&gt;=ТриггерПродавца,IF(СтатусПродавца="ИП",ПродавецФикс+'04_Доходы'!BY14*ПродавецБонус,(ПродавецФикс/NetGross+'04_Доходы'!BY14*ПродавецБонус)*(1+СтраховыеВзносы)),0)</f>
        <v/>
      </c>
    </row>
    <row r="23" ht="15.75" customHeight="1" s="194">
      <c r="B23" s="56" t="inlineStr">
        <is>
          <t>Квартальная премия, gross</t>
        </is>
      </c>
      <c r="C23" s="56" t="inlineStr">
        <is>
          <t>₽</t>
        </is>
      </c>
      <c r="D23" s="57" t="inlineStr">
        <is>
          <t>Раз в квартал, 60% месячного оклада</t>
        </is>
      </c>
      <c r="E23" s="85">
        <f>SUM(L23:W23)</f>
        <v/>
      </c>
      <c r="F23" s="85">
        <f>SUM(X23:AI23)</f>
        <v/>
      </c>
      <c r="G23" s="85">
        <f>SUM(AJ23:AU23)</f>
        <v/>
      </c>
      <c r="H23" s="85">
        <f>SUM(AV23:BG23)</f>
        <v/>
      </c>
      <c r="I23" s="85">
        <f>SUM(BH23:BS23)</f>
        <v/>
      </c>
      <c r="J23" s="86">
        <f>SUM(L23:BS23)</f>
        <v/>
      </c>
      <c r="L23" s="87">
        <f>IF(AND('03_Сеть'!L7&gt;=ДатаКвартальных,MOD(MONTH('03_Сеть'!L7),3)=0),(БазаКвартальной*L7+IF(ПремияГДвБазе="Да",L8,0)+L10+L11)*КвартальнаяПремия,0)</f>
        <v/>
      </c>
      <c r="M23" s="87">
        <f>IF(AND('03_Сеть'!M7&gt;=ДатаКвартальных,MOD(MONTH('03_Сеть'!M7),3)=0),(БазаКвартальной*M7+IF(ПремияГДвБазе="Да",M8,0)+M10+M11)*КвартальнаяПремия,0)</f>
        <v/>
      </c>
      <c r="N23" s="87">
        <f>IF(AND('03_Сеть'!N7&gt;=ДатаКвартальных,MOD(MONTH('03_Сеть'!N7),3)=0),(БазаКвартальной*N7+IF(ПремияГДвБазе="Да",N8,0)+N10+N11)*КвартальнаяПремия,0)</f>
        <v/>
      </c>
      <c r="O23" s="87">
        <f>IF(AND('03_Сеть'!O7&gt;=ДатаКвартальных,MOD(MONTH('03_Сеть'!O7),3)=0),(БазаКвартальной*O7+IF(ПремияГДвБазе="Да",O8,0)+O10+O11)*КвартальнаяПремия,0)</f>
        <v/>
      </c>
      <c r="P23" s="87">
        <f>IF(AND('03_Сеть'!P7&gt;=ДатаКвартальных,MOD(MONTH('03_Сеть'!P7),3)=0),(БазаКвартальной*P7+IF(ПремияГДвБазе="Да",P8,0)+P10+P11)*КвартальнаяПремия,0)</f>
        <v/>
      </c>
      <c r="Q23" s="87">
        <f>IF(AND('03_Сеть'!Q7&gt;=ДатаКвартальных,MOD(MONTH('03_Сеть'!Q7),3)=0),(БазаКвартальной*Q7+IF(ПремияГДвБазе="Да",Q8,0)+Q10+Q11)*КвартальнаяПремия,0)</f>
        <v/>
      </c>
      <c r="R23" s="87">
        <f>IF(AND('03_Сеть'!R7&gt;=ДатаКвартальных,MOD(MONTH('03_Сеть'!R7),3)=0),(БазаКвартальной*R7+IF(ПремияГДвБазе="Да",R8,0)+R10+R11)*КвартальнаяПремия,0)</f>
        <v/>
      </c>
      <c r="S23" s="87">
        <f>IF(AND('03_Сеть'!S7&gt;=ДатаКвартальных,MOD(MONTH('03_Сеть'!S7),3)=0),(БазаКвартальной*S7+IF(ПремияГДвБазе="Да",S8,0)+S10+S11)*КвартальнаяПремия,0)</f>
        <v/>
      </c>
      <c r="T23" s="87">
        <f>IF(AND('03_Сеть'!T7&gt;=ДатаКвартальных,MOD(MONTH('03_Сеть'!T7),3)=0),(БазаКвартальной*T7+IF(ПремияГДвБазе="Да",T8,0)+T10+T11)*КвартальнаяПремия,0)</f>
        <v/>
      </c>
      <c r="U23" s="87">
        <f>IF(AND('03_Сеть'!U7&gt;=ДатаКвартальных,MOD(MONTH('03_Сеть'!U7),3)=0),(БазаКвартальной*U7+IF(ПремияГДвБазе="Да",U8,0)+U10+U11)*КвартальнаяПремия,0)</f>
        <v/>
      </c>
      <c r="V23" s="87">
        <f>IF(AND('03_Сеть'!V7&gt;=ДатаКвартальных,MOD(MONTH('03_Сеть'!V7),3)=0),(БазаКвартальной*V7+IF(ПремияГДвБазе="Да",V8,0)+V10+V11)*КвартальнаяПремия,0)</f>
        <v/>
      </c>
      <c r="W23" s="87">
        <f>IF(AND('03_Сеть'!W7&gt;=ДатаКвартальных,MOD(MONTH('03_Сеть'!W7),3)=0),(БазаКвартальной*W7+IF(ПремияГДвБазе="Да",W8,0)+W10+W11)*КвартальнаяПремия,0)</f>
        <v/>
      </c>
      <c r="X23" s="87">
        <f>IF(AND('03_Сеть'!X7&gt;=ДатаКвартальных,MOD(MONTH('03_Сеть'!X7),3)=0),(БазаКвартальной*X7+IF(ПремияГДвБазе="Да",X8,0)+X10+X11)*КвартальнаяПремия,0)</f>
        <v/>
      </c>
      <c r="Y23" s="87">
        <f>IF(AND('03_Сеть'!Y7&gt;=ДатаКвартальных,MOD(MONTH('03_Сеть'!Y7),3)=0),(БазаКвартальной*Y7+IF(ПремияГДвБазе="Да",Y8,0)+Y10+Y11)*КвартальнаяПремия,0)</f>
        <v/>
      </c>
      <c r="Z23" s="87">
        <f>IF(AND('03_Сеть'!Z7&gt;=ДатаКвартальных,MOD(MONTH('03_Сеть'!Z7),3)=0),(БазаКвартальной*Z7+IF(ПремияГДвБазе="Да",Z8,0)+Z10+Z11)*КвартальнаяПремия,0)</f>
        <v/>
      </c>
      <c r="AA23" s="87">
        <f>IF(AND('03_Сеть'!AA7&gt;=ДатаКвартальных,MOD(MONTH('03_Сеть'!AA7),3)=0),(БазаКвартальной*AA7+IF(ПремияГДвБазе="Да",AA8,0)+AA10+AA11)*КвартальнаяПремия,0)</f>
        <v/>
      </c>
      <c r="AB23" s="87">
        <f>IF(AND('03_Сеть'!AB7&gt;=ДатаКвартальных,MOD(MONTH('03_Сеть'!AB7),3)=0),(БазаКвартальной*AB7+IF(ПремияГДвБазе="Да",AB8,0)+AB10+AB11)*КвартальнаяПремия,0)</f>
        <v/>
      </c>
      <c r="AC23" s="87">
        <f>IF(AND('03_Сеть'!AC7&gt;=ДатаКвартальных,MOD(MONTH('03_Сеть'!AC7),3)=0),(БазаКвартальной*AC7+IF(ПремияГДвБазе="Да",AC8,0)+AC10+AC11)*КвартальнаяПремия,0)</f>
        <v/>
      </c>
      <c r="AD23" s="87">
        <f>IF(AND('03_Сеть'!AD7&gt;=ДатаКвартальных,MOD(MONTH('03_Сеть'!AD7),3)=0),(БазаКвартальной*AD7+IF(ПремияГДвБазе="Да",AD8,0)+AD10+AD11)*КвартальнаяПремия,0)</f>
        <v/>
      </c>
      <c r="AE23" s="87">
        <f>IF(AND('03_Сеть'!AE7&gt;=ДатаКвартальных,MOD(MONTH('03_Сеть'!AE7),3)=0),(БазаКвартальной*AE7+IF(ПремияГДвБазе="Да",AE8,0)+AE10+AE11)*КвартальнаяПремия,0)</f>
        <v/>
      </c>
      <c r="AF23" s="87">
        <f>IF(AND('03_Сеть'!AF7&gt;=ДатаКвартальных,MOD(MONTH('03_Сеть'!AF7),3)=0),(БазаКвартальной*AF7+IF(ПремияГДвБазе="Да",AF8,0)+AF10+AF11)*КвартальнаяПремия,0)</f>
        <v/>
      </c>
      <c r="AG23" s="87">
        <f>IF(AND('03_Сеть'!AG7&gt;=ДатаКвартальных,MOD(MONTH('03_Сеть'!AG7),3)=0),(БазаКвартальной*AG7+IF(ПремияГДвБазе="Да",AG8,0)+AG10+AG11)*КвартальнаяПремия,0)</f>
        <v/>
      </c>
      <c r="AH23" s="87">
        <f>IF(AND('03_Сеть'!AH7&gt;=ДатаКвартальных,MOD(MONTH('03_Сеть'!AH7),3)=0),(БазаКвартальной*AH7+IF(ПремияГДвБазе="Да",AH8,0)+AH10+AH11)*КвартальнаяПремия,0)</f>
        <v/>
      </c>
      <c r="AI23" s="87">
        <f>IF(AND('03_Сеть'!AI7&gt;=ДатаКвартальных,MOD(MONTH('03_Сеть'!AI7),3)=0),(БазаКвартальной*AI7+IF(ПремияГДвБазе="Да",AI8,0)+AI10+AI11)*КвартальнаяПремия,0)</f>
        <v/>
      </c>
      <c r="AJ23" s="87">
        <f>IF(AND('03_Сеть'!AJ7&gt;=ДатаКвартальных,MOD(MONTH('03_Сеть'!AJ7),3)=0),(БазаКвартальной*AJ7+IF(ПремияГДвБазе="Да",AJ8,0)+AJ10+AJ11)*КвартальнаяПремия,0)</f>
        <v/>
      </c>
      <c r="AK23" s="87">
        <f>IF(AND('03_Сеть'!AK7&gt;=ДатаКвартальных,MOD(MONTH('03_Сеть'!AK7),3)=0),(БазаКвартальной*AK7+IF(ПремияГДвБазе="Да",AK8,0)+AK10+AK11)*КвартальнаяПремия,0)</f>
        <v/>
      </c>
      <c r="AL23" s="87">
        <f>IF(AND('03_Сеть'!AL7&gt;=ДатаКвартальных,MOD(MONTH('03_Сеть'!AL7),3)=0),(БазаКвартальной*AL7+IF(ПремияГДвБазе="Да",AL8,0)+AL10+AL11)*КвартальнаяПремия,0)</f>
        <v/>
      </c>
      <c r="AM23" s="87">
        <f>IF(AND('03_Сеть'!AM7&gt;=ДатаКвартальных,MOD(MONTH('03_Сеть'!AM7),3)=0),(БазаКвартальной*AM7+IF(ПремияГДвБазе="Да",AM8,0)+AM10+AM11)*КвартальнаяПремия,0)</f>
        <v/>
      </c>
      <c r="AN23" s="87">
        <f>IF(AND('03_Сеть'!AN7&gt;=ДатаКвартальных,MOD(MONTH('03_Сеть'!AN7),3)=0),(БазаКвартальной*AN7+IF(ПремияГДвБазе="Да",AN8,0)+AN10+AN11)*КвартальнаяПремия,0)</f>
        <v/>
      </c>
      <c r="AO23" s="87">
        <f>IF(AND('03_Сеть'!AO7&gt;=ДатаКвартальных,MOD(MONTH('03_Сеть'!AO7),3)=0),(БазаКвартальной*AO7+IF(ПремияГДвБазе="Да",AO8,0)+AO10+AO11)*КвартальнаяПремия,0)</f>
        <v/>
      </c>
      <c r="AP23" s="87">
        <f>IF(AND('03_Сеть'!AP7&gt;=ДатаКвартальных,MOD(MONTH('03_Сеть'!AP7),3)=0),(БазаКвартальной*AP7+IF(ПремияГДвБазе="Да",AP8,0)+AP10+AP11)*КвартальнаяПремия,0)</f>
        <v/>
      </c>
      <c r="AQ23" s="87">
        <f>IF(AND('03_Сеть'!AQ7&gt;=ДатаКвартальных,MOD(MONTH('03_Сеть'!AQ7),3)=0),(БазаКвартальной*AQ7+IF(ПремияГДвБазе="Да",AQ8,0)+AQ10+AQ11)*КвартальнаяПремия,0)</f>
        <v/>
      </c>
      <c r="AR23" s="87">
        <f>IF(AND('03_Сеть'!AR7&gt;=ДатаКвартальных,MOD(MONTH('03_Сеть'!AR7),3)=0),(БазаКвартальной*AR7+IF(ПремияГДвБазе="Да",AR8,0)+AR10+AR11)*КвартальнаяПремия,0)</f>
        <v/>
      </c>
      <c r="AS23" s="87">
        <f>IF(AND('03_Сеть'!AS7&gt;=ДатаКвартальных,MOD(MONTH('03_Сеть'!AS7),3)=0),(БазаКвартальной*AS7+IF(ПремияГДвБазе="Да",AS8,0)+AS10+AS11)*КвартальнаяПремия,0)</f>
        <v/>
      </c>
      <c r="AT23" s="87">
        <f>IF(AND('03_Сеть'!AT7&gt;=ДатаКвартальных,MOD(MONTH('03_Сеть'!AT7),3)=0),(БазаКвартальной*AT7+IF(ПремияГДвБазе="Да",AT8,0)+AT10+AT11)*КвартальнаяПремия,0)</f>
        <v/>
      </c>
      <c r="AU23" s="87">
        <f>IF(AND('03_Сеть'!AU7&gt;=ДатаКвартальных,MOD(MONTH('03_Сеть'!AU7),3)=0),(БазаКвартальной*AU7+IF(ПремияГДвБазе="Да",AU8,0)+AU10+AU11)*КвартальнаяПремия,0)</f>
        <v/>
      </c>
      <c r="AV23" s="87">
        <f>IF(AND('03_Сеть'!AV7&gt;=ДатаКвартальных,MOD(MONTH('03_Сеть'!AV7),3)=0),(БазаКвартальной*AV7+IF(ПремияГДвБазе="Да",AV8,0)+AV10+AV11)*КвартальнаяПремия,0)</f>
        <v/>
      </c>
      <c r="AW23" s="87">
        <f>IF(AND('03_Сеть'!AW7&gt;=ДатаКвартальных,MOD(MONTH('03_Сеть'!AW7),3)=0),(БазаКвартальной*AW7+IF(ПремияГДвБазе="Да",AW8,0)+AW10+AW11)*КвартальнаяПремия,0)</f>
        <v/>
      </c>
      <c r="AX23" s="87">
        <f>IF(AND('03_Сеть'!AX7&gt;=ДатаКвартальных,MOD(MONTH('03_Сеть'!AX7),3)=0),(БазаКвартальной*AX7+IF(ПремияГДвБазе="Да",AX8,0)+AX10+AX11)*КвартальнаяПремия,0)</f>
        <v/>
      </c>
      <c r="AY23" s="87">
        <f>IF(AND('03_Сеть'!AY7&gt;=ДатаКвартальных,MOD(MONTH('03_Сеть'!AY7),3)=0),(БазаКвартальной*AY7+IF(ПремияГДвБазе="Да",AY8,0)+AY10+AY11)*КвартальнаяПремия,0)</f>
        <v/>
      </c>
      <c r="AZ23" s="87">
        <f>IF(AND('03_Сеть'!AZ7&gt;=ДатаКвартальных,MOD(MONTH('03_Сеть'!AZ7),3)=0),(БазаКвартальной*AZ7+IF(ПремияГДвБазе="Да",AZ8,0)+AZ10+AZ11)*КвартальнаяПремия,0)</f>
        <v/>
      </c>
      <c r="BA23" s="87">
        <f>IF(AND('03_Сеть'!BA7&gt;=ДатаКвартальных,MOD(MONTH('03_Сеть'!BA7),3)=0),(БазаКвартальной*BA7+IF(ПремияГДвБазе="Да",BA8,0)+BA10+BA11)*КвартальнаяПремия,0)</f>
        <v/>
      </c>
      <c r="BB23" s="87">
        <f>IF(AND('03_Сеть'!BB7&gt;=ДатаКвартальных,MOD(MONTH('03_Сеть'!BB7),3)=0),(БазаКвартальной*BB7+IF(ПремияГДвБазе="Да",BB8,0)+BB10+BB11)*КвартальнаяПремия,0)</f>
        <v/>
      </c>
      <c r="BC23" s="87">
        <f>IF(AND('03_Сеть'!BC7&gt;=ДатаКвартальных,MOD(MONTH('03_Сеть'!BC7),3)=0),(БазаКвартальной*BC7+IF(ПремияГДвБазе="Да",BC8,0)+BC10+BC11)*КвартальнаяПремия,0)</f>
        <v/>
      </c>
      <c r="BD23" s="87">
        <f>IF(AND('03_Сеть'!BD7&gt;=ДатаКвартальных,MOD(MONTH('03_Сеть'!BD7),3)=0),(БазаКвартальной*BD7+IF(ПремияГДвБазе="Да",BD8,0)+BD10+BD11)*КвартальнаяПремия,0)</f>
        <v/>
      </c>
      <c r="BE23" s="87">
        <f>IF(AND('03_Сеть'!BE7&gt;=ДатаКвартальных,MOD(MONTH('03_Сеть'!BE7),3)=0),(БазаКвартальной*BE7+IF(ПремияГДвБазе="Да",BE8,0)+BE10+BE11)*КвартальнаяПремия,0)</f>
        <v/>
      </c>
      <c r="BF23" s="87">
        <f>IF(AND('03_Сеть'!BF7&gt;=ДатаКвартальных,MOD(MONTH('03_Сеть'!BF7),3)=0),(БазаКвартальной*BF7+IF(ПремияГДвБазе="Да",BF8,0)+BF10+BF11)*КвартальнаяПремия,0)</f>
        <v/>
      </c>
      <c r="BG23" s="87">
        <f>IF(AND('03_Сеть'!BG7&gt;=ДатаКвартальных,MOD(MONTH('03_Сеть'!BG7),3)=0),(БазаКвартальной*BG7+IF(ПремияГДвБазе="Да",BG8,0)+BG10+BG11)*КвартальнаяПремия,0)</f>
        <v/>
      </c>
      <c r="BH23" s="87">
        <f>IF(AND('03_Сеть'!BH7&gt;=ДатаКвартальных,MOD(MONTH('03_Сеть'!BH7),3)=0),(БазаКвартальной*BH7+IF(ПремияГДвБазе="Да",BH8,0)+BH10+BH11)*КвартальнаяПремия,0)</f>
        <v/>
      </c>
      <c r="BI23" s="87">
        <f>IF(AND('03_Сеть'!BI7&gt;=ДатаКвартальных,MOD(MONTH('03_Сеть'!BI7),3)=0),(БазаКвартальной*BI7+IF(ПремияГДвБазе="Да",BI8,0)+BI10+BI11)*КвартальнаяПремия,0)</f>
        <v/>
      </c>
      <c r="BJ23" s="87">
        <f>IF(AND('03_Сеть'!BJ7&gt;=ДатаКвартальных,MOD(MONTH('03_Сеть'!BJ7),3)=0),(БазаКвартальной*BJ7+IF(ПремияГДвБазе="Да",BJ8,0)+BJ10+BJ11)*КвартальнаяПремия,0)</f>
        <v/>
      </c>
      <c r="BK23" s="87">
        <f>IF(AND('03_Сеть'!BK7&gt;=ДатаКвартальных,MOD(MONTH('03_Сеть'!BK7),3)=0),(БазаКвартальной*BK7+IF(ПремияГДвБазе="Да",BK8,0)+BK10+BK11)*КвартальнаяПремия,0)</f>
        <v/>
      </c>
      <c r="BL23" s="87">
        <f>IF(AND('03_Сеть'!BL7&gt;=ДатаКвартальных,MOD(MONTH('03_Сеть'!BL7),3)=0),(БазаКвартальной*BL7+IF(ПремияГДвБазе="Да",BL8,0)+BL10+BL11)*КвартальнаяПремия,0)</f>
        <v/>
      </c>
      <c r="BM23" s="87">
        <f>IF(AND('03_Сеть'!BM7&gt;=ДатаКвартальных,MOD(MONTH('03_Сеть'!BM7),3)=0),(БазаКвартальной*BM7+IF(ПремияГДвБазе="Да",BM8,0)+BM10+BM11)*КвартальнаяПремия,0)</f>
        <v/>
      </c>
      <c r="BN23" s="87">
        <f>IF(AND('03_Сеть'!BN7&gt;=ДатаКвартальных,MOD(MONTH('03_Сеть'!BN7),3)=0),(БазаКвартальной*BN7+IF(ПремияГДвБазе="Да",BN8,0)+BN10+BN11)*КвартальнаяПремия,0)</f>
        <v/>
      </c>
      <c r="BO23" s="87">
        <f>IF(AND('03_Сеть'!BO7&gt;=ДатаКвартальных,MOD(MONTH('03_Сеть'!BO7),3)=0),(БазаКвартальной*BO7+IF(ПремияГДвБазе="Да",BO8,0)+BO10+BO11)*КвартальнаяПремия,0)</f>
        <v/>
      </c>
      <c r="BP23" s="87">
        <f>IF(AND('03_Сеть'!BP7&gt;=ДатаКвартальных,MOD(MONTH('03_Сеть'!BP7),3)=0),(БазаКвартальной*BP7+IF(ПремияГДвБазе="Да",BP8,0)+BP10+BP11)*КвартальнаяПремия,0)</f>
        <v/>
      </c>
      <c r="BQ23" s="87">
        <f>IF(AND('03_Сеть'!BQ7&gt;=ДатаКвартальных,MOD(MONTH('03_Сеть'!BQ7),3)=0),(БазаКвартальной*BQ7+IF(ПремияГДвБазе="Да",BQ8,0)+BQ10+BQ11)*КвартальнаяПремия,0)</f>
        <v/>
      </c>
      <c r="BR23" s="87">
        <f>IF(AND('03_Сеть'!BR7&gt;=ДатаКвартальных,MOD(MONTH('03_Сеть'!BR7),3)=0),(БазаКвартальной*BR7+IF(ПремияГДвБазе="Да",BR8,0)+BR10+BR11)*КвартальнаяПремия,0)</f>
        <v/>
      </c>
      <c r="BS23" s="87">
        <f>IF(AND('03_Сеть'!BS7&gt;=ДатаКвартальных,MOD(MONTH('03_Сеть'!BS7),3)=0),(БазаКвартальной*BS7+IF(ПремияГДвБазе="Да",BS8,0)+BS10+BS11)*КвартальнаяПремия,0)</f>
        <v/>
      </c>
      <c r="BT23" s="87">
        <f>IF(AND('03_Сеть'!BT7&gt;=ДатаКвартальных,MOD(MONTH('03_Сеть'!BT7),3)=0),(БазаКвартальной*BT7+IF(ПремияГДвБазе="Да",BT8,0)+BT10+BT11)*КвартальнаяПремия,0)</f>
        <v/>
      </c>
      <c r="BU23" s="87">
        <f>IF(AND('03_Сеть'!BU7&gt;=ДатаКвартальных,MOD(MONTH('03_Сеть'!BU7),3)=0),(БазаКвартальной*BU7+IF(ПремияГДвБазе="Да",BU8,0)+BU10+BU11)*КвартальнаяПремия,0)</f>
        <v/>
      </c>
      <c r="BV23" s="87">
        <f>IF(AND('03_Сеть'!BV7&gt;=ДатаКвартальных,MOD(MONTH('03_Сеть'!BV7),3)=0),(БазаКвартальной*BV7+IF(ПремияГДвБазе="Да",BV8,0)+BV10+BV11)*КвартальнаяПремия,0)</f>
        <v/>
      </c>
      <c r="BW23" s="87">
        <f>IF(AND('03_Сеть'!BW7&gt;=ДатаКвартальных,MOD(MONTH('03_Сеть'!BW7),3)=0),(БазаКвартальной*BW7+IF(ПремияГДвБазе="Да",BW8,0)+BW10+BW11)*КвартальнаяПремия,0)</f>
        <v/>
      </c>
      <c r="BX23" s="87">
        <f>IF(AND('03_Сеть'!BX7&gt;=ДатаКвартальных,MOD(MONTH('03_Сеть'!BX7),3)=0),(БазаКвартальной*BX7+IF(ПремияГДвБазе="Да",BX8,0)+BX10+BX11)*КвартальнаяПремия,0)</f>
        <v/>
      </c>
      <c r="BY23" s="87">
        <f>IF(AND('03_Сеть'!BY7&gt;=ДатаКвартальных,MOD(MONTH('03_Сеть'!BY7),3)=0),(БазаКвартальной*BY7+IF(ПремияГДвБазе="Да",BY8,0)+BY10+BY11)*КвартальнаяПремия,0)</f>
        <v/>
      </c>
    </row>
    <row r="24" ht="15.75" customHeight="1" s="194">
      <c r="B24" s="56" t="inlineStr">
        <is>
          <t>Взносы на квартальную премию</t>
        </is>
      </c>
      <c r="C24" s="56" t="inlineStr">
        <is>
          <t>₽</t>
        </is>
      </c>
      <c r="D24" s="57" t="n"/>
      <c r="E24" s="85">
        <f>SUM(L24:W24)</f>
        <v/>
      </c>
      <c r="F24" s="85">
        <f>SUM(X24:AI24)</f>
        <v/>
      </c>
      <c r="G24" s="85">
        <f>SUM(AJ24:AU24)</f>
        <v/>
      </c>
      <c r="H24" s="85">
        <f>SUM(AV24:BG24)</f>
        <v/>
      </c>
      <c r="I24" s="85">
        <f>SUM(BH24:BS24)</f>
        <v/>
      </c>
      <c r="J24" s="86">
        <f>SUM(L24:BS24)</f>
        <v/>
      </c>
      <c r="L24" s="87">
        <f>L23*СтраховыеВзносы</f>
        <v/>
      </c>
      <c r="M24" s="87">
        <f>M23*СтраховыеВзносы</f>
        <v/>
      </c>
      <c r="N24" s="87">
        <f>N23*СтраховыеВзносы</f>
        <v/>
      </c>
      <c r="O24" s="87">
        <f>O23*СтраховыеВзносы</f>
        <v/>
      </c>
      <c r="P24" s="87">
        <f>P23*СтраховыеВзносы</f>
        <v/>
      </c>
      <c r="Q24" s="87">
        <f>Q23*СтраховыеВзносы</f>
        <v/>
      </c>
      <c r="R24" s="87">
        <f>R23*СтраховыеВзносы</f>
        <v/>
      </c>
      <c r="S24" s="87">
        <f>S23*СтраховыеВзносы</f>
        <v/>
      </c>
      <c r="T24" s="87">
        <f>T23*СтраховыеВзносы</f>
        <v/>
      </c>
      <c r="U24" s="87">
        <f>U23*СтраховыеВзносы</f>
        <v/>
      </c>
      <c r="V24" s="87">
        <f>V23*СтраховыеВзносы</f>
        <v/>
      </c>
      <c r="W24" s="87">
        <f>W23*СтраховыеВзносы</f>
        <v/>
      </c>
      <c r="X24" s="87">
        <f>X23*СтраховыеВзносы</f>
        <v/>
      </c>
      <c r="Y24" s="87">
        <f>Y23*СтраховыеВзносы</f>
        <v/>
      </c>
      <c r="Z24" s="87">
        <f>Z23*СтраховыеВзносы</f>
        <v/>
      </c>
      <c r="AA24" s="87">
        <f>AA23*СтраховыеВзносы</f>
        <v/>
      </c>
      <c r="AB24" s="87">
        <f>AB23*СтраховыеВзносы</f>
        <v/>
      </c>
      <c r="AC24" s="87">
        <f>AC23*СтраховыеВзносы</f>
        <v/>
      </c>
      <c r="AD24" s="87">
        <f>AD23*СтраховыеВзносы</f>
        <v/>
      </c>
      <c r="AE24" s="87">
        <f>AE23*СтраховыеВзносы</f>
        <v/>
      </c>
      <c r="AF24" s="87">
        <f>AF23*СтраховыеВзносы</f>
        <v/>
      </c>
      <c r="AG24" s="87">
        <f>AG23*СтраховыеВзносы</f>
        <v/>
      </c>
      <c r="AH24" s="87">
        <f>AH23*СтраховыеВзносы</f>
        <v/>
      </c>
      <c r="AI24" s="87">
        <f>AI23*СтраховыеВзносы</f>
        <v/>
      </c>
      <c r="AJ24" s="87">
        <f>AJ23*СтраховыеВзносы</f>
        <v/>
      </c>
      <c r="AK24" s="87">
        <f>AK23*СтраховыеВзносы</f>
        <v/>
      </c>
      <c r="AL24" s="87">
        <f>AL23*СтраховыеВзносы</f>
        <v/>
      </c>
      <c r="AM24" s="87">
        <f>AM23*СтраховыеВзносы</f>
        <v/>
      </c>
      <c r="AN24" s="87">
        <f>AN23*СтраховыеВзносы</f>
        <v/>
      </c>
      <c r="AO24" s="87">
        <f>AO23*СтраховыеВзносы</f>
        <v/>
      </c>
      <c r="AP24" s="87">
        <f>AP23*СтраховыеВзносы</f>
        <v/>
      </c>
      <c r="AQ24" s="87">
        <f>AQ23*СтраховыеВзносы</f>
        <v/>
      </c>
      <c r="AR24" s="87">
        <f>AR23*СтраховыеВзносы</f>
        <v/>
      </c>
      <c r="AS24" s="87">
        <f>AS23*СтраховыеВзносы</f>
        <v/>
      </c>
      <c r="AT24" s="87">
        <f>AT23*СтраховыеВзносы</f>
        <v/>
      </c>
      <c r="AU24" s="87">
        <f>AU23*СтраховыеВзносы</f>
        <v/>
      </c>
      <c r="AV24" s="87">
        <f>AV23*СтраховыеВзносы</f>
        <v/>
      </c>
      <c r="AW24" s="87">
        <f>AW23*СтраховыеВзносы</f>
        <v/>
      </c>
      <c r="AX24" s="87">
        <f>AX23*СтраховыеВзносы</f>
        <v/>
      </c>
      <c r="AY24" s="87">
        <f>AY23*СтраховыеВзносы</f>
        <v/>
      </c>
      <c r="AZ24" s="87">
        <f>AZ23*СтраховыеВзносы</f>
        <v/>
      </c>
      <c r="BA24" s="87">
        <f>BA23*СтраховыеВзносы</f>
        <v/>
      </c>
      <c r="BB24" s="87">
        <f>BB23*СтраховыеВзносы</f>
        <v/>
      </c>
      <c r="BC24" s="87">
        <f>BC23*СтраховыеВзносы</f>
        <v/>
      </c>
      <c r="BD24" s="87">
        <f>BD23*СтраховыеВзносы</f>
        <v/>
      </c>
      <c r="BE24" s="87">
        <f>BE23*СтраховыеВзносы</f>
        <v/>
      </c>
      <c r="BF24" s="87">
        <f>BF23*СтраховыеВзносы</f>
        <v/>
      </c>
      <c r="BG24" s="87">
        <f>BG23*СтраховыеВзносы</f>
        <v/>
      </c>
      <c r="BH24" s="87">
        <f>BH23*СтраховыеВзносы</f>
        <v/>
      </c>
      <c r="BI24" s="87">
        <f>BI23*СтраховыеВзносы</f>
        <v/>
      </c>
      <c r="BJ24" s="87">
        <f>BJ23*СтраховыеВзносы</f>
        <v/>
      </c>
      <c r="BK24" s="87">
        <f>BK23*СтраховыеВзносы</f>
        <v/>
      </c>
      <c r="BL24" s="87">
        <f>BL23*СтраховыеВзносы</f>
        <v/>
      </c>
      <c r="BM24" s="87">
        <f>BM23*СтраховыеВзносы</f>
        <v/>
      </c>
      <c r="BN24" s="87">
        <f>BN23*СтраховыеВзносы</f>
        <v/>
      </c>
      <c r="BO24" s="87">
        <f>BO23*СтраховыеВзносы</f>
        <v/>
      </c>
      <c r="BP24" s="87">
        <f>BP23*СтраховыеВзносы</f>
        <v/>
      </c>
      <c r="BQ24" s="87">
        <f>BQ23*СтраховыеВзносы</f>
        <v/>
      </c>
      <c r="BR24" s="87">
        <f>BR23*СтраховыеВзносы</f>
        <v/>
      </c>
      <c r="BS24" s="87">
        <f>BS23*СтраховыеВзносы</f>
        <v/>
      </c>
      <c r="BT24" s="87">
        <f>BT23*СтраховыеВзносы</f>
        <v/>
      </c>
      <c r="BU24" s="87">
        <f>BU23*СтраховыеВзносы</f>
        <v/>
      </c>
      <c r="BV24" s="87">
        <f>BV23*СтраховыеВзносы</f>
        <v/>
      </c>
      <c r="BW24" s="87">
        <f>BW23*СтраховыеВзносы</f>
        <v/>
      </c>
      <c r="BX24" s="87">
        <f>BX23*СтраховыеВзносы</f>
        <v/>
      </c>
      <c r="BY24" s="87">
        <f>BY23*СтраховыеВзносы</f>
        <v/>
      </c>
    </row>
    <row r="25" ht="15.75" customHeight="1" s="194"/>
    <row r="26" ht="15.75" customHeight="1" s="194">
      <c r="B26" s="54" t="inlineStr">
        <is>
          <t>Разовые кадровые расходы</t>
        </is>
      </c>
      <c r="C26" s="55" t="n"/>
      <c r="D26" s="55" t="n"/>
      <c r="E26" s="55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  <c r="O26" s="55" t="n"/>
      <c r="P26" s="55" t="n"/>
      <c r="Q26" s="55" t="n"/>
      <c r="R26" s="55" t="n"/>
      <c r="S26" s="55" t="n"/>
      <c r="T26" s="55" t="n"/>
      <c r="U26" s="55" t="n"/>
      <c r="V26" s="55" t="n"/>
      <c r="W26" s="55" t="n"/>
      <c r="X26" s="55" t="n"/>
      <c r="Y26" s="55" t="n"/>
      <c r="Z26" s="55" t="n"/>
      <c r="AA26" s="55" t="n"/>
      <c r="AB26" s="55" t="n"/>
      <c r="AC26" s="55" t="n"/>
      <c r="AD26" s="55" t="n"/>
      <c r="AE26" s="55" t="n"/>
      <c r="AF26" s="55" t="n"/>
      <c r="AG26" s="55" t="n"/>
      <c r="AH26" s="55" t="n"/>
      <c r="AI26" s="55" t="n"/>
      <c r="AJ26" s="55" t="n"/>
      <c r="AK26" s="55" t="n"/>
      <c r="AL26" s="55" t="n"/>
      <c r="AM26" s="55" t="n"/>
      <c r="AN26" s="55" t="n"/>
      <c r="AO26" s="55" t="n"/>
      <c r="AP26" s="55" t="n"/>
      <c r="AQ26" s="55" t="n"/>
      <c r="AR26" s="55" t="n"/>
      <c r="AS26" s="55" t="n"/>
      <c r="AT26" s="55" t="n"/>
      <c r="AU26" s="55" t="n"/>
      <c r="AV26" s="55" t="n"/>
      <c r="AW26" s="55" t="n"/>
      <c r="AX26" s="55" t="n"/>
      <c r="AY26" s="55" t="n"/>
      <c r="AZ26" s="55" t="n"/>
      <c r="BA26" s="55" t="n"/>
      <c r="BB26" s="55" t="n"/>
      <c r="BC26" s="55" t="n"/>
      <c r="BD26" s="55" t="n"/>
      <c r="BE26" s="55" t="n"/>
      <c r="BF26" s="55" t="n"/>
      <c r="BG26" s="55" t="n"/>
      <c r="BH26" s="55" t="n"/>
      <c r="BI26" s="55" t="n"/>
      <c r="BJ26" s="55" t="n"/>
      <c r="BK26" s="55" t="n"/>
      <c r="BL26" s="55" t="n"/>
      <c r="BM26" s="55" t="n"/>
      <c r="BN26" s="55" t="n"/>
      <c r="BO26" s="55" t="n"/>
      <c r="BP26" s="55" t="n"/>
      <c r="BQ26" s="55" t="n"/>
      <c r="BR26" s="55" t="n"/>
      <c r="BS26" s="55" t="n"/>
      <c r="BT26" s="55" t="n"/>
      <c r="BU26" s="55" t="n"/>
      <c r="BV26" s="55" t="n"/>
      <c r="BW26" s="55" t="n"/>
      <c r="BX26" s="55" t="n"/>
      <c r="BY26" s="55" t="n"/>
    </row>
    <row r="27" ht="15.75" customHeight="1" s="194">
      <c r="B27" s="56" t="inlineStr">
        <is>
          <t>Комиссия кадрового агентства</t>
        </is>
      </c>
      <c r="C27" s="56" t="inlineStr">
        <is>
          <t>₽</t>
        </is>
      </c>
      <c r="D27" s="57" t="inlineStr">
        <is>
          <t>Один оклад за каждую новую штатную единицу</t>
        </is>
      </c>
      <c r="E27" s="85">
        <f>SUM(L27:W27)</f>
        <v/>
      </c>
      <c r="F27" s="85">
        <f>SUM(X27:AI27)</f>
        <v/>
      </c>
      <c r="G27" s="85">
        <f>SUM(AJ27:AU27)</f>
        <v/>
      </c>
      <c r="H27" s="85">
        <f>SUM(AV27:BG27)</f>
        <v/>
      </c>
      <c r="I27" s="85">
        <f>SUM(BH27:BS27)</f>
        <v/>
      </c>
      <c r="J27" s="86">
        <f>SUM(L27:BS27)</f>
        <v/>
      </c>
      <c r="L27" s="87">
        <f>(MAX(0,$L12)*ОкладМенеджера*$L7+IF('03_Сеть'!L7=ДатаОфисМенеджера,ОфисМенеджерNet/NetGross,0)+IF('03_Сеть'!L7=ДатаSMM,SMMNet/NetGross,0))*КомиссияАгентства</f>
        <v/>
      </c>
      <c r="M27" s="87">
        <f>(MAX(0,M12-L12)*ОкладМенеджера*M7+IF('03_Сеть'!M7=ДатаОфисМенеджера,ОфисМенеджерNet/NetGross,0)+IF('03_Сеть'!M7=ДатаSMM,SMMNet/NetGross,0))*КомиссияАгентства</f>
        <v/>
      </c>
      <c r="N27" s="87">
        <f>(MAX(0,N12-M12)*ОкладМенеджера*N7+IF('03_Сеть'!N7=ДатаОфисМенеджера,ОфисМенеджерNet/NetGross,0)+IF('03_Сеть'!N7=ДатаSMM,SMMNet/NetGross,0))*КомиссияАгентства</f>
        <v/>
      </c>
      <c r="O27" s="87">
        <f>(MAX(0,O12-N12)*ОкладМенеджера*O7+IF('03_Сеть'!O7=ДатаОфисМенеджера,ОфисМенеджерNet/NetGross,0)+IF('03_Сеть'!O7=ДатаSMM,SMMNet/NetGross,0))*КомиссияАгентства</f>
        <v/>
      </c>
      <c r="P27" s="87">
        <f>(MAX(0,P12-O12)*ОкладМенеджера*P7+IF('03_Сеть'!P7=ДатаОфисМенеджера,ОфисМенеджерNet/NetGross,0)+IF('03_Сеть'!P7=ДатаSMM,SMMNet/NetGross,0))*КомиссияАгентства</f>
        <v/>
      </c>
      <c r="Q27" s="87">
        <f>(MAX(0,Q12-P12)*ОкладМенеджера*Q7+IF('03_Сеть'!Q7=ДатаОфисМенеджера,ОфисМенеджерNet/NetGross,0)+IF('03_Сеть'!Q7=ДатаSMM,SMMNet/NetGross,0))*КомиссияАгентства</f>
        <v/>
      </c>
      <c r="R27" s="87">
        <f>(MAX(0,R12-Q12)*ОкладМенеджера*R7+IF('03_Сеть'!R7=ДатаОфисМенеджера,ОфисМенеджерNet/NetGross,0)+IF('03_Сеть'!R7=ДатаSMM,SMMNet/NetGross,0))*КомиссияАгентства</f>
        <v/>
      </c>
      <c r="S27" s="87">
        <f>(MAX(0,S12-R12)*ОкладМенеджера*S7+IF('03_Сеть'!S7=ДатаОфисМенеджера,ОфисМенеджерNet/NetGross,0)+IF('03_Сеть'!S7=ДатаSMM,SMMNet/NetGross,0))*КомиссияАгентства</f>
        <v/>
      </c>
      <c r="T27" s="87">
        <f>(MAX(0,T12-S12)*ОкладМенеджера*T7+IF('03_Сеть'!T7=ДатаОфисМенеджера,ОфисМенеджерNet/NetGross,0)+IF('03_Сеть'!T7=ДатаSMM,SMMNet/NetGross,0))*КомиссияАгентства</f>
        <v/>
      </c>
      <c r="U27" s="87">
        <f>(MAX(0,U12-T12)*ОкладМенеджера*U7+IF('03_Сеть'!U7=ДатаОфисМенеджера,ОфисМенеджерNet/NetGross,0)+IF('03_Сеть'!U7=ДатаSMM,SMMNet/NetGross,0))*КомиссияАгентства</f>
        <v/>
      </c>
      <c r="V27" s="87">
        <f>(MAX(0,V12-U12)*ОкладМенеджера*V7+IF('03_Сеть'!V7=ДатаОфисМенеджера,ОфисМенеджерNet/NetGross,0)+IF('03_Сеть'!V7=ДатаSMM,SMMNet/NetGross,0))*КомиссияАгентства</f>
        <v/>
      </c>
      <c r="W27" s="87">
        <f>(MAX(0,W12-V12)*ОкладМенеджера*W7+IF('03_Сеть'!W7=ДатаОфисМенеджера,ОфисМенеджерNet/NetGross,0)+IF('03_Сеть'!W7=ДатаSMM,SMMNet/NetGross,0))*КомиссияАгентства</f>
        <v/>
      </c>
      <c r="X27" s="87">
        <f>(MAX(0,X12-W12)*ОкладМенеджера*X7+IF('03_Сеть'!X7=ДатаОфисМенеджера,ОфисМенеджерNet/NetGross,0)+IF('03_Сеть'!X7=ДатаSMM,SMMNet/NetGross,0))*КомиссияАгентства</f>
        <v/>
      </c>
      <c r="Y27" s="87">
        <f>(MAX(0,Y12-X12)*ОкладМенеджера*Y7+IF('03_Сеть'!Y7=ДатаОфисМенеджера,ОфисМенеджерNet/NetGross,0)+IF('03_Сеть'!Y7=ДатаSMM,SMMNet/NetGross,0))*КомиссияАгентства</f>
        <v/>
      </c>
      <c r="Z27" s="87">
        <f>(MAX(0,Z12-Y12)*ОкладМенеджера*Z7+IF('03_Сеть'!Z7=ДатаОфисМенеджера,ОфисМенеджерNet/NetGross,0)+IF('03_Сеть'!Z7=ДатаSMM,SMMNet/NetGross,0))*КомиссияАгентства</f>
        <v/>
      </c>
      <c r="AA27" s="87">
        <f>(MAX(0,AA12-Z12)*ОкладМенеджера*AA7+IF('03_Сеть'!AA7=ДатаОфисМенеджера,ОфисМенеджерNet/NetGross,0)+IF('03_Сеть'!AA7=ДатаSMM,SMMNet/NetGross,0))*КомиссияАгентства</f>
        <v/>
      </c>
      <c r="AB27" s="87">
        <f>(MAX(0,AB12-AA12)*ОкладМенеджера*AB7+IF('03_Сеть'!AB7=ДатаОфисМенеджера,ОфисМенеджерNet/NetGross,0)+IF('03_Сеть'!AB7=ДатаSMM,SMMNet/NetGross,0))*КомиссияАгентства</f>
        <v/>
      </c>
      <c r="AC27" s="87">
        <f>(MAX(0,AC12-AB12)*ОкладМенеджера*AC7+IF('03_Сеть'!AC7=ДатаОфисМенеджера,ОфисМенеджерNet/NetGross,0)+IF('03_Сеть'!AC7=ДатаSMM,SMMNet/NetGross,0))*КомиссияАгентства</f>
        <v/>
      </c>
      <c r="AD27" s="87">
        <f>(MAX(0,AD12-AC12)*ОкладМенеджера*AD7+IF('03_Сеть'!AD7=ДатаОфисМенеджера,ОфисМенеджерNet/NetGross,0)+IF('03_Сеть'!AD7=ДатаSMM,SMMNet/NetGross,0))*КомиссияАгентства</f>
        <v/>
      </c>
      <c r="AE27" s="87">
        <f>(MAX(0,AE12-AD12)*ОкладМенеджера*AE7+IF('03_Сеть'!AE7=ДатаОфисМенеджера,ОфисМенеджерNet/NetGross,0)+IF('03_Сеть'!AE7=ДатаSMM,SMMNet/NetGross,0))*КомиссияАгентства</f>
        <v/>
      </c>
      <c r="AF27" s="87">
        <f>(MAX(0,AF12-AE12)*ОкладМенеджера*AF7+IF('03_Сеть'!AF7=ДатаОфисМенеджера,ОфисМенеджерNet/NetGross,0)+IF('03_Сеть'!AF7=ДатаSMM,SMMNet/NetGross,0))*КомиссияАгентства</f>
        <v/>
      </c>
      <c r="AG27" s="87">
        <f>(MAX(0,AG12-AF12)*ОкладМенеджера*AG7+IF('03_Сеть'!AG7=ДатаОфисМенеджера,ОфисМенеджерNet/NetGross,0)+IF('03_Сеть'!AG7=ДатаSMM,SMMNet/NetGross,0))*КомиссияАгентства</f>
        <v/>
      </c>
      <c r="AH27" s="87">
        <f>(MAX(0,AH12-AG12)*ОкладМенеджера*AH7+IF('03_Сеть'!AH7=ДатаОфисМенеджера,ОфисМенеджерNet/NetGross,0)+IF('03_Сеть'!AH7=ДатаSMM,SMMNet/NetGross,0))*КомиссияАгентства</f>
        <v/>
      </c>
      <c r="AI27" s="87">
        <f>(MAX(0,AI12-AH12)*ОкладМенеджера*AI7+IF('03_Сеть'!AI7=ДатаОфисМенеджера,ОфисМенеджерNet/NetGross,0)+IF('03_Сеть'!AI7=ДатаSMM,SMMNet/NetGross,0))*КомиссияАгентства</f>
        <v/>
      </c>
      <c r="AJ27" s="87">
        <f>(MAX(0,AJ12-AI12)*ОкладМенеджера*AJ7+IF('03_Сеть'!AJ7=ДатаОфисМенеджера,ОфисМенеджерNet/NetGross,0)+IF('03_Сеть'!AJ7=ДатаSMM,SMMNet/NetGross,0))*КомиссияАгентства</f>
        <v/>
      </c>
      <c r="AK27" s="87">
        <f>(MAX(0,AK12-AJ12)*ОкладМенеджера*AK7+IF('03_Сеть'!AK7=ДатаОфисМенеджера,ОфисМенеджерNet/NetGross,0)+IF('03_Сеть'!AK7=ДатаSMM,SMMNet/NetGross,0))*КомиссияАгентства</f>
        <v/>
      </c>
      <c r="AL27" s="87">
        <f>(MAX(0,AL12-AK12)*ОкладМенеджера*AL7+IF('03_Сеть'!AL7=ДатаОфисМенеджера,ОфисМенеджерNet/NetGross,0)+IF('03_Сеть'!AL7=ДатаSMM,SMMNet/NetGross,0))*КомиссияАгентства</f>
        <v/>
      </c>
      <c r="AM27" s="87">
        <f>(MAX(0,AM12-AL12)*ОкладМенеджера*AM7+IF('03_Сеть'!AM7=ДатаОфисМенеджера,ОфисМенеджерNet/NetGross,0)+IF('03_Сеть'!AM7=ДатаSMM,SMMNet/NetGross,0))*КомиссияАгентства</f>
        <v/>
      </c>
      <c r="AN27" s="87">
        <f>(MAX(0,AN12-AM12)*ОкладМенеджера*AN7+IF('03_Сеть'!AN7=ДатаОфисМенеджера,ОфисМенеджерNet/NetGross,0)+IF('03_Сеть'!AN7=ДатаSMM,SMMNet/NetGross,0))*КомиссияАгентства</f>
        <v/>
      </c>
      <c r="AO27" s="87">
        <f>(MAX(0,AO12-AN12)*ОкладМенеджера*AO7+IF('03_Сеть'!AO7=ДатаОфисМенеджера,ОфисМенеджерNet/NetGross,0)+IF('03_Сеть'!AO7=ДатаSMM,SMMNet/NetGross,0))*КомиссияАгентства</f>
        <v/>
      </c>
      <c r="AP27" s="87">
        <f>(MAX(0,AP12-AO12)*ОкладМенеджера*AP7+IF('03_Сеть'!AP7=ДатаОфисМенеджера,ОфисМенеджерNet/NetGross,0)+IF('03_Сеть'!AP7=ДатаSMM,SMMNet/NetGross,0))*КомиссияАгентства</f>
        <v/>
      </c>
      <c r="AQ27" s="87">
        <f>(MAX(0,AQ12-AP12)*ОкладМенеджера*AQ7+IF('03_Сеть'!AQ7=ДатаОфисМенеджера,ОфисМенеджерNet/NetGross,0)+IF('03_Сеть'!AQ7=ДатаSMM,SMMNet/NetGross,0))*КомиссияАгентства</f>
        <v/>
      </c>
      <c r="AR27" s="87">
        <f>(MAX(0,AR12-AQ12)*ОкладМенеджера*AR7+IF('03_Сеть'!AR7=ДатаОфисМенеджера,ОфисМенеджерNet/NetGross,0)+IF('03_Сеть'!AR7=ДатаSMM,SMMNet/NetGross,0))*КомиссияАгентства</f>
        <v/>
      </c>
      <c r="AS27" s="87">
        <f>(MAX(0,AS12-AR12)*ОкладМенеджера*AS7+IF('03_Сеть'!AS7=ДатаОфисМенеджера,ОфисМенеджерNet/NetGross,0)+IF('03_Сеть'!AS7=ДатаSMM,SMMNet/NetGross,0))*КомиссияАгентства</f>
        <v/>
      </c>
      <c r="AT27" s="87">
        <f>(MAX(0,AT12-AS12)*ОкладМенеджера*AT7+IF('03_Сеть'!AT7=ДатаОфисМенеджера,ОфисМенеджерNet/NetGross,0)+IF('03_Сеть'!AT7=ДатаSMM,SMMNet/NetGross,0))*КомиссияАгентства</f>
        <v/>
      </c>
      <c r="AU27" s="87">
        <f>(MAX(0,AU12-AT12)*ОкладМенеджера*AU7+IF('03_Сеть'!AU7=ДатаОфисМенеджера,ОфисМенеджерNet/NetGross,0)+IF('03_Сеть'!AU7=ДатаSMM,SMMNet/NetGross,0))*КомиссияАгентства</f>
        <v/>
      </c>
      <c r="AV27" s="87">
        <f>(MAX(0,AV12-AU12)*ОкладМенеджера*AV7+IF('03_Сеть'!AV7=ДатаОфисМенеджера,ОфисМенеджерNet/NetGross,0)+IF('03_Сеть'!AV7=ДатаSMM,SMMNet/NetGross,0))*КомиссияАгентства</f>
        <v/>
      </c>
      <c r="AW27" s="87">
        <f>(MAX(0,AW12-AV12)*ОкладМенеджера*AW7+IF('03_Сеть'!AW7=ДатаОфисМенеджера,ОфисМенеджерNet/NetGross,0)+IF('03_Сеть'!AW7=ДатаSMM,SMMNet/NetGross,0))*КомиссияАгентства</f>
        <v/>
      </c>
      <c r="AX27" s="87">
        <f>(MAX(0,AX12-AW12)*ОкладМенеджера*AX7+IF('03_Сеть'!AX7=ДатаОфисМенеджера,ОфисМенеджерNet/NetGross,0)+IF('03_Сеть'!AX7=ДатаSMM,SMMNet/NetGross,0))*КомиссияАгентства</f>
        <v/>
      </c>
      <c r="AY27" s="87">
        <f>(MAX(0,AY12-AX12)*ОкладМенеджера*AY7+IF('03_Сеть'!AY7=ДатаОфисМенеджера,ОфисМенеджерNet/NetGross,0)+IF('03_Сеть'!AY7=ДатаSMM,SMMNet/NetGross,0))*КомиссияАгентства</f>
        <v/>
      </c>
      <c r="AZ27" s="87">
        <f>(MAX(0,AZ12-AY12)*ОкладМенеджера*AZ7+IF('03_Сеть'!AZ7=ДатаОфисМенеджера,ОфисМенеджерNet/NetGross,0)+IF('03_Сеть'!AZ7=ДатаSMM,SMMNet/NetGross,0))*КомиссияАгентства</f>
        <v/>
      </c>
      <c r="BA27" s="87">
        <f>(MAX(0,BA12-AZ12)*ОкладМенеджера*BA7+IF('03_Сеть'!BA7=ДатаОфисМенеджера,ОфисМенеджерNet/NetGross,0)+IF('03_Сеть'!BA7=ДатаSMM,SMMNet/NetGross,0))*КомиссияАгентства</f>
        <v/>
      </c>
      <c r="BB27" s="87">
        <f>(MAX(0,BB12-BA12)*ОкладМенеджера*BB7+IF('03_Сеть'!BB7=ДатаОфисМенеджера,ОфисМенеджерNet/NetGross,0)+IF('03_Сеть'!BB7=ДатаSMM,SMMNet/NetGross,0))*КомиссияАгентства</f>
        <v/>
      </c>
      <c r="BC27" s="87">
        <f>(MAX(0,BC12-BB12)*ОкладМенеджера*BC7+IF('03_Сеть'!BC7=ДатаОфисМенеджера,ОфисМенеджерNet/NetGross,0)+IF('03_Сеть'!BC7=ДатаSMM,SMMNet/NetGross,0))*КомиссияАгентства</f>
        <v/>
      </c>
      <c r="BD27" s="87">
        <f>(MAX(0,BD12-BC12)*ОкладМенеджера*BD7+IF('03_Сеть'!BD7=ДатаОфисМенеджера,ОфисМенеджерNet/NetGross,0)+IF('03_Сеть'!BD7=ДатаSMM,SMMNet/NetGross,0))*КомиссияАгентства</f>
        <v/>
      </c>
      <c r="BE27" s="87">
        <f>(MAX(0,BE12-BD12)*ОкладМенеджера*BE7+IF('03_Сеть'!BE7=ДатаОфисМенеджера,ОфисМенеджерNet/NetGross,0)+IF('03_Сеть'!BE7=ДатаSMM,SMMNet/NetGross,0))*КомиссияАгентства</f>
        <v/>
      </c>
      <c r="BF27" s="87">
        <f>(MAX(0,BF12-BE12)*ОкладМенеджера*BF7+IF('03_Сеть'!BF7=ДатаОфисМенеджера,ОфисМенеджерNet/NetGross,0)+IF('03_Сеть'!BF7=ДатаSMM,SMMNet/NetGross,0))*КомиссияАгентства</f>
        <v/>
      </c>
      <c r="BG27" s="87">
        <f>(MAX(0,BG12-BF12)*ОкладМенеджера*BG7+IF('03_Сеть'!BG7=ДатаОфисМенеджера,ОфисМенеджерNet/NetGross,0)+IF('03_Сеть'!BG7=ДатаSMM,SMMNet/NetGross,0))*КомиссияАгентства</f>
        <v/>
      </c>
      <c r="BH27" s="87">
        <f>(MAX(0,BH12-BG12)*ОкладМенеджера*BH7+IF('03_Сеть'!BH7=ДатаОфисМенеджера,ОфисМенеджерNet/NetGross,0)+IF('03_Сеть'!BH7=ДатаSMM,SMMNet/NetGross,0))*КомиссияАгентства</f>
        <v/>
      </c>
      <c r="BI27" s="87">
        <f>(MAX(0,BI12-BH12)*ОкладМенеджера*BI7+IF('03_Сеть'!BI7=ДатаОфисМенеджера,ОфисМенеджерNet/NetGross,0)+IF('03_Сеть'!BI7=ДатаSMM,SMMNet/NetGross,0))*КомиссияАгентства</f>
        <v/>
      </c>
      <c r="BJ27" s="87">
        <f>(MAX(0,BJ12-BI12)*ОкладМенеджера*BJ7+IF('03_Сеть'!BJ7=ДатаОфисМенеджера,ОфисМенеджерNet/NetGross,0)+IF('03_Сеть'!BJ7=ДатаSMM,SMMNet/NetGross,0))*КомиссияАгентства</f>
        <v/>
      </c>
      <c r="BK27" s="87">
        <f>(MAX(0,BK12-BJ12)*ОкладМенеджера*BK7+IF('03_Сеть'!BK7=ДатаОфисМенеджера,ОфисМенеджерNet/NetGross,0)+IF('03_Сеть'!BK7=ДатаSMM,SMMNet/NetGross,0))*КомиссияАгентства</f>
        <v/>
      </c>
      <c r="BL27" s="87">
        <f>(MAX(0,BL12-BK12)*ОкладМенеджера*BL7+IF('03_Сеть'!BL7=ДатаОфисМенеджера,ОфисМенеджерNet/NetGross,0)+IF('03_Сеть'!BL7=ДатаSMM,SMMNet/NetGross,0))*КомиссияАгентства</f>
        <v/>
      </c>
      <c r="BM27" s="87">
        <f>(MAX(0,BM12-BL12)*ОкладМенеджера*BM7+IF('03_Сеть'!BM7=ДатаОфисМенеджера,ОфисМенеджерNet/NetGross,0)+IF('03_Сеть'!BM7=ДатаSMM,SMMNet/NetGross,0))*КомиссияАгентства</f>
        <v/>
      </c>
      <c r="BN27" s="87">
        <f>(MAX(0,BN12-BM12)*ОкладМенеджера*BN7+IF('03_Сеть'!BN7=ДатаОфисМенеджера,ОфисМенеджерNet/NetGross,0)+IF('03_Сеть'!BN7=ДатаSMM,SMMNet/NetGross,0))*КомиссияАгентства</f>
        <v/>
      </c>
      <c r="BO27" s="87">
        <f>(MAX(0,BO12-BN12)*ОкладМенеджера*BO7+IF('03_Сеть'!BO7=ДатаОфисМенеджера,ОфисМенеджерNet/NetGross,0)+IF('03_Сеть'!BO7=ДатаSMM,SMMNet/NetGross,0))*КомиссияАгентства</f>
        <v/>
      </c>
      <c r="BP27" s="87">
        <f>(MAX(0,BP12-BO12)*ОкладМенеджера*BP7+IF('03_Сеть'!BP7=ДатаОфисМенеджера,ОфисМенеджерNet/NetGross,0)+IF('03_Сеть'!BP7=ДатаSMM,SMMNet/NetGross,0))*КомиссияАгентства</f>
        <v/>
      </c>
      <c r="BQ27" s="87">
        <f>(MAX(0,BQ12-BP12)*ОкладМенеджера*BQ7+IF('03_Сеть'!BQ7=ДатаОфисМенеджера,ОфисМенеджерNet/NetGross,0)+IF('03_Сеть'!BQ7=ДатаSMM,SMMNet/NetGross,0))*КомиссияАгентства</f>
        <v/>
      </c>
      <c r="BR27" s="87">
        <f>(MAX(0,BR12-BQ12)*ОкладМенеджера*BR7+IF('03_Сеть'!BR7=ДатаОфисМенеджера,ОфисМенеджерNet/NetGross,0)+IF('03_Сеть'!BR7=ДатаSMM,SMMNet/NetGross,0))*КомиссияАгентства</f>
        <v/>
      </c>
      <c r="BS27" s="87">
        <f>(MAX(0,BS12-BR12)*ОкладМенеджера*BS7+IF('03_Сеть'!BS7=ДатаОфисМенеджера,ОфисМенеджерNet/NetGross,0)+IF('03_Сеть'!BS7=ДатаSMM,SMMNet/NetGross,0))*КомиссияАгентства</f>
        <v/>
      </c>
      <c r="BT27" s="87">
        <f>(MAX(0,BT12-BS12)*ОкладМенеджера*BT7+IF('03_Сеть'!BT7=ДатаОфисМенеджера,ОфисМенеджерNet/NetGross,0)+IF('03_Сеть'!BT7=ДатаSMM,SMMNet/NetGross,0))*КомиссияАгентства</f>
        <v/>
      </c>
      <c r="BU27" s="87">
        <f>(MAX(0,BU12-BT12)*ОкладМенеджера*BU7+IF('03_Сеть'!BU7=ДатаОфисМенеджера,ОфисМенеджерNet/NetGross,0)+IF('03_Сеть'!BU7=ДатаSMM,SMMNet/NetGross,0))*КомиссияАгентства</f>
        <v/>
      </c>
      <c r="BV27" s="87">
        <f>(MAX(0,BV12-BU12)*ОкладМенеджера*BV7+IF('03_Сеть'!BV7=ДатаОфисМенеджера,ОфисМенеджерNet/NetGross,0)+IF('03_Сеть'!BV7=ДатаSMM,SMMNet/NetGross,0))*КомиссияАгентства</f>
        <v/>
      </c>
      <c r="BW27" s="87">
        <f>(MAX(0,BW12-BV12)*ОкладМенеджера*BW7+IF('03_Сеть'!BW7=ДатаОфисМенеджера,ОфисМенеджерNet/NetGross,0)+IF('03_Сеть'!BW7=ДатаSMM,SMMNet/NetGross,0))*КомиссияАгентства</f>
        <v/>
      </c>
      <c r="BX27" s="87">
        <f>(MAX(0,BX12-BW12)*ОкладМенеджера*BX7+IF('03_Сеть'!BX7=ДатаОфисМенеджера,ОфисМенеджерNet/NetGross,0)+IF('03_Сеть'!BX7=ДатаSMM,SMMNet/NetGross,0))*КомиссияАгентства</f>
        <v/>
      </c>
      <c r="BY27" s="87">
        <f>(MAX(0,BY12-BX12)*ОкладМенеджера*BY7+IF('03_Сеть'!BY7=ДатаОфисМенеджера,ОфисМенеджерNet/NetGross,0)+IF('03_Сеть'!BY7=ДатаSMM,SMMNet/NetGross,0))*КомиссияАгентства</f>
        <v/>
      </c>
    </row>
    <row r="28" ht="15.75" customHeight="1" s="194">
      <c r="B28" s="56" t="inlineStr">
        <is>
          <t>Замена директора маркетинга</t>
        </is>
      </c>
      <c r="C28" s="56" t="inlineStr">
        <is>
          <t>₽</t>
        </is>
      </c>
      <c r="D28" s="57" t="n"/>
      <c r="E28" s="85">
        <f>SUM(L28:W28)</f>
        <v/>
      </c>
      <c r="F28" s="85">
        <f>SUM(X28:AI28)</f>
        <v/>
      </c>
      <c r="G28" s="85">
        <f>SUM(AJ28:AU28)</f>
        <v/>
      </c>
      <c r="H28" s="85">
        <f>SUM(AV28:BG28)</f>
        <v/>
      </c>
      <c r="I28" s="85">
        <f>SUM(BH28:BS28)</f>
        <v/>
      </c>
      <c r="J28" s="86">
        <f>SUM(L28:BS28)</f>
        <v/>
      </c>
      <c r="L28" s="87">
        <f>IF('03_Сеть'!L7=ДатаЗаменыДиректора,ЗаменаДиректора,0)</f>
        <v/>
      </c>
      <c r="M28" s="87">
        <f>IF('03_Сеть'!M7=ДатаЗаменыДиректора,ЗаменаДиректора,0)</f>
        <v/>
      </c>
      <c r="N28" s="87">
        <f>IF('03_Сеть'!N7=ДатаЗаменыДиректора,ЗаменаДиректора,0)</f>
        <v/>
      </c>
      <c r="O28" s="87">
        <f>IF('03_Сеть'!O7=ДатаЗаменыДиректора,ЗаменаДиректора,0)</f>
        <v/>
      </c>
      <c r="P28" s="87">
        <f>IF('03_Сеть'!P7=ДатаЗаменыДиректора,ЗаменаДиректора,0)</f>
        <v/>
      </c>
      <c r="Q28" s="87">
        <f>IF('03_Сеть'!Q7=ДатаЗаменыДиректора,ЗаменаДиректора,0)</f>
        <v/>
      </c>
      <c r="R28" s="87">
        <f>IF('03_Сеть'!R7=ДатаЗаменыДиректора,ЗаменаДиректора,0)</f>
        <v/>
      </c>
      <c r="S28" s="87">
        <f>IF('03_Сеть'!S7=ДатаЗаменыДиректора,ЗаменаДиректора,0)</f>
        <v/>
      </c>
      <c r="T28" s="87">
        <f>IF('03_Сеть'!T7=ДатаЗаменыДиректора,ЗаменаДиректора,0)</f>
        <v/>
      </c>
      <c r="U28" s="87">
        <f>IF('03_Сеть'!U7=ДатаЗаменыДиректора,ЗаменаДиректора,0)</f>
        <v/>
      </c>
      <c r="V28" s="87">
        <f>IF('03_Сеть'!V7=ДатаЗаменыДиректора,ЗаменаДиректора,0)</f>
        <v/>
      </c>
      <c r="W28" s="87">
        <f>IF('03_Сеть'!W7=ДатаЗаменыДиректора,ЗаменаДиректора,0)</f>
        <v/>
      </c>
      <c r="X28" s="87">
        <f>IF('03_Сеть'!X7=ДатаЗаменыДиректора,ЗаменаДиректора,0)</f>
        <v/>
      </c>
      <c r="Y28" s="87">
        <f>IF('03_Сеть'!Y7=ДатаЗаменыДиректора,ЗаменаДиректора,0)</f>
        <v/>
      </c>
      <c r="Z28" s="87">
        <f>IF('03_Сеть'!Z7=ДатаЗаменыДиректора,ЗаменаДиректора,0)</f>
        <v/>
      </c>
      <c r="AA28" s="87">
        <f>IF('03_Сеть'!AA7=ДатаЗаменыДиректора,ЗаменаДиректора,0)</f>
        <v/>
      </c>
      <c r="AB28" s="87">
        <f>IF('03_Сеть'!AB7=ДатаЗаменыДиректора,ЗаменаДиректора,0)</f>
        <v/>
      </c>
      <c r="AC28" s="87">
        <f>IF('03_Сеть'!AC7=ДатаЗаменыДиректора,ЗаменаДиректора,0)</f>
        <v/>
      </c>
      <c r="AD28" s="87">
        <f>IF('03_Сеть'!AD7=ДатаЗаменыДиректора,ЗаменаДиректора,0)</f>
        <v/>
      </c>
      <c r="AE28" s="87">
        <f>IF('03_Сеть'!AE7=ДатаЗаменыДиректора,ЗаменаДиректора,0)</f>
        <v/>
      </c>
      <c r="AF28" s="87">
        <f>IF('03_Сеть'!AF7=ДатаЗаменыДиректора,ЗаменаДиректора,0)</f>
        <v/>
      </c>
      <c r="AG28" s="87">
        <f>IF('03_Сеть'!AG7=ДатаЗаменыДиректора,ЗаменаДиректора,0)</f>
        <v/>
      </c>
      <c r="AH28" s="87">
        <f>IF('03_Сеть'!AH7=ДатаЗаменыДиректора,ЗаменаДиректора,0)</f>
        <v/>
      </c>
      <c r="AI28" s="87">
        <f>IF('03_Сеть'!AI7=ДатаЗаменыДиректора,ЗаменаДиректора,0)</f>
        <v/>
      </c>
      <c r="AJ28" s="87">
        <f>IF('03_Сеть'!AJ7=ДатаЗаменыДиректора,ЗаменаДиректора,0)</f>
        <v/>
      </c>
      <c r="AK28" s="87">
        <f>IF('03_Сеть'!AK7=ДатаЗаменыДиректора,ЗаменаДиректора,0)</f>
        <v/>
      </c>
      <c r="AL28" s="87">
        <f>IF('03_Сеть'!AL7=ДатаЗаменыДиректора,ЗаменаДиректора,0)</f>
        <v/>
      </c>
      <c r="AM28" s="87">
        <f>IF('03_Сеть'!AM7=ДатаЗаменыДиректора,ЗаменаДиректора,0)</f>
        <v/>
      </c>
      <c r="AN28" s="87">
        <f>IF('03_Сеть'!AN7=ДатаЗаменыДиректора,ЗаменаДиректора,0)</f>
        <v/>
      </c>
      <c r="AO28" s="87">
        <f>IF('03_Сеть'!AO7=ДатаЗаменыДиректора,ЗаменаДиректора,0)</f>
        <v/>
      </c>
      <c r="AP28" s="87">
        <f>IF('03_Сеть'!AP7=ДатаЗаменыДиректора,ЗаменаДиректора,0)</f>
        <v/>
      </c>
      <c r="AQ28" s="87">
        <f>IF('03_Сеть'!AQ7=ДатаЗаменыДиректора,ЗаменаДиректора,0)</f>
        <v/>
      </c>
      <c r="AR28" s="87">
        <f>IF('03_Сеть'!AR7=ДатаЗаменыДиректора,ЗаменаДиректора,0)</f>
        <v/>
      </c>
      <c r="AS28" s="87">
        <f>IF('03_Сеть'!AS7=ДатаЗаменыДиректора,ЗаменаДиректора,0)</f>
        <v/>
      </c>
      <c r="AT28" s="87">
        <f>IF('03_Сеть'!AT7=ДатаЗаменыДиректора,ЗаменаДиректора,0)</f>
        <v/>
      </c>
      <c r="AU28" s="87">
        <f>IF('03_Сеть'!AU7=ДатаЗаменыДиректора,ЗаменаДиректора,0)</f>
        <v/>
      </c>
      <c r="AV28" s="87">
        <f>IF('03_Сеть'!AV7=ДатаЗаменыДиректора,ЗаменаДиректора,0)</f>
        <v/>
      </c>
      <c r="AW28" s="87">
        <f>IF('03_Сеть'!AW7=ДатаЗаменыДиректора,ЗаменаДиректора,0)</f>
        <v/>
      </c>
      <c r="AX28" s="87">
        <f>IF('03_Сеть'!AX7=ДатаЗаменыДиректора,ЗаменаДиректора,0)</f>
        <v/>
      </c>
      <c r="AY28" s="87">
        <f>IF('03_Сеть'!AY7=ДатаЗаменыДиректора,ЗаменаДиректора,0)</f>
        <v/>
      </c>
      <c r="AZ28" s="87">
        <f>IF('03_Сеть'!AZ7=ДатаЗаменыДиректора,ЗаменаДиректора,0)</f>
        <v/>
      </c>
      <c r="BA28" s="87">
        <f>IF('03_Сеть'!BA7=ДатаЗаменыДиректора,ЗаменаДиректора,0)</f>
        <v/>
      </c>
      <c r="BB28" s="87">
        <f>IF('03_Сеть'!BB7=ДатаЗаменыДиректора,ЗаменаДиректора,0)</f>
        <v/>
      </c>
      <c r="BC28" s="87">
        <f>IF('03_Сеть'!BC7=ДатаЗаменыДиректора,ЗаменаДиректора,0)</f>
        <v/>
      </c>
      <c r="BD28" s="87">
        <f>IF('03_Сеть'!BD7=ДатаЗаменыДиректора,ЗаменаДиректора,0)</f>
        <v/>
      </c>
      <c r="BE28" s="87">
        <f>IF('03_Сеть'!BE7=ДатаЗаменыДиректора,ЗаменаДиректора,0)</f>
        <v/>
      </c>
      <c r="BF28" s="87">
        <f>IF('03_Сеть'!BF7=ДатаЗаменыДиректора,ЗаменаДиректора,0)</f>
        <v/>
      </c>
      <c r="BG28" s="87">
        <f>IF('03_Сеть'!BG7=ДатаЗаменыДиректора,ЗаменаДиректора,0)</f>
        <v/>
      </c>
      <c r="BH28" s="87">
        <f>IF('03_Сеть'!BH7=ДатаЗаменыДиректора,ЗаменаДиректора,0)</f>
        <v/>
      </c>
      <c r="BI28" s="87">
        <f>IF('03_Сеть'!BI7=ДатаЗаменыДиректора,ЗаменаДиректора,0)</f>
        <v/>
      </c>
      <c r="BJ28" s="87">
        <f>IF('03_Сеть'!BJ7=ДатаЗаменыДиректора,ЗаменаДиректора,0)</f>
        <v/>
      </c>
      <c r="BK28" s="87">
        <f>IF('03_Сеть'!BK7=ДатаЗаменыДиректора,ЗаменаДиректора,0)</f>
        <v/>
      </c>
      <c r="BL28" s="87">
        <f>IF('03_Сеть'!BL7=ДатаЗаменыДиректора,ЗаменаДиректора,0)</f>
        <v/>
      </c>
      <c r="BM28" s="87">
        <f>IF('03_Сеть'!BM7=ДатаЗаменыДиректора,ЗаменаДиректора,0)</f>
        <v/>
      </c>
      <c r="BN28" s="87">
        <f>IF('03_Сеть'!BN7=ДатаЗаменыДиректора,ЗаменаДиректора,0)</f>
        <v/>
      </c>
      <c r="BO28" s="87">
        <f>IF('03_Сеть'!BO7=ДатаЗаменыДиректора,ЗаменаДиректора,0)</f>
        <v/>
      </c>
      <c r="BP28" s="87">
        <f>IF('03_Сеть'!BP7=ДатаЗаменыДиректора,ЗаменаДиректора,0)</f>
        <v/>
      </c>
      <c r="BQ28" s="87">
        <f>IF('03_Сеть'!BQ7=ДатаЗаменыДиректора,ЗаменаДиректора,0)</f>
        <v/>
      </c>
      <c r="BR28" s="87">
        <f>IF('03_Сеть'!BR7=ДатаЗаменыДиректора,ЗаменаДиректора,0)</f>
        <v/>
      </c>
      <c r="BS28" s="87">
        <f>IF('03_Сеть'!BS7=ДатаЗаменыДиректора,ЗаменаДиректора,0)</f>
        <v/>
      </c>
      <c r="BT28" s="87">
        <f>IF('03_Сеть'!BT7=ДатаЗаменыДиректора,ЗаменаДиректора,0)</f>
        <v/>
      </c>
      <c r="BU28" s="87">
        <f>IF('03_Сеть'!BU7=ДатаЗаменыДиректора,ЗаменаДиректора,0)</f>
        <v/>
      </c>
      <c r="BV28" s="87">
        <f>IF('03_Сеть'!BV7=ДатаЗаменыДиректора,ЗаменаДиректора,0)</f>
        <v/>
      </c>
      <c r="BW28" s="87">
        <f>IF('03_Сеть'!BW7=ДатаЗаменыДиректора,ЗаменаДиректора,0)</f>
        <v/>
      </c>
      <c r="BX28" s="87">
        <f>IF('03_Сеть'!BX7=ДатаЗаменыДиректора,ЗаменаДиректора,0)</f>
        <v/>
      </c>
      <c r="BY28" s="87">
        <f>IF('03_Сеть'!BY7=ДатаЗаменыДиректора,ЗаменаДиректора,0)</f>
        <v/>
      </c>
    </row>
    <row r="29" ht="15.75" customHeight="1" s="194">
      <c r="B29" s="56" t="inlineStr">
        <is>
          <t>Резерв на ротацию кадров</t>
        </is>
      </c>
      <c r="C29" s="56" t="inlineStr">
        <is>
          <t>₽</t>
        </is>
      </c>
      <c r="D29" s="57" t="inlineStr">
        <is>
          <t>Раз в год</t>
        </is>
      </c>
      <c r="E29" s="85">
        <f>SUM(L29:W29)</f>
        <v/>
      </c>
      <c r="F29" s="85">
        <f>SUM(X29:AI29)</f>
        <v/>
      </c>
      <c r="G29" s="85">
        <f>SUM(AJ29:AU29)</f>
        <v/>
      </c>
      <c r="H29" s="85">
        <f>SUM(AV29:BG29)</f>
        <v/>
      </c>
      <c r="I29" s="85">
        <f>SUM(BH29:BS29)</f>
        <v/>
      </c>
      <c r="J29" s="86">
        <f>SUM(L29:BS29)</f>
        <v/>
      </c>
      <c r="L29" s="87">
        <f>IF(MONTH('03_Сеть'!L7)=МесяцРезерва,'07_Тарифы'!B$14,0)</f>
        <v/>
      </c>
      <c r="M29" s="87">
        <f>IF(MONTH('03_Сеть'!M7)=МесяцРезерва,'07_Тарифы'!C$14,0)</f>
        <v/>
      </c>
      <c r="N29" s="87">
        <f>IF(MONTH('03_Сеть'!N7)=МесяцРезерва,'07_Тарифы'!D$14,0)</f>
        <v/>
      </c>
      <c r="O29" s="87">
        <f>IF(MONTH('03_Сеть'!O7)=МесяцРезерва,'07_Тарифы'!E$14,0)</f>
        <v/>
      </c>
      <c r="P29" s="87">
        <f>IF(MONTH('03_Сеть'!P7)=МесяцРезерва,'07_Тарифы'!F$14,0)</f>
        <v/>
      </c>
      <c r="Q29" s="87">
        <f>IF(MONTH('03_Сеть'!Q7)=МесяцРезерва,'07_Тарифы'!G$14,0)</f>
        <v/>
      </c>
      <c r="R29" s="87">
        <f>IF(MONTH('03_Сеть'!R7)=МесяцРезерва,'07_Тарифы'!H$14,0)</f>
        <v/>
      </c>
      <c r="S29" s="87">
        <f>IF(MONTH('03_Сеть'!S7)=МесяцРезерва,'07_Тарифы'!I$14,0)</f>
        <v/>
      </c>
      <c r="T29" s="87">
        <f>IF(MONTH('03_Сеть'!T7)=МесяцРезерва,'07_Тарифы'!J$14,0)</f>
        <v/>
      </c>
      <c r="U29" s="87">
        <f>IF(MONTH('03_Сеть'!U7)=МесяцРезерва,'07_Тарифы'!K$14,0)</f>
        <v/>
      </c>
      <c r="V29" s="87">
        <f>IF(MONTH('03_Сеть'!V7)=МесяцРезерва,'07_Тарифы'!L$14,0)</f>
        <v/>
      </c>
      <c r="W29" s="87">
        <f>IF(MONTH('03_Сеть'!W7)=МесяцРезерва,'07_Тарифы'!M$14,0)</f>
        <v/>
      </c>
      <c r="X29" s="87">
        <f>IF(MONTH('03_Сеть'!X7)=МесяцРезерва,'07_Тарифы'!N$14,0)</f>
        <v/>
      </c>
      <c r="Y29" s="87">
        <f>IF(MONTH('03_Сеть'!Y7)=МесяцРезерва,'07_Тарифы'!O$14,0)</f>
        <v/>
      </c>
      <c r="Z29" s="87">
        <f>IF(MONTH('03_Сеть'!Z7)=МесяцРезерва,'07_Тарифы'!P$14,0)</f>
        <v/>
      </c>
      <c r="AA29" s="87">
        <f>IF(MONTH('03_Сеть'!AA7)=МесяцРезерва,'07_Тарифы'!Q$14,0)</f>
        <v/>
      </c>
      <c r="AB29" s="87">
        <f>IF(MONTH('03_Сеть'!AB7)=МесяцРезерва,'07_Тарифы'!R$14,0)</f>
        <v/>
      </c>
      <c r="AC29" s="87">
        <f>IF(MONTH('03_Сеть'!AC7)=МесяцРезерва,'07_Тарифы'!S$14,0)</f>
        <v/>
      </c>
      <c r="AD29" s="87">
        <f>IF(MONTH('03_Сеть'!AD7)=МесяцРезерва,'07_Тарифы'!T$14,0)</f>
        <v/>
      </c>
      <c r="AE29" s="87">
        <f>IF(MONTH('03_Сеть'!AE7)=МесяцРезерва,'07_Тарифы'!U$14,0)</f>
        <v/>
      </c>
      <c r="AF29" s="87">
        <f>IF(MONTH('03_Сеть'!AF7)=МесяцРезерва,'07_Тарифы'!V$14,0)</f>
        <v/>
      </c>
      <c r="AG29" s="87">
        <f>IF(MONTH('03_Сеть'!AG7)=МесяцРезерва,'07_Тарифы'!W$14,0)</f>
        <v/>
      </c>
      <c r="AH29" s="87">
        <f>IF(MONTH('03_Сеть'!AH7)=МесяцРезерва,'07_Тарифы'!X$14,0)</f>
        <v/>
      </c>
      <c r="AI29" s="87">
        <f>IF(MONTH('03_Сеть'!AI7)=МесяцРезерва,'07_Тарифы'!Y$14,0)</f>
        <v/>
      </c>
      <c r="AJ29" s="87">
        <f>IF(MONTH('03_Сеть'!AJ7)=МесяцРезерва,'07_Тарифы'!Z$14,0)</f>
        <v/>
      </c>
      <c r="AK29" s="87">
        <f>IF(MONTH('03_Сеть'!AK7)=МесяцРезерва,'07_Тарифы'!AA$14,0)</f>
        <v/>
      </c>
      <c r="AL29" s="87">
        <f>IF(MONTH('03_Сеть'!AL7)=МесяцРезерва,'07_Тарифы'!AB$14,0)</f>
        <v/>
      </c>
      <c r="AM29" s="87">
        <f>IF(MONTH('03_Сеть'!AM7)=МесяцРезерва,'07_Тарифы'!AC$14,0)</f>
        <v/>
      </c>
      <c r="AN29" s="87">
        <f>IF(MONTH('03_Сеть'!AN7)=МесяцРезерва,'07_Тарифы'!AD$14,0)</f>
        <v/>
      </c>
      <c r="AO29" s="87">
        <f>IF(MONTH('03_Сеть'!AO7)=МесяцРезерва,'07_Тарифы'!AE$14,0)</f>
        <v/>
      </c>
      <c r="AP29" s="87">
        <f>IF(MONTH('03_Сеть'!AP7)=МесяцРезерва,'07_Тарифы'!AF$14,0)</f>
        <v/>
      </c>
      <c r="AQ29" s="87">
        <f>IF(MONTH('03_Сеть'!AQ7)=МесяцРезерва,'07_Тарифы'!AG$14,0)</f>
        <v/>
      </c>
      <c r="AR29" s="87">
        <f>IF(MONTH('03_Сеть'!AR7)=МесяцРезерва,'07_Тарифы'!AH$14,0)</f>
        <v/>
      </c>
      <c r="AS29" s="87">
        <f>IF(MONTH('03_Сеть'!AS7)=МесяцРезерва,'07_Тарифы'!AI$14,0)</f>
        <v/>
      </c>
      <c r="AT29" s="87">
        <f>IF(MONTH('03_Сеть'!AT7)=МесяцРезерва,'07_Тарифы'!AJ$14,0)</f>
        <v/>
      </c>
      <c r="AU29" s="87">
        <f>IF(MONTH('03_Сеть'!AU7)=МесяцРезерва,'07_Тарифы'!AK$14,0)</f>
        <v/>
      </c>
      <c r="AV29" s="87">
        <f>IF(MONTH('03_Сеть'!AV7)=МесяцРезерва,'07_Тарифы'!AL$14,0)</f>
        <v/>
      </c>
      <c r="AW29" s="87">
        <f>IF(MONTH('03_Сеть'!AW7)=МесяцРезерва,'07_Тарифы'!AM$14,0)</f>
        <v/>
      </c>
      <c r="AX29" s="87">
        <f>IF(MONTH('03_Сеть'!AX7)=МесяцРезерва,'07_Тарифы'!AN$14,0)</f>
        <v/>
      </c>
      <c r="AY29" s="87">
        <f>IF(MONTH('03_Сеть'!AY7)=МесяцРезерва,'07_Тарифы'!AO$14,0)</f>
        <v/>
      </c>
      <c r="AZ29" s="87">
        <f>IF(MONTH('03_Сеть'!AZ7)=МесяцРезерва,'07_Тарифы'!AP$14,0)</f>
        <v/>
      </c>
      <c r="BA29" s="87">
        <f>IF(MONTH('03_Сеть'!BA7)=МесяцРезерва,'07_Тарифы'!AQ$14,0)</f>
        <v/>
      </c>
      <c r="BB29" s="87">
        <f>IF(MONTH('03_Сеть'!BB7)=МесяцРезерва,'07_Тарифы'!AR$14,0)</f>
        <v/>
      </c>
      <c r="BC29" s="87">
        <f>IF(MONTH('03_Сеть'!BC7)=МесяцРезерва,'07_Тарифы'!AS$14,0)</f>
        <v/>
      </c>
      <c r="BD29" s="87">
        <f>IF(MONTH('03_Сеть'!BD7)=МесяцРезерва,'07_Тарифы'!AT$14,0)</f>
        <v/>
      </c>
      <c r="BE29" s="87">
        <f>IF(MONTH('03_Сеть'!BE7)=МесяцРезерва,'07_Тарифы'!AU$14,0)</f>
        <v/>
      </c>
      <c r="BF29" s="87">
        <f>IF(MONTH('03_Сеть'!BF7)=МесяцРезерва,'07_Тарифы'!AV$14,0)</f>
        <v/>
      </c>
      <c r="BG29" s="87">
        <f>IF(MONTH('03_Сеть'!BG7)=МесяцРезерва,'07_Тарифы'!AW$14,0)</f>
        <v/>
      </c>
      <c r="BH29" s="87">
        <f>IF(MONTH('03_Сеть'!BH7)=МесяцРезерва,'07_Тарифы'!AX$14,0)</f>
        <v/>
      </c>
      <c r="BI29" s="87">
        <f>IF(MONTH('03_Сеть'!BI7)=МесяцРезерва,'07_Тарифы'!AY$14,0)</f>
        <v/>
      </c>
      <c r="BJ29" s="87">
        <f>IF(MONTH('03_Сеть'!BJ7)=МесяцРезерва,'07_Тарифы'!AZ$14,0)</f>
        <v/>
      </c>
      <c r="BK29" s="87">
        <f>IF(MONTH('03_Сеть'!BK7)=МесяцРезерва,'07_Тарифы'!BA$14,0)</f>
        <v/>
      </c>
      <c r="BL29" s="87">
        <f>IF(MONTH('03_Сеть'!BL7)=МесяцРезерва,'07_Тарифы'!BB$14,0)</f>
        <v/>
      </c>
      <c r="BM29" s="87">
        <f>IF(MONTH('03_Сеть'!BM7)=МесяцРезерва,'07_Тарифы'!BC$14,0)</f>
        <v/>
      </c>
      <c r="BN29" s="87">
        <f>IF(MONTH('03_Сеть'!BN7)=МесяцРезерва,'07_Тарифы'!BD$14,0)</f>
        <v/>
      </c>
      <c r="BO29" s="87">
        <f>IF(MONTH('03_Сеть'!BO7)=МесяцРезерва,'07_Тарифы'!BE$14,0)</f>
        <v/>
      </c>
      <c r="BP29" s="87">
        <f>IF(MONTH('03_Сеть'!BP7)=МесяцРезерва,'07_Тарифы'!BF$14,0)</f>
        <v/>
      </c>
      <c r="BQ29" s="87">
        <f>IF(MONTH('03_Сеть'!BQ7)=МесяцРезерва,'07_Тарифы'!BG$14,0)</f>
        <v/>
      </c>
      <c r="BR29" s="87">
        <f>IF(MONTH('03_Сеть'!BR7)=МесяцРезерва,'07_Тарифы'!BH$14,0)</f>
        <v/>
      </c>
      <c r="BS29" s="87">
        <f>IF(MONTH('03_Сеть'!BS7)=МесяцРезерва,'07_Тарифы'!BI$14,0)</f>
        <v/>
      </c>
      <c r="BT29" s="87">
        <f>IF(MONTH('03_Сеть'!BT7)=МесяцРезерва,'07_Тарифы'!BJ$14,0)</f>
        <v/>
      </c>
      <c r="BU29" s="87">
        <f>IF(MONTH('03_Сеть'!BU7)=МесяцРезерва,'07_Тарифы'!BK$14,0)</f>
        <v/>
      </c>
      <c r="BV29" s="87">
        <f>IF(MONTH('03_Сеть'!BV7)=МесяцРезерва,'07_Тарифы'!BL$14,0)</f>
        <v/>
      </c>
      <c r="BW29" s="87">
        <f>IF(MONTH('03_Сеть'!BW7)=МесяцРезерва,'07_Тарифы'!BM$14,0)</f>
        <v/>
      </c>
      <c r="BX29" s="87">
        <f>IF(MONTH('03_Сеть'!BX7)=МесяцРезерва,'07_Тарифы'!BN$14,0)</f>
        <v/>
      </c>
      <c r="BY29" s="87">
        <f>IF(MONTH('03_Сеть'!BY7)=МесяцРезерва,'07_Тарифы'!BO$14,0)</f>
        <v/>
      </c>
    </row>
    <row r="30" ht="15.75" customHeight="1" s="194">
      <c r="B30" s="130" t="inlineStr">
        <is>
          <t>ФОТ и кадровые расходы — всего</t>
        </is>
      </c>
      <c r="C30" s="130" t="inlineStr">
        <is>
          <t>₽</t>
        </is>
      </c>
      <c r="D30" s="156" t="n"/>
      <c r="E30" s="157">
        <f>SUM(L30:W30)</f>
        <v/>
      </c>
      <c r="F30" s="157">
        <f>SUM(X30:AI30)</f>
        <v/>
      </c>
      <c r="G30" s="157">
        <f>SUM(AJ30:AU30)</f>
        <v/>
      </c>
      <c r="H30" s="157">
        <f>SUM(AV30:BG30)</f>
        <v/>
      </c>
      <c r="I30" s="157">
        <f>SUM(BH30:BS30)</f>
        <v/>
      </c>
      <c r="J30" s="134">
        <f>SUM(L30:BS30)</f>
        <v/>
      </c>
      <c r="L30" s="133">
        <f>SUM(L14,L15,L18,L19,L20,L21,L22,L23,L24,L27,L28,L29)</f>
        <v/>
      </c>
      <c r="M30" s="133">
        <f>SUM(M14,M15,M18,M19,M20,M21,M22,M23,M24,M27,M28,M29)</f>
        <v/>
      </c>
      <c r="N30" s="133">
        <f>SUM(N14,N15,N18,N19,N20,N21,N22,N23,N24,N27,N28,N29)</f>
        <v/>
      </c>
      <c r="O30" s="133">
        <f>SUM(O14,O15,O18,O19,O20,O21,O22,O23,O24,O27,O28,O29)</f>
        <v/>
      </c>
      <c r="P30" s="133">
        <f>SUM(P14,P15,P18,P19,P20,P21,P22,P23,P24,P27,P28,P29)</f>
        <v/>
      </c>
      <c r="Q30" s="133">
        <f>SUM(Q14,Q15,Q18,Q19,Q20,Q21,Q22,Q23,Q24,Q27,Q28,Q29)</f>
        <v/>
      </c>
      <c r="R30" s="133">
        <f>SUM(R14,R15,R18,R19,R20,R21,R22,R23,R24,R27,R28,R29)</f>
        <v/>
      </c>
      <c r="S30" s="133">
        <f>SUM(S14,S15,S18,S19,S20,S21,S22,S23,S24,S27,S28,S29)</f>
        <v/>
      </c>
      <c r="T30" s="133">
        <f>SUM(T14,T15,T18,T19,T20,T21,T22,T23,T24,T27,T28,T29)</f>
        <v/>
      </c>
      <c r="U30" s="133">
        <f>SUM(U14,U15,U18,U19,U20,U21,U22,U23,U24,U27,U28,U29)</f>
        <v/>
      </c>
      <c r="V30" s="133">
        <f>SUM(V14,V15,V18,V19,V20,V21,V22,V23,V24,V27,V28,V29)</f>
        <v/>
      </c>
      <c r="W30" s="133">
        <f>SUM(W14,W15,W18,W19,W20,W21,W22,W23,W24,W27,W28,W29)</f>
        <v/>
      </c>
      <c r="X30" s="133">
        <f>SUM(X14,X15,X18,X19,X20,X21,X22,X23,X24,X27,X28,X29)</f>
        <v/>
      </c>
      <c r="Y30" s="133">
        <f>SUM(Y14,Y15,Y18,Y19,Y20,Y21,Y22,Y23,Y24,Y27,Y28,Y29)</f>
        <v/>
      </c>
      <c r="Z30" s="133">
        <f>SUM(Z14,Z15,Z18,Z19,Z20,Z21,Z22,Z23,Z24,Z27,Z28,Z29)</f>
        <v/>
      </c>
      <c r="AA30" s="133">
        <f>SUM(AA14,AA15,AA18,AA19,AA20,AA21,AA22,AA23,AA24,AA27,AA28,AA29)</f>
        <v/>
      </c>
      <c r="AB30" s="133">
        <f>SUM(AB14,AB15,AB18,AB19,AB20,AB21,AB22,AB23,AB24,AB27,AB28,AB29)</f>
        <v/>
      </c>
      <c r="AC30" s="133">
        <f>SUM(AC14,AC15,AC18,AC19,AC20,AC21,AC22,AC23,AC24,AC27,AC28,AC29)</f>
        <v/>
      </c>
      <c r="AD30" s="133">
        <f>SUM(AD14,AD15,AD18,AD19,AD20,AD21,AD22,AD23,AD24,AD27,AD28,AD29)</f>
        <v/>
      </c>
      <c r="AE30" s="133">
        <f>SUM(AE14,AE15,AE18,AE19,AE20,AE21,AE22,AE23,AE24,AE27,AE28,AE29)</f>
        <v/>
      </c>
      <c r="AF30" s="133">
        <f>SUM(AF14,AF15,AF18,AF19,AF20,AF21,AF22,AF23,AF24,AF27,AF28,AF29)</f>
        <v/>
      </c>
      <c r="AG30" s="133">
        <f>SUM(AG14,AG15,AG18,AG19,AG20,AG21,AG22,AG23,AG24,AG27,AG28,AG29)</f>
        <v/>
      </c>
      <c r="AH30" s="133">
        <f>SUM(AH14,AH15,AH18,AH19,AH20,AH21,AH22,AH23,AH24,AH27,AH28,AH29)</f>
        <v/>
      </c>
      <c r="AI30" s="133">
        <f>SUM(AI14,AI15,AI18,AI19,AI20,AI21,AI22,AI23,AI24,AI27,AI28,AI29)</f>
        <v/>
      </c>
      <c r="AJ30" s="133">
        <f>SUM(AJ14,AJ15,AJ18,AJ19,AJ20,AJ21,AJ22,AJ23,AJ24,AJ27,AJ28,AJ29)</f>
        <v/>
      </c>
      <c r="AK30" s="133">
        <f>SUM(AK14,AK15,AK18,AK19,AK20,AK21,AK22,AK23,AK24,AK27,AK28,AK29)</f>
        <v/>
      </c>
      <c r="AL30" s="133">
        <f>SUM(AL14,AL15,AL18,AL19,AL20,AL21,AL22,AL23,AL24,AL27,AL28,AL29)</f>
        <v/>
      </c>
      <c r="AM30" s="133">
        <f>SUM(AM14,AM15,AM18,AM19,AM20,AM21,AM22,AM23,AM24,AM27,AM28,AM29)</f>
        <v/>
      </c>
      <c r="AN30" s="133">
        <f>SUM(AN14,AN15,AN18,AN19,AN20,AN21,AN22,AN23,AN24,AN27,AN28,AN29)</f>
        <v/>
      </c>
      <c r="AO30" s="133">
        <f>SUM(AO14,AO15,AO18,AO19,AO20,AO21,AO22,AO23,AO24,AO27,AO28,AO29)</f>
        <v/>
      </c>
      <c r="AP30" s="133">
        <f>SUM(AP14,AP15,AP18,AP19,AP20,AP21,AP22,AP23,AP24,AP27,AP28,AP29)</f>
        <v/>
      </c>
      <c r="AQ30" s="133">
        <f>SUM(AQ14,AQ15,AQ18,AQ19,AQ20,AQ21,AQ22,AQ23,AQ24,AQ27,AQ28,AQ29)</f>
        <v/>
      </c>
      <c r="AR30" s="133">
        <f>SUM(AR14,AR15,AR18,AR19,AR20,AR21,AR22,AR23,AR24,AR27,AR28,AR29)</f>
        <v/>
      </c>
      <c r="AS30" s="133">
        <f>SUM(AS14,AS15,AS18,AS19,AS20,AS21,AS22,AS23,AS24,AS27,AS28,AS29)</f>
        <v/>
      </c>
      <c r="AT30" s="133">
        <f>SUM(AT14,AT15,AT18,AT19,AT20,AT21,AT22,AT23,AT24,AT27,AT28,AT29)</f>
        <v/>
      </c>
      <c r="AU30" s="133">
        <f>SUM(AU14,AU15,AU18,AU19,AU20,AU21,AU22,AU23,AU24,AU27,AU28,AU29)</f>
        <v/>
      </c>
      <c r="AV30" s="133">
        <f>SUM(AV14,AV15,AV18,AV19,AV20,AV21,AV22,AV23,AV24,AV27,AV28,AV29)</f>
        <v/>
      </c>
      <c r="AW30" s="133">
        <f>SUM(AW14,AW15,AW18,AW19,AW20,AW21,AW22,AW23,AW24,AW27,AW28,AW29)</f>
        <v/>
      </c>
      <c r="AX30" s="133">
        <f>SUM(AX14,AX15,AX18,AX19,AX20,AX21,AX22,AX23,AX24,AX27,AX28,AX29)</f>
        <v/>
      </c>
      <c r="AY30" s="133">
        <f>SUM(AY14,AY15,AY18,AY19,AY20,AY21,AY22,AY23,AY24,AY27,AY28,AY29)</f>
        <v/>
      </c>
      <c r="AZ30" s="133">
        <f>SUM(AZ14,AZ15,AZ18,AZ19,AZ20,AZ21,AZ22,AZ23,AZ24,AZ27,AZ28,AZ29)</f>
        <v/>
      </c>
      <c r="BA30" s="133">
        <f>SUM(BA14,BA15,BA18,BA19,BA20,BA21,BA22,BA23,BA24,BA27,BA28,BA29)</f>
        <v/>
      </c>
      <c r="BB30" s="133">
        <f>SUM(BB14,BB15,BB18,BB19,BB20,BB21,BB22,BB23,BB24,BB27,BB28,BB29)</f>
        <v/>
      </c>
      <c r="BC30" s="133">
        <f>SUM(BC14,BC15,BC18,BC19,BC20,BC21,BC22,BC23,BC24,BC27,BC28,BC29)</f>
        <v/>
      </c>
      <c r="BD30" s="133">
        <f>SUM(BD14,BD15,BD18,BD19,BD20,BD21,BD22,BD23,BD24,BD27,BD28,BD29)</f>
        <v/>
      </c>
      <c r="BE30" s="133">
        <f>SUM(BE14,BE15,BE18,BE19,BE20,BE21,BE22,BE23,BE24,BE27,BE28,BE29)</f>
        <v/>
      </c>
      <c r="BF30" s="133">
        <f>SUM(BF14,BF15,BF18,BF19,BF20,BF21,BF22,BF23,BF24,BF27,BF28,BF29)</f>
        <v/>
      </c>
      <c r="BG30" s="133">
        <f>SUM(BG14,BG15,BG18,BG19,BG20,BG21,BG22,BG23,BG24,BG27,BG28,BG29)</f>
        <v/>
      </c>
      <c r="BH30" s="133">
        <f>SUM(BH14,BH15,BH18,BH19,BH20,BH21,BH22,BH23,BH24,BH27,BH28,BH29)</f>
        <v/>
      </c>
      <c r="BI30" s="133">
        <f>SUM(BI14,BI15,BI18,BI19,BI20,BI21,BI22,BI23,BI24,BI27,BI28,BI29)</f>
        <v/>
      </c>
      <c r="BJ30" s="133">
        <f>SUM(BJ14,BJ15,BJ18,BJ19,BJ20,BJ21,BJ22,BJ23,BJ24,BJ27,BJ28,BJ29)</f>
        <v/>
      </c>
      <c r="BK30" s="133">
        <f>SUM(BK14,BK15,BK18,BK19,BK20,BK21,BK22,BK23,BK24,BK27,BK28,BK29)</f>
        <v/>
      </c>
      <c r="BL30" s="133">
        <f>SUM(BL14,BL15,BL18,BL19,BL20,BL21,BL22,BL23,BL24,BL27,BL28,BL29)</f>
        <v/>
      </c>
      <c r="BM30" s="133">
        <f>SUM(BM14,BM15,BM18,BM19,BM20,BM21,BM22,BM23,BM24,BM27,BM28,BM29)</f>
        <v/>
      </c>
      <c r="BN30" s="133">
        <f>SUM(BN14,BN15,BN18,BN19,BN20,BN21,BN22,BN23,BN24,BN27,BN28,BN29)</f>
        <v/>
      </c>
      <c r="BO30" s="133">
        <f>SUM(BO14,BO15,BO18,BO19,BO20,BO21,BO22,BO23,BO24,BO27,BO28,BO29)</f>
        <v/>
      </c>
      <c r="BP30" s="133">
        <f>SUM(BP14,BP15,BP18,BP19,BP20,BP21,BP22,BP23,BP24,BP27,BP28,BP29)</f>
        <v/>
      </c>
      <c r="BQ30" s="133">
        <f>SUM(BQ14,BQ15,BQ18,BQ19,BQ20,BQ21,BQ22,BQ23,BQ24,BQ27,BQ28,BQ29)</f>
        <v/>
      </c>
      <c r="BR30" s="133">
        <f>SUM(BR14,BR15,BR18,BR19,BR20,BR21,BR22,BR23,BR24,BR27,BR28,BR29)</f>
        <v/>
      </c>
      <c r="BS30" s="133">
        <f>SUM(BS14,BS15,BS18,BS19,BS20,BS21,BS22,BS23,BS24,BS27,BS28,BS29)</f>
        <v/>
      </c>
      <c r="BT30" s="133">
        <f>SUM(BT14,BT15,BT18,BT19,BT20,BT21,BT22,BT23,BT24,BT27,BT28,BT29)</f>
        <v/>
      </c>
      <c r="BU30" s="133">
        <f>SUM(BU14,BU15,BU18,BU19,BU20,BU21,BU22,BU23,BU24,BU27,BU28,BU29)</f>
        <v/>
      </c>
      <c r="BV30" s="133">
        <f>SUM(BV14,BV15,BV18,BV19,BV20,BV21,BV22,BV23,BV24,BV27,BV28,BV29)</f>
        <v/>
      </c>
      <c r="BW30" s="133">
        <f>SUM(BW14,BW15,BW18,BW19,BW20,BW21,BW22,BW23,BW24,BW27,BW28,BW29)</f>
        <v/>
      </c>
      <c r="BX30" s="133">
        <f>SUM(BX14,BX15,BX18,BX19,BX20,BX21,BX22,BX23,BX24,BX27,BX28,BX29)</f>
        <v/>
      </c>
      <c r="BY30" s="133">
        <f>SUM(BY14,BY15,BY18,BY19,BY20,BY21,BY22,BY23,BY24,BY27,BY28,BY29)</f>
        <v/>
      </c>
    </row>
    <row r="31" ht="15.75" customHeight="1" s="194"/>
    <row r="32" ht="15.75" customHeight="1" s="194">
      <c r="B32" s="54" t="inlineStr">
        <is>
          <t>Операционные расходы</t>
        </is>
      </c>
      <c r="C32" s="55" t="n"/>
      <c r="D32" s="55" t="n"/>
      <c r="E32" s="55" t="n"/>
      <c r="F32" s="55" t="n"/>
      <c r="G32" s="55" t="n"/>
      <c r="H32" s="55" t="n"/>
      <c r="I32" s="55" t="n"/>
      <c r="J32" s="55" t="n"/>
      <c r="K32" s="55" t="n"/>
      <c r="L32" s="55" t="n"/>
      <c r="M32" s="55" t="n"/>
      <c r="N32" s="55" t="n"/>
      <c r="O32" s="55" t="n"/>
      <c r="P32" s="55" t="n"/>
      <c r="Q32" s="55" t="n"/>
      <c r="R32" s="55" t="n"/>
      <c r="S32" s="55" t="n"/>
      <c r="T32" s="55" t="n"/>
      <c r="U32" s="55" t="n"/>
      <c r="V32" s="55" t="n"/>
      <c r="W32" s="55" t="n"/>
      <c r="X32" s="55" t="n"/>
      <c r="Y32" s="55" t="n"/>
      <c r="Z32" s="55" t="n"/>
      <c r="AA32" s="55" t="n"/>
      <c r="AB32" s="55" t="n"/>
      <c r="AC32" s="55" t="n"/>
      <c r="AD32" s="55" t="n"/>
      <c r="AE32" s="55" t="n"/>
      <c r="AF32" s="55" t="n"/>
      <c r="AG32" s="55" t="n"/>
      <c r="AH32" s="55" t="n"/>
      <c r="AI32" s="55" t="n"/>
      <c r="AJ32" s="55" t="n"/>
      <c r="AK32" s="55" t="n"/>
      <c r="AL32" s="55" t="n"/>
      <c r="AM32" s="55" t="n"/>
      <c r="AN32" s="55" t="n"/>
      <c r="AO32" s="55" t="n"/>
      <c r="AP32" s="55" t="n"/>
      <c r="AQ32" s="55" t="n"/>
      <c r="AR32" s="55" t="n"/>
      <c r="AS32" s="55" t="n"/>
      <c r="AT32" s="55" t="n"/>
      <c r="AU32" s="55" t="n"/>
      <c r="AV32" s="55" t="n"/>
      <c r="AW32" s="55" t="n"/>
      <c r="AX32" s="55" t="n"/>
      <c r="AY32" s="55" t="n"/>
      <c r="AZ32" s="55" t="n"/>
      <c r="BA32" s="55" t="n"/>
      <c r="BB32" s="55" t="n"/>
      <c r="BC32" s="55" t="n"/>
      <c r="BD32" s="55" t="n"/>
      <c r="BE32" s="55" t="n"/>
      <c r="BF32" s="55" t="n"/>
      <c r="BG32" s="55" t="n"/>
      <c r="BH32" s="55" t="n"/>
      <c r="BI32" s="55" t="n"/>
      <c r="BJ32" s="55" t="n"/>
      <c r="BK32" s="55" t="n"/>
      <c r="BL32" s="55" t="n"/>
      <c r="BM32" s="55" t="n"/>
      <c r="BN32" s="55" t="n"/>
      <c r="BO32" s="55" t="n"/>
      <c r="BP32" s="55" t="n"/>
      <c r="BQ32" s="55" t="n"/>
      <c r="BR32" s="55" t="n"/>
      <c r="BS32" s="55" t="n"/>
      <c r="BT32" s="55" t="n"/>
      <c r="BU32" s="55" t="n"/>
      <c r="BV32" s="55" t="n"/>
      <c r="BW32" s="55" t="n"/>
      <c r="BX32" s="55" t="n"/>
      <c r="BY32" s="55" t="n"/>
    </row>
    <row r="33" ht="15.75" customHeight="1" s="194">
      <c r="B33" s="56" t="inlineStr">
        <is>
          <t>Подключения школ к ERP</t>
        </is>
      </c>
      <c r="C33" s="56" t="inlineStr">
        <is>
          <t>шт.</t>
        </is>
      </c>
      <c r="D33" s="57" t="inlineStr">
        <is>
          <t>Подключение — отдельное событие после открытия</t>
        </is>
      </c>
      <c r="E33" s="59">
        <f>SUM(L33:W33)</f>
        <v/>
      </c>
      <c r="F33" s="59">
        <f>SUM(X33:AI33)</f>
        <v/>
      </c>
      <c r="G33" s="59">
        <f>SUM(AJ33:AU33)</f>
        <v/>
      </c>
      <c r="H33" s="59">
        <f>SUM(AV33:BG33)</f>
        <v/>
      </c>
      <c r="I33" s="59">
        <f>SUM(BH33:BS33)</f>
        <v/>
      </c>
      <c r="J33" s="61">
        <f>SUM(L33:BS33)</f>
        <v/>
      </c>
      <c r="L33" s="62">
        <f t="array" ref="L33">IF(1-ЛагERP&lt;1,0,INDEX('03_Сеть'!$L14:$BY14,1,1-ЛагERP)*КоэффСохранения^ЛагERP)</f>
        <v/>
      </c>
      <c r="M33" s="62">
        <f t="array" ref="M33">IF(2-ЛагERP&lt;1,0,INDEX('03_Сеть'!$L14:$BY14,1,2-ЛагERP)*КоэффСохранения^ЛагERP)</f>
        <v/>
      </c>
      <c r="N33" s="62">
        <f t="array" ref="N33">IF(3-ЛагERP&lt;1,0,INDEX('03_Сеть'!$L14:$BY14,1,3-ЛагERP)*КоэффСохранения^ЛагERP)</f>
        <v/>
      </c>
      <c r="O33" s="62">
        <f t="array" ref="O33">IF(4-ЛагERP&lt;1,0,INDEX('03_Сеть'!$L14:$BY14,1,4-ЛагERP)*КоэффСохранения^ЛагERP)</f>
        <v/>
      </c>
      <c r="P33" s="62">
        <f t="array" ref="P33">IF(5-ЛагERP&lt;1,0,INDEX('03_Сеть'!$L14:$BY14,1,5-ЛагERP)*КоэффСохранения^ЛагERP)</f>
        <v/>
      </c>
      <c r="Q33" s="62">
        <f t="array" ref="Q33">IF(6-ЛагERP&lt;1,0,INDEX('03_Сеть'!$L14:$BY14,1,6-ЛагERP)*КоэффСохранения^ЛагERP)</f>
        <v/>
      </c>
      <c r="R33" s="62">
        <f t="array" ref="R33">IF(7-ЛагERP&lt;1,0,INDEX('03_Сеть'!$L14:$BY14,1,7-ЛагERP)*КоэффСохранения^ЛагERP)</f>
        <v/>
      </c>
      <c r="S33" s="62">
        <f t="array" ref="S33">IF(8-ЛагERP&lt;1,0,INDEX('03_Сеть'!$L14:$BY14,1,8-ЛагERP)*КоэффСохранения^ЛагERP)</f>
        <v/>
      </c>
      <c r="T33" s="62">
        <f t="array" ref="T33">IF(9-ЛагERP&lt;1,0,INDEX('03_Сеть'!$L14:$BY14,1,9-ЛагERP)*КоэффСохранения^ЛагERP)</f>
        <v/>
      </c>
      <c r="U33" s="62">
        <f t="array" ref="U33">IF(10-ЛагERP&lt;1,0,INDEX('03_Сеть'!$L14:$BY14,1,10-ЛагERP)*КоэффСохранения^ЛагERP)</f>
        <v/>
      </c>
      <c r="V33" s="62">
        <f t="array" ref="V33">IF(11-ЛагERP&lt;1,0,INDEX('03_Сеть'!$L14:$BY14,1,11-ЛагERP)*КоэффСохранения^ЛагERP)</f>
        <v/>
      </c>
      <c r="W33" s="62">
        <f t="array" ref="W33">IF(12-ЛагERP&lt;1,0,INDEX('03_Сеть'!$L14:$BY14,1,12-ЛагERP)*КоэффСохранения^ЛагERP)</f>
        <v/>
      </c>
      <c r="X33" s="62">
        <f t="array" ref="X33">IF(13-ЛагERP&lt;1,0,INDEX('03_Сеть'!$L14:$BY14,1,13-ЛагERP)*КоэффСохранения^ЛагERP)</f>
        <v/>
      </c>
      <c r="Y33" s="62">
        <f t="array" ref="Y33">IF(14-ЛагERP&lt;1,0,INDEX('03_Сеть'!$L14:$BY14,1,14-ЛагERP)*КоэффСохранения^ЛагERP)</f>
        <v/>
      </c>
      <c r="Z33" s="62">
        <f t="array" ref="Z33">IF(15-ЛагERP&lt;1,0,INDEX('03_Сеть'!$L14:$BY14,1,15-ЛагERP)*КоэффСохранения^ЛагERP)</f>
        <v/>
      </c>
      <c r="AA33" s="62">
        <f t="array" ref="AA33">IF(16-ЛагERP&lt;1,0,INDEX('03_Сеть'!$L14:$BY14,1,16-ЛагERP)*КоэффСохранения^ЛагERP)</f>
        <v/>
      </c>
      <c r="AB33" s="62">
        <f t="array" ref="AB33">IF(17-ЛагERP&lt;1,0,INDEX('03_Сеть'!$L14:$BY14,1,17-ЛагERP)*КоэффСохранения^ЛагERP)</f>
        <v/>
      </c>
      <c r="AC33" s="62">
        <f t="array" ref="AC33">IF(18-ЛагERP&lt;1,0,INDEX('03_Сеть'!$L14:$BY14,1,18-ЛагERP)*КоэффСохранения^ЛагERP)</f>
        <v/>
      </c>
      <c r="AD33" s="62">
        <f t="array" ref="AD33">IF(19-ЛагERP&lt;1,0,INDEX('03_Сеть'!$L14:$BY14,1,19-ЛагERP)*КоэффСохранения^ЛагERP)</f>
        <v/>
      </c>
      <c r="AE33" s="62">
        <f t="array" ref="AE33">IF(20-ЛагERP&lt;1,0,INDEX('03_Сеть'!$L14:$BY14,1,20-ЛагERP)*КоэффСохранения^ЛагERP)</f>
        <v/>
      </c>
      <c r="AF33" s="62">
        <f t="array" ref="AF33">IF(21-ЛагERP&lt;1,0,INDEX('03_Сеть'!$L14:$BY14,1,21-ЛагERP)*КоэффСохранения^ЛагERP)</f>
        <v/>
      </c>
      <c r="AG33" s="62">
        <f t="array" ref="AG33">IF(22-ЛагERP&lt;1,0,INDEX('03_Сеть'!$L14:$BY14,1,22-ЛагERP)*КоэффСохранения^ЛагERP)</f>
        <v/>
      </c>
      <c r="AH33" s="62">
        <f t="array" ref="AH33">IF(23-ЛагERP&lt;1,0,INDEX('03_Сеть'!$L14:$BY14,1,23-ЛагERP)*КоэффСохранения^ЛагERP)</f>
        <v/>
      </c>
      <c r="AI33" s="62">
        <f t="array" ref="AI33">IF(24-ЛагERP&lt;1,0,INDEX('03_Сеть'!$L14:$BY14,1,24-ЛагERP)*КоэффСохранения^ЛагERP)</f>
        <v/>
      </c>
      <c r="AJ33" s="62">
        <f t="array" ref="AJ33">IF(25-ЛагERP&lt;1,0,INDEX('03_Сеть'!$L14:$BY14,1,25-ЛагERP)*КоэффСохранения^ЛагERP)</f>
        <v/>
      </c>
      <c r="AK33" s="62">
        <f t="array" ref="AK33">IF(26-ЛагERP&lt;1,0,INDEX('03_Сеть'!$L14:$BY14,1,26-ЛагERP)*КоэффСохранения^ЛагERP)</f>
        <v/>
      </c>
      <c r="AL33" s="62">
        <f t="array" ref="AL33">IF(27-ЛагERP&lt;1,0,INDEX('03_Сеть'!$L14:$BY14,1,27-ЛагERP)*КоэффСохранения^ЛагERP)</f>
        <v/>
      </c>
      <c r="AM33" s="62">
        <f t="array" ref="AM33">IF(28-ЛагERP&lt;1,0,INDEX('03_Сеть'!$L14:$BY14,1,28-ЛагERP)*КоэффСохранения^ЛагERP)</f>
        <v/>
      </c>
      <c r="AN33" s="62">
        <f t="array" ref="AN33">IF(29-ЛагERP&lt;1,0,INDEX('03_Сеть'!$L14:$BY14,1,29-ЛагERP)*КоэффСохранения^ЛагERP)</f>
        <v/>
      </c>
      <c r="AO33" s="62">
        <f t="array" ref="AO33">IF(30-ЛагERP&lt;1,0,INDEX('03_Сеть'!$L14:$BY14,1,30-ЛагERP)*КоэффСохранения^ЛагERP)</f>
        <v/>
      </c>
      <c r="AP33" s="62">
        <f t="array" ref="AP33">IF(31-ЛагERP&lt;1,0,INDEX('03_Сеть'!$L14:$BY14,1,31-ЛагERP)*КоэффСохранения^ЛагERP)</f>
        <v/>
      </c>
      <c r="AQ33" s="62">
        <f t="array" ref="AQ33">IF(32-ЛагERP&lt;1,0,INDEX('03_Сеть'!$L14:$BY14,1,32-ЛагERP)*КоэффСохранения^ЛагERP)</f>
        <v/>
      </c>
      <c r="AR33" s="62">
        <f t="array" ref="AR33">IF(33-ЛагERP&lt;1,0,INDEX('03_Сеть'!$L14:$BY14,1,33-ЛагERP)*КоэффСохранения^ЛагERP)</f>
        <v/>
      </c>
      <c r="AS33" s="62">
        <f t="array" ref="AS33">IF(34-ЛагERP&lt;1,0,INDEX('03_Сеть'!$L14:$BY14,1,34-ЛагERP)*КоэффСохранения^ЛагERP)</f>
        <v/>
      </c>
      <c r="AT33" s="62">
        <f t="array" ref="AT33">IF(35-ЛагERP&lt;1,0,INDEX('03_Сеть'!$L14:$BY14,1,35-ЛагERP)*КоэффСохранения^ЛагERP)</f>
        <v/>
      </c>
      <c r="AU33" s="62">
        <f t="array" ref="AU33">IF(36-ЛагERP&lt;1,0,INDEX('03_Сеть'!$L14:$BY14,1,36-ЛагERP)*КоэффСохранения^ЛагERP)</f>
        <v/>
      </c>
      <c r="AV33" s="62">
        <f t="array" ref="AV33">IF(37-ЛагERP&lt;1,0,INDEX('03_Сеть'!$L14:$BY14,1,37-ЛагERP)*КоэффСохранения^ЛагERP)</f>
        <v/>
      </c>
      <c r="AW33" s="62">
        <f t="array" ref="AW33">IF(38-ЛагERP&lt;1,0,INDEX('03_Сеть'!$L14:$BY14,1,38-ЛагERP)*КоэффСохранения^ЛагERP)</f>
        <v/>
      </c>
      <c r="AX33" s="62">
        <f t="array" ref="AX33">IF(39-ЛагERP&lt;1,0,INDEX('03_Сеть'!$L14:$BY14,1,39-ЛагERP)*КоэффСохранения^ЛагERP)</f>
        <v/>
      </c>
      <c r="AY33" s="62">
        <f t="array" ref="AY33">IF(40-ЛагERP&lt;1,0,INDEX('03_Сеть'!$L14:$BY14,1,40-ЛагERP)*КоэффСохранения^ЛагERP)</f>
        <v/>
      </c>
      <c r="AZ33" s="62">
        <f t="array" ref="AZ33">IF(41-ЛагERP&lt;1,0,INDEX('03_Сеть'!$L14:$BY14,1,41-ЛагERP)*КоэффСохранения^ЛагERP)</f>
        <v/>
      </c>
      <c r="BA33" s="62">
        <f t="array" ref="BA33">IF(42-ЛагERP&lt;1,0,INDEX('03_Сеть'!$L14:$BY14,1,42-ЛагERP)*КоэффСохранения^ЛагERP)</f>
        <v/>
      </c>
      <c r="BB33" s="62">
        <f t="array" ref="BB33">IF(43-ЛагERP&lt;1,0,INDEX('03_Сеть'!$L14:$BY14,1,43-ЛагERP)*КоэффСохранения^ЛагERP)</f>
        <v/>
      </c>
      <c r="BC33" s="62">
        <f t="array" ref="BC33">IF(44-ЛагERP&lt;1,0,INDEX('03_Сеть'!$L14:$BY14,1,44-ЛагERP)*КоэффСохранения^ЛагERP)</f>
        <v/>
      </c>
      <c r="BD33" s="62">
        <f t="array" ref="BD33">IF(45-ЛагERP&lt;1,0,INDEX('03_Сеть'!$L14:$BY14,1,45-ЛагERP)*КоэффСохранения^ЛагERP)</f>
        <v/>
      </c>
      <c r="BE33" s="62">
        <f t="array" ref="BE33">IF(46-ЛагERP&lt;1,0,INDEX('03_Сеть'!$L14:$BY14,1,46-ЛагERP)*КоэффСохранения^ЛагERP)</f>
        <v/>
      </c>
      <c r="BF33" s="62">
        <f t="array" ref="BF33">IF(47-ЛагERP&lt;1,0,INDEX('03_Сеть'!$L14:$BY14,1,47-ЛагERP)*КоэффСохранения^ЛагERP)</f>
        <v/>
      </c>
      <c r="BG33" s="62">
        <f t="array" ref="BG33">IF(48-ЛагERP&lt;1,0,INDEX('03_Сеть'!$L14:$BY14,1,48-ЛагERP)*КоэффСохранения^ЛагERP)</f>
        <v/>
      </c>
      <c r="BH33" s="62">
        <f t="array" ref="BH33">IF(49-ЛагERP&lt;1,0,INDEX('03_Сеть'!$L14:$BY14,1,49-ЛагERP)*КоэффСохранения^ЛагERP)</f>
        <v/>
      </c>
      <c r="BI33" s="62">
        <f t="array" ref="BI33">IF(50-ЛагERP&lt;1,0,INDEX('03_Сеть'!$L14:$BY14,1,50-ЛагERP)*КоэффСохранения^ЛагERP)</f>
        <v/>
      </c>
      <c r="BJ33" s="62">
        <f t="array" ref="BJ33">IF(51-ЛагERP&lt;1,0,INDEX('03_Сеть'!$L14:$BY14,1,51-ЛагERP)*КоэффСохранения^ЛагERP)</f>
        <v/>
      </c>
      <c r="BK33" s="62">
        <f t="array" ref="BK33">IF(52-ЛагERP&lt;1,0,INDEX('03_Сеть'!$L14:$BY14,1,52-ЛагERP)*КоэффСохранения^ЛагERP)</f>
        <v/>
      </c>
      <c r="BL33" s="62">
        <f t="array" ref="BL33">IF(53-ЛагERP&lt;1,0,INDEX('03_Сеть'!$L14:$BY14,1,53-ЛагERP)*КоэффСохранения^ЛагERP)</f>
        <v/>
      </c>
      <c r="BM33" s="62">
        <f t="array" ref="BM33">IF(54-ЛагERP&lt;1,0,INDEX('03_Сеть'!$L14:$BY14,1,54-ЛагERP)*КоэффСохранения^ЛагERP)</f>
        <v/>
      </c>
      <c r="BN33" s="62">
        <f t="array" ref="BN33">IF(55-ЛагERP&lt;1,0,INDEX('03_Сеть'!$L14:$BY14,1,55-ЛагERP)*КоэффСохранения^ЛагERP)</f>
        <v/>
      </c>
      <c r="BO33" s="62">
        <f t="array" ref="BO33">IF(56-ЛагERP&lt;1,0,INDEX('03_Сеть'!$L14:$BY14,1,56-ЛагERP)*КоэффСохранения^ЛагERP)</f>
        <v/>
      </c>
      <c r="BP33" s="62">
        <f t="array" ref="BP33">IF(57-ЛагERP&lt;1,0,INDEX('03_Сеть'!$L14:$BY14,1,57-ЛагERP)*КоэффСохранения^ЛагERP)</f>
        <v/>
      </c>
      <c r="BQ33" s="62">
        <f t="array" ref="BQ33">IF(58-ЛагERP&lt;1,0,INDEX('03_Сеть'!$L14:$BY14,1,58-ЛагERP)*КоэффСохранения^ЛагERP)</f>
        <v/>
      </c>
      <c r="BR33" s="62">
        <f t="array" ref="BR33">IF(59-ЛагERP&lt;1,0,INDEX('03_Сеть'!$L14:$BY14,1,59-ЛагERP)*КоэффСохранения^ЛагERP)</f>
        <v/>
      </c>
      <c r="BS33" s="62">
        <f t="array" ref="BS33">IF(60-ЛагERP&lt;1,0,INDEX('03_Сеть'!$L14:$BY14,1,60-ЛагERP)*КоэффСохранения^ЛагERP)</f>
        <v/>
      </c>
      <c r="BT33" s="62">
        <f t="array" ref="BT33">IF(61-ЛагERP&lt;1,0,INDEX('03_Сеть'!$L14:$BY14,1,61-ЛагERP)*КоэффСохранения^ЛагERP)</f>
        <v/>
      </c>
      <c r="BU33" s="62">
        <f t="array" ref="BU33">IF(62-ЛагERP&lt;1,0,INDEX('03_Сеть'!$L14:$BY14,1,62-ЛагERP)*КоэффСохранения^ЛагERP)</f>
        <v/>
      </c>
      <c r="BV33" s="62">
        <f t="array" ref="BV33">IF(63-ЛагERP&lt;1,0,INDEX('03_Сеть'!$L14:$BY14,1,63-ЛагERP)*КоэффСохранения^ЛагERP)</f>
        <v/>
      </c>
      <c r="BW33" s="62">
        <f t="array" ref="BW33">IF(64-ЛагERP&lt;1,0,INDEX('03_Сеть'!$L14:$BY14,1,64-ЛагERP)*КоэффСохранения^ЛагERP)</f>
        <v/>
      </c>
      <c r="BX33" s="62">
        <f t="array" ref="BX33">IF(65-ЛагERP&lt;1,0,INDEX('03_Сеть'!$L14:$BY14,1,65-ЛагERP)*КоэффСохранения^ЛагERP)</f>
        <v/>
      </c>
      <c r="BY33" s="62">
        <f t="array" ref="BY33">IF(66-ЛагERP&lt;1,0,INDEX('03_Сеть'!$L14:$BY14,1,66-ЛагERP)*КоэффСохранения^ЛагERP)</f>
        <v/>
      </c>
    </row>
    <row r="34" ht="15.75" customHeight="1" s="194">
      <c r="B34" s="56" t="inlineStr">
        <is>
          <t>Новых школ в ERP</t>
        </is>
      </c>
      <c r="C34" s="56" t="inlineStr">
        <is>
          <t>шт.</t>
        </is>
      </c>
      <c r="D34" s="57" t="inlineStr">
        <is>
          <t>В колонках лет — значение на конец года, в «Итого» — на конец пятого года. Это остаток, а не сумма.</t>
        </is>
      </c>
      <c r="E34" s="59">
        <f>W34</f>
        <v/>
      </c>
      <c r="F34" s="59">
        <f>AI34</f>
        <v/>
      </c>
      <c r="G34" s="59">
        <f>AU34</f>
        <v/>
      </c>
      <c r="H34" s="59">
        <f>BG34</f>
        <v/>
      </c>
      <c r="I34" s="59">
        <f>BS34</f>
        <v/>
      </c>
      <c r="J34" s="61">
        <f>BS34</f>
        <v/>
      </c>
      <c r="L34" s="62">
        <f>$L33</f>
        <v/>
      </c>
      <c r="M34" s="62">
        <f>L34*КоэффСохранения+M33</f>
        <v/>
      </c>
      <c r="N34" s="62">
        <f>M34*КоэффСохранения+N33</f>
        <v/>
      </c>
      <c r="O34" s="62">
        <f>N34*КоэффСохранения+O33</f>
        <v/>
      </c>
      <c r="P34" s="62">
        <f>O34*КоэффСохранения+P33</f>
        <v/>
      </c>
      <c r="Q34" s="62">
        <f>P34*КоэффСохранения+Q33</f>
        <v/>
      </c>
      <c r="R34" s="62">
        <f>Q34*КоэффСохранения+R33</f>
        <v/>
      </c>
      <c r="S34" s="62">
        <f>R34*КоэффСохранения+S33</f>
        <v/>
      </c>
      <c r="T34" s="62">
        <f>S34*КоэффСохранения+T33</f>
        <v/>
      </c>
      <c r="U34" s="62">
        <f>T34*КоэффСохранения+U33</f>
        <v/>
      </c>
      <c r="V34" s="62">
        <f>U34*КоэффСохранения+V33</f>
        <v/>
      </c>
      <c r="W34" s="62">
        <f>V34*КоэффСохранения+W33</f>
        <v/>
      </c>
      <c r="X34" s="62">
        <f>W34*КоэффСохранения+X33</f>
        <v/>
      </c>
      <c r="Y34" s="62">
        <f>X34*КоэффСохранения+Y33</f>
        <v/>
      </c>
      <c r="Z34" s="62">
        <f>Y34*КоэффСохранения+Z33</f>
        <v/>
      </c>
      <c r="AA34" s="62">
        <f>Z34*КоэффСохранения+AA33</f>
        <v/>
      </c>
      <c r="AB34" s="62">
        <f>AA34*КоэффСохранения+AB33</f>
        <v/>
      </c>
      <c r="AC34" s="62">
        <f>AB34*КоэффСохранения+AC33</f>
        <v/>
      </c>
      <c r="AD34" s="62">
        <f>AC34*КоэффСохранения+AD33</f>
        <v/>
      </c>
      <c r="AE34" s="62">
        <f>AD34*КоэффСохранения+AE33</f>
        <v/>
      </c>
      <c r="AF34" s="62">
        <f>AE34*КоэффСохранения+AF33</f>
        <v/>
      </c>
      <c r="AG34" s="62">
        <f>AF34*КоэффСохранения+AG33</f>
        <v/>
      </c>
      <c r="AH34" s="62">
        <f>AG34*КоэффСохранения+AH33</f>
        <v/>
      </c>
      <c r="AI34" s="62">
        <f>AH34*КоэффСохранения+AI33</f>
        <v/>
      </c>
      <c r="AJ34" s="62">
        <f>AI34*КоэффСохранения+AJ33</f>
        <v/>
      </c>
      <c r="AK34" s="62">
        <f>AJ34*КоэффСохранения+AK33</f>
        <v/>
      </c>
      <c r="AL34" s="62">
        <f>AK34*КоэффСохранения+AL33</f>
        <v/>
      </c>
      <c r="AM34" s="62">
        <f>AL34*КоэффСохранения+AM33</f>
        <v/>
      </c>
      <c r="AN34" s="62">
        <f>AM34*КоэффСохранения+AN33</f>
        <v/>
      </c>
      <c r="AO34" s="62">
        <f>AN34*КоэффСохранения+AO33</f>
        <v/>
      </c>
      <c r="AP34" s="62">
        <f>AO34*КоэффСохранения+AP33</f>
        <v/>
      </c>
      <c r="AQ34" s="62">
        <f>AP34*КоэффСохранения+AQ33</f>
        <v/>
      </c>
      <c r="AR34" s="62">
        <f>AQ34*КоэффСохранения+AR33</f>
        <v/>
      </c>
      <c r="AS34" s="62">
        <f>AR34*КоэффСохранения+AS33</f>
        <v/>
      </c>
      <c r="AT34" s="62">
        <f>AS34*КоэффСохранения+AT33</f>
        <v/>
      </c>
      <c r="AU34" s="62">
        <f>AT34*КоэффСохранения+AU33</f>
        <v/>
      </c>
      <c r="AV34" s="62">
        <f>AU34*КоэффСохранения+AV33</f>
        <v/>
      </c>
      <c r="AW34" s="62">
        <f>AV34*КоэффСохранения+AW33</f>
        <v/>
      </c>
      <c r="AX34" s="62">
        <f>AW34*КоэффСохранения+AX33</f>
        <v/>
      </c>
      <c r="AY34" s="62">
        <f>AX34*КоэффСохранения+AY33</f>
        <v/>
      </c>
      <c r="AZ34" s="62">
        <f>AY34*КоэффСохранения+AZ33</f>
        <v/>
      </c>
      <c r="BA34" s="62">
        <f>AZ34*КоэффСохранения+BA33</f>
        <v/>
      </c>
      <c r="BB34" s="62">
        <f>BA34*КоэффСохранения+BB33</f>
        <v/>
      </c>
      <c r="BC34" s="62">
        <f>BB34*КоэффСохранения+BC33</f>
        <v/>
      </c>
      <c r="BD34" s="62">
        <f>BC34*КоэффСохранения+BD33</f>
        <v/>
      </c>
      <c r="BE34" s="62">
        <f>BD34*КоэффСохранения+BE33</f>
        <v/>
      </c>
      <c r="BF34" s="62">
        <f>BE34*КоэффСохранения+BF33</f>
        <v/>
      </c>
      <c r="BG34" s="62">
        <f>BF34*КоэффСохранения+BG33</f>
        <v/>
      </c>
      <c r="BH34" s="62">
        <f>BG34*КоэффСохранения+BH33</f>
        <v/>
      </c>
      <c r="BI34" s="62">
        <f>BH34*КоэффСохранения+BI33</f>
        <v/>
      </c>
      <c r="BJ34" s="62">
        <f>BI34*КоэффСохранения+BJ33</f>
        <v/>
      </c>
      <c r="BK34" s="62">
        <f>BJ34*КоэффСохранения+BK33</f>
        <v/>
      </c>
      <c r="BL34" s="62">
        <f>BK34*КоэффСохранения+BL33</f>
        <v/>
      </c>
      <c r="BM34" s="62">
        <f>BL34*КоэффСохранения+BM33</f>
        <v/>
      </c>
      <c r="BN34" s="62">
        <f>BM34*КоэффСохранения+BN33</f>
        <v/>
      </c>
      <c r="BO34" s="62">
        <f>BN34*КоэффСохранения+BO33</f>
        <v/>
      </c>
      <c r="BP34" s="62">
        <f>BO34*КоэффСохранения+BP33</f>
        <v/>
      </c>
      <c r="BQ34" s="62">
        <f>BP34*КоэффСохранения+BQ33</f>
        <v/>
      </c>
      <c r="BR34" s="62">
        <f>BQ34*КоэффСохранения+BR33</f>
        <v/>
      </c>
      <c r="BS34" s="62">
        <f>BR34*КоэффСохранения+BS33</f>
        <v/>
      </c>
      <c r="BT34" s="62">
        <f>BS34*КоэффСохранения+BT33</f>
        <v/>
      </c>
      <c r="BU34" s="62">
        <f>BT34*КоэффСохранения+BU33</f>
        <v/>
      </c>
      <c r="BV34" s="62">
        <f>BU34*КоэффСохранения+BV33</f>
        <v/>
      </c>
      <c r="BW34" s="62">
        <f>BV34*КоэффСохранения+BW33</f>
        <v/>
      </c>
      <c r="BX34" s="62">
        <f>BW34*КоэффСохранения+BX33</f>
        <v/>
      </c>
      <c r="BY34" s="62">
        <f>BX34*КоэффСохранения+BY33</f>
        <v/>
      </c>
    </row>
    <row r="35" ht="15.75" customHeight="1" s="194">
      <c r="B35" s="56" t="inlineStr">
        <is>
          <t>ERP</t>
        </is>
      </c>
      <c r="C35" s="56" t="inlineStr">
        <is>
          <t>₽</t>
        </is>
      </c>
      <c r="D35" s="57" t="inlineStr">
        <is>
          <t>База плюс по 3 тыс. за каждую школу сверх базы</t>
        </is>
      </c>
      <c r="E35" s="85">
        <f>SUM(L35:W35)</f>
        <v/>
      </c>
      <c r="F35" s="85">
        <f>SUM(X35:AI35)</f>
        <v/>
      </c>
      <c r="G35" s="85">
        <f>SUM(AJ35:AU35)</f>
        <v/>
      </c>
      <c r="H35" s="85">
        <f>SUM(AV35:BG35)</f>
        <v/>
      </c>
      <c r="I35" s="85">
        <f>SUM(BH35:BS35)</f>
        <v/>
      </c>
      <c r="J35" s="86">
        <f>SUM(L35:BS35)</f>
        <v/>
      </c>
      <c r="L35" s="87">
        <f>(ERPБаза+(MAX(0,'03_Сеть'!L18-ERPШколВБазе)+L34)*ERPНаШколу)*'04_Доходы'!L7</f>
        <v/>
      </c>
      <c r="M35" s="87">
        <f>(ERPБаза+(MAX(0,'03_Сеть'!M18-ERPШколВБазе)+M34)*ERPНаШколу)*'04_Доходы'!M7</f>
        <v/>
      </c>
      <c r="N35" s="87">
        <f>(ERPБаза+(MAX(0,'03_Сеть'!N18-ERPШколВБазе)+N34)*ERPНаШколу)*'04_Доходы'!N7</f>
        <v/>
      </c>
      <c r="O35" s="87">
        <f>(ERPБаза+(MAX(0,'03_Сеть'!O18-ERPШколВБазе)+O34)*ERPНаШколу)*'04_Доходы'!O7</f>
        <v/>
      </c>
      <c r="P35" s="87">
        <f>(ERPБаза+(MAX(0,'03_Сеть'!P18-ERPШколВБазе)+P34)*ERPНаШколу)*'04_Доходы'!P7</f>
        <v/>
      </c>
      <c r="Q35" s="87">
        <f>(ERPБаза+(MAX(0,'03_Сеть'!Q18-ERPШколВБазе)+Q34)*ERPНаШколу)*'04_Доходы'!Q7</f>
        <v/>
      </c>
      <c r="R35" s="87">
        <f>(ERPБаза+(MAX(0,'03_Сеть'!R18-ERPШколВБазе)+R34)*ERPНаШколу)*'04_Доходы'!R7</f>
        <v/>
      </c>
      <c r="S35" s="87">
        <f>(ERPБаза+(MAX(0,'03_Сеть'!S18-ERPШколВБазе)+S34)*ERPНаШколу)*'04_Доходы'!S7</f>
        <v/>
      </c>
      <c r="T35" s="87">
        <f>(ERPБаза+(MAX(0,'03_Сеть'!T18-ERPШколВБазе)+T34)*ERPНаШколу)*'04_Доходы'!T7</f>
        <v/>
      </c>
      <c r="U35" s="87">
        <f>(ERPБаза+(MAX(0,'03_Сеть'!U18-ERPШколВБазе)+U34)*ERPНаШколу)*'04_Доходы'!U7</f>
        <v/>
      </c>
      <c r="V35" s="87">
        <f>(ERPБаза+(MAX(0,'03_Сеть'!V18-ERPШколВБазе)+V34)*ERPНаШколу)*'04_Доходы'!V7</f>
        <v/>
      </c>
      <c r="W35" s="87">
        <f>(ERPБаза+(MAX(0,'03_Сеть'!W18-ERPШколВБазе)+W34)*ERPНаШколу)*'04_Доходы'!W7</f>
        <v/>
      </c>
      <c r="X35" s="87">
        <f>(ERPБаза+(MAX(0,'03_Сеть'!X18-ERPШколВБазе)+X34)*ERPНаШколу)*'04_Доходы'!X7</f>
        <v/>
      </c>
      <c r="Y35" s="87">
        <f>(ERPБаза+(MAX(0,'03_Сеть'!Y18-ERPШколВБазе)+Y34)*ERPНаШколу)*'04_Доходы'!Y7</f>
        <v/>
      </c>
      <c r="Z35" s="87">
        <f>(ERPБаза+(MAX(0,'03_Сеть'!Z18-ERPШколВБазе)+Z34)*ERPНаШколу)*'04_Доходы'!Z7</f>
        <v/>
      </c>
      <c r="AA35" s="87">
        <f>(ERPБаза+(MAX(0,'03_Сеть'!AA18-ERPШколВБазе)+AA34)*ERPНаШколу)*'04_Доходы'!AA7</f>
        <v/>
      </c>
      <c r="AB35" s="87">
        <f>(ERPБаза+(MAX(0,'03_Сеть'!AB18-ERPШколВБазе)+AB34)*ERPНаШколу)*'04_Доходы'!AB7</f>
        <v/>
      </c>
      <c r="AC35" s="87">
        <f>(ERPБаза+(MAX(0,'03_Сеть'!AC18-ERPШколВБазе)+AC34)*ERPНаШколу)*'04_Доходы'!AC7</f>
        <v/>
      </c>
      <c r="AD35" s="87">
        <f>(ERPБаза+(MAX(0,'03_Сеть'!AD18-ERPШколВБазе)+AD34)*ERPНаШколу)*'04_Доходы'!AD7</f>
        <v/>
      </c>
      <c r="AE35" s="87">
        <f>(ERPБаза+(MAX(0,'03_Сеть'!AE18-ERPШколВБазе)+AE34)*ERPНаШколу)*'04_Доходы'!AE7</f>
        <v/>
      </c>
      <c r="AF35" s="87">
        <f>(ERPБаза+(MAX(0,'03_Сеть'!AF18-ERPШколВБазе)+AF34)*ERPНаШколу)*'04_Доходы'!AF7</f>
        <v/>
      </c>
      <c r="AG35" s="87">
        <f>(ERPБаза+(MAX(0,'03_Сеть'!AG18-ERPШколВБазе)+AG34)*ERPНаШколу)*'04_Доходы'!AG7</f>
        <v/>
      </c>
      <c r="AH35" s="87">
        <f>(ERPБаза+(MAX(0,'03_Сеть'!AH18-ERPШколВБазе)+AH34)*ERPНаШколу)*'04_Доходы'!AH7</f>
        <v/>
      </c>
      <c r="AI35" s="87">
        <f>(ERPБаза+(MAX(0,'03_Сеть'!AI18-ERPШколВБазе)+AI34)*ERPНаШколу)*'04_Доходы'!AI7</f>
        <v/>
      </c>
      <c r="AJ35" s="87">
        <f>(ERPБаза+(MAX(0,'03_Сеть'!AJ18-ERPШколВБазе)+AJ34)*ERPНаШколу)*'04_Доходы'!AJ7</f>
        <v/>
      </c>
      <c r="AK35" s="87">
        <f>(ERPБаза+(MAX(0,'03_Сеть'!AK18-ERPШколВБазе)+AK34)*ERPНаШколу)*'04_Доходы'!AK7</f>
        <v/>
      </c>
      <c r="AL35" s="87">
        <f>(ERPБаза+(MAX(0,'03_Сеть'!AL18-ERPШколВБазе)+AL34)*ERPНаШколу)*'04_Доходы'!AL7</f>
        <v/>
      </c>
      <c r="AM35" s="87">
        <f>(ERPБаза+(MAX(0,'03_Сеть'!AM18-ERPШколВБазе)+AM34)*ERPНаШколу)*'04_Доходы'!AM7</f>
        <v/>
      </c>
      <c r="AN35" s="87">
        <f>(ERPБаза+(MAX(0,'03_Сеть'!AN18-ERPШколВБазе)+AN34)*ERPНаШколу)*'04_Доходы'!AN7</f>
        <v/>
      </c>
      <c r="AO35" s="87">
        <f>(ERPБаза+(MAX(0,'03_Сеть'!AO18-ERPШколВБазе)+AO34)*ERPНаШколу)*'04_Доходы'!AO7</f>
        <v/>
      </c>
      <c r="AP35" s="87">
        <f>(ERPБаза+(MAX(0,'03_Сеть'!AP18-ERPШколВБазе)+AP34)*ERPНаШколу)*'04_Доходы'!AP7</f>
        <v/>
      </c>
      <c r="AQ35" s="87">
        <f>(ERPБаза+(MAX(0,'03_Сеть'!AQ18-ERPШколВБазе)+AQ34)*ERPНаШколу)*'04_Доходы'!AQ7</f>
        <v/>
      </c>
      <c r="AR35" s="87">
        <f>(ERPБаза+(MAX(0,'03_Сеть'!AR18-ERPШколВБазе)+AR34)*ERPНаШколу)*'04_Доходы'!AR7</f>
        <v/>
      </c>
      <c r="AS35" s="87">
        <f>(ERPБаза+(MAX(0,'03_Сеть'!AS18-ERPШколВБазе)+AS34)*ERPНаШколу)*'04_Доходы'!AS7</f>
        <v/>
      </c>
      <c r="AT35" s="87">
        <f>(ERPБаза+(MAX(0,'03_Сеть'!AT18-ERPШколВБазе)+AT34)*ERPНаШколу)*'04_Доходы'!AT7</f>
        <v/>
      </c>
      <c r="AU35" s="87">
        <f>(ERPБаза+(MAX(0,'03_Сеть'!AU18-ERPШколВБазе)+AU34)*ERPНаШколу)*'04_Доходы'!AU7</f>
        <v/>
      </c>
      <c r="AV35" s="87">
        <f>(ERPБаза+(MAX(0,'03_Сеть'!AV18-ERPШколВБазе)+AV34)*ERPНаШколу)*'04_Доходы'!AV7</f>
        <v/>
      </c>
      <c r="AW35" s="87">
        <f>(ERPБаза+(MAX(0,'03_Сеть'!AW18-ERPШколВБазе)+AW34)*ERPНаШколу)*'04_Доходы'!AW7</f>
        <v/>
      </c>
      <c r="AX35" s="87">
        <f>(ERPБаза+(MAX(0,'03_Сеть'!AX18-ERPШколВБазе)+AX34)*ERPНаШколу)*'04_Доходы'!AX7</f>
        <v/>
      </c>
      <c r="AY35" s="87">
        <f>(ERPБаза+(MAX(0,'03_Сеть'!AY18-ERPШколВБазе)+AY34)*ERPНаШколу)*'04_Доходы'!AY7</f>
        <v/>
      </c>
      <c r="AZ35" s="87">
        <f>(ERPБаза+(MAX(0,'03_Сеть'!AZ18-ERPШколВБазе)+AZ34)*ERPНаШколу)*'04_Доходы'!AZ7</f>
        <v/>
      </c>
      <c r="BA35" s="87">
        <f>(ERPБаза+(MAX(0,'03_Сеть'!BA18-ERPШколВБазе)+BA34)*ERPНаШколу)*'04_Доходы'!BA7</f>
        <v/>
      </c>
      <c r="BB35" s="87">
        <f>(ERPБаза+(MAX(0,'03_Сеть'!BB18-ERPШколВБазе)+BB34)*ERPНаШколу)*'04_Доходы'!BB7</f>
        <v/>
      </c>
      <c r="BC35" s="87">
        <f>(ERPБаза+(MAX(0,'03_Сеть'!BC18-ERPШколВБазе)+BC34)*ERPНаШколу)*'04_Доходы'!BC7</f>
        <v/>
      </c>
      <c r="BD35" s="87">
        <f>(ERPБаза+(MAX(0,'03_Сеть'!BD18-ERPШколВБазе)+BD34)*ERPНаШколу)*'04_Доходы'!BD7</f>
        <v/>
      </c>
      <c r="BE35" s="87">
        <f>(ERPБаза+(MAX(0,'03_Сеть'!BE18-ERPШколВБазе)+BE34)*ERPНаШколу)*'04_Доходы'!BE7</f>
        <v/>
      </c>
      <c r="BF35" s="87">
        <f>(ERPБаза+(MAX(0,'03_Сеть'!BF18-ERPШколВБазе)+BF34)*ERPНаШколу)*'04_Доходы'!BF7</f>
        <v/>
      </c>
      <c r="BG35" s="87">
        <f>(ERPБаза+(MAX(0,'03_Сеть'!BG18-ERPШколВБазе)+BG34)*ERPНаШколу)*'04_Доходы'!BG7</f>
        <v/>
      </c>
      <c r="BH35" s="87">
        <f>(ERPБаза+(MAX(0,'03_Сеть'!BH18-ERPШколВБазе)+BH34)*ERPНаШколу)*'04_Доходы'!BH7</f>
        <v/>
      </c>
      <c r="BI35" s="87">
        <f>(ERPБаза+(MAX(0,'03_Сеть'!BI18-ERPШколВБазе)+BI34)*ERPНаШколу)*'04_Доходы'!BI7</f>
        <v/>
      </c>
      <c r="BJ35" s="87">
        <f>(ERPБаза+(MAX(0,'03_Сеть'!BJ18-ERPШколВБазе)+BJ34)*ERPНаШколу)*'04_Доходы'!BJ7</f>
        <v/>
      </c>
      <c r="BK35" s="87">
        <f>(ERPБаза+(MAX(0,'03_Сеть'!BK18-ERPШколВБазе)+BK34)*ERPНаШколу)*'04_Доходы'!BK7</f>
        <v/>
      </c>
      <c r="BL35" s="87">
        <f>(ERPБаза+(MAX(0,'03_Сеть'!BL18-ERPШколВБазе)+BL34)*ERPНаШколу)*'04_Доходы'!BL7</f>
        <v/>
      </c>
      <c r="BM35" s="87">
        <f>(ERPБаза+(MAX(0,'03_Сеть'!BM18-ERPШколВБазе)+BM34)*ERPНаШколу)*'04_Доходы'!BM7</f>
        <v/>
      </c>
      <c r="BN35" s="87">
        <f>(ERPБаза+(MAX(0,'03_Сеть'!BN18-ERPШколВБазе)+BN34)*ERPНаШколу)*'04_Доходы'!BN7</f>
        <v/>
      </c>
      <c r="BO35" s="87">
        <f>(ERPБаза+(MAX(0,'03_Сеть'!BO18-ERPШколВБазе)+BO34)*ERPНаШколу)*'04_Доходы'!BO7</f>
        <v/>
      </c>
      <c r="BP35" s="87">
        <f>(ERPБаза+(MAX(0,'03_Сеть'!BP18-ERPШколВБазе)+BP34)*ERPНаШколу)*'04_Доходы'!BP7</f>
        <v/>
      </c>
      <c r="BQ35" s="87">
        <f>(ERPБаза+(MAX(0,'03_Сеть'!BQ18-ERPШколВБазе)+BQ34)*ERPНаШколу)*'04_Доходы'!BQ7</f>
        <v/>
      </c>
      <c r="BR35" s="87">
        <f>(ERPБаза+(MAX(0,'03_Сеть'!BR18-ERPШколВБазе)+BR34)*ERPНаШколу)*'04_Доходы'!BR7</f>
        <v/>
      </c>
      <c r="BS35" s="87">
        <f>(ERPБаза+(MAX(0,'03_Сеть'!BS18-ERPШколВБазе)+BS34)*ERPНаШколу)*'04_Доходы'!BS7</f>
        <v/>
      </c>
      <c r="BT35" s="87">
        <f>(ERPБаза+(MAX(0,'03_Сеть'!BT18-ERPШколВБазе)+BT34)*ERPНаШколу)*'04_Доходы'!BT7</f>
        <v/>
      </c>
      <c r="BU35" s="87">
        <f>(ERPБаза+(MAX(0,'03_Сеть'!BU18-ERPШколВБазе)+BU34)*ERPНаШколу)*'04_Доходы'!BU7</f>
        <v/>
      </c>
      <c r="BV35" s="87">
        <f>(ERPБаза+(MAX(0,'03_Сеть'!BV18-ERPШколВБазе)+BV34)*ERPНаШколу)*'04_Доходы'!BV7</f>
        <v/>
      </c>
      <c r="BW35" s="87">
        <f>(ERPБаза+(MAX(0,'03_Сеть'!BW18-ERPШколВБазе)+BW34)*ERPНаШколу)*'04_Доходы'!BW7</f>
        <v/>
      </c>
      <c r="BX35" s="87">
        <f>(ERPБаза+(MAX(0,'03_Сеть'!BX18-ERPШколВБазе)+BX34)*ERPНаШколу)*'04_Доходы'!BX7</f>
        <v/>
      </c>
      <c r="BY35" s="87">
        <f>(ERPБаза+(MAX(0,'03_Сеть'!BY18-ERPШколВБазе)+BY34)*ERPНаШколу)*'04_Доходы'!BY7</f>
        <v/>
      </c>
    </row>
    <row r="36" ht="15.75" customHeight="1" s="194">
      <c r="B36" s="56" t="inlineStr">
        <is>
          <t>Офис, аренда, уборка, парковка</t>
        </is>
      </c>
      <c r="C36" s="56" t="inlineStr">
        <is>
          <t>₽</t>
        </is>
      </c>
      <c r="D36" s="57" t="inlineStr">
        <is>
          <t>До фактического переезда не меняется</t>
        </is>
      </c>
      <c r="E36" s="85">
        <f>SUM(L36:W36)</f>
        <v/>
      </c>
      <c r="F36" s="85">
        <f>SUM(X36:AI36)</f>
        <v/>
      </c>
      <c r="G36" s="85">
        <f>SUM(AJ36:AU36)</f>
        <v/>
      </c>
      <c r="H36" s="85">
        <f>SUM(AV36:BG36)</f>
        <v/>
      </c>
      <c r="I36" s="85">
        <f>SUM(BH36:BS36)</f>
        <v/>
      </c>
      <c r="J36" s="86">
        <f>SUM(L36:BS36)</f>
        <v/>
      </c>
      <c r="L36" s="87">
        <f>Офис</f>
        <v/>
      </c>
      <c r="M36" s="87">
        <f>Офис</f>
        <v/>
      </c>
      <c r="N36" s="87">
        <f>Офис</f>
        <v/>
      </c>
      <c r="O36" s="87">
        <f>Офис</f>
        <v/>
      </c>
      <c r="P36" s="87">
        <f>Офис</f>
        <v/>
      </c>
      <c r="Q36" s="87">
        <f>Офис</f>
        <v/>
      </c>
      <c r="R36" s="87">
        <f>Офис</f>
        <v/>
      </c>
      <c r="S36" s="87">
        <f>Офис</f>
        <v/>
      </c>
      <c r="T36" s="87">
        <f>Офис</f>
        <v/>
      </c>
      <c r="U36" s="87">
        <f>Офис</f>
        <v/>
      </c>
      <c r="V36" s="87">
        <f>Офис</f>
        <v/>
      </c>
      <c r="W36" s="87">
        <f>Офис</f>
        <v/>
      </c>
      <c r="X36" s="87">
        <f>Офис</f>
        <v/>
      </c>
      <c r="Y36" s="87">
        <f>Офис</f>
        <v/>
      </c>
      <c r="Z36" s="87">
        <f>Офис</f>
        <v/>
      </c>
      <c r="AA36" s="87">
        <f>Офис</f>
        <v/>
      </c>
      <c r="AB36" s="87">
        <f>Офис</f>
        <v/>
      </c>
      <c r="AC36" s="87">
        <f>Офис</f>
        <v/>
      </c>
      <c r="AD36" s="87">
        <f>Офис</f>
        <v/>
      </c>
      <c r="AE36" s="87">
        <f>Офис</f>
        <v/>
      </c>
      <c r="AF36" s="87">
        <f>Офис</f>
        <v/>
      </c>
      <c r="AG36" s="87">
        <f>Офис</f>
        <v/>
      </c>
      <c r="AH36" s="87">
        <f>Офис</f>
        <v/>
      </c>
      <c r="AI36" s="87">
        <f>Офис</f>
        <v/>
      </c>
      <c r="AJ36" s="87">
        <f>Офис</f>
        <v/>
      </c>
      <c r="AK36" s="87">
        <f>Офис</f>
        <v/>
      </c>
      <c r="AL36" s="87">
        <f>Офис</f>
        <v/>
      </c>
      <c r="AM36" s="87">
        <f>Офис</f>
        <v/>
      </c>
      <c r="AN36" s="87">
        <f>Офис</f>
        <v/>
      </c>
      <c r="AO36" s="87">
        <f>Офис</f>
        <v/>
      </c>
      <c r="AP36" s="87">
        <f>Офис</f>
        <v/>
      </c>
      <c r="AQ36" s="87">
        <f>Офис</f>
        <v/>
      </c>
      <c r="AR36" s="87">
        <f>Офис</f>
        <v/>
      </c>
      <c r="AS36" s="87">
        <f>Офис</f>
        <v/>
      </c>
      <c r="AT36" s="87">
        <f>Офис</f>
        <v/>
      </c>
      <c r="AU36" s="87">
        <f>Офис</f>
        <v/>
      </c>
      <c r="AV36" s="87">
        <f>Офис</f>
        <v/>
      </c>
      <c r="AW36" s="87">
        <f>Офис</f>
        <v/>
      </c>
      <c r="AX36" s="87">
        <f>Офис</f>
        <v/>
      </c>
      <c r="AY36" s="87">
        <f>Офис</f>
        <v/>
      </c>
      <c r="AZ36" s="87">
        <f>Офис</f>
        <v/>
      </c>
      <c r="BA36" s="87">
        <f>Офис</f>
        <v/>
      </c>
      <c r="BB36" s="87">
        <f>Офис</f>
        <v/>
      </c>
      <c r="BC36" s="87">
        <f>Офис</f>
        <v/>
      </c>
      <c r="BD36" s="87">
        <f>Офис</f>
        <v/>
      </c>
      <c r="BE36" s="87">
        <f>Офис</f>
        <v/>
      </c>
      <c r="BF36" s="87">
        <f>Офис</f>
        <v/>
      </c>
      <c r="BG36" s="87">
        <f>Офис</f>
        <v/>
      </c>
      <c r="BH36" s="87">
        <f>Офис</f>
        <v/>
      </c>
      <c r="BI36" s="87">
        <f>Офис</f>
        <v/>
      </c>
      <c r="BJ36" s="87">
        <f>Офис</f>
        <v/>
      </c>
      <c r="BK36" s="87">
        <f>Офис</f>
        <v/>
      </c>
      <c r="BL36" s="87">
        <f>Офис</f>
        <v/>
      </c>
      <c r="BM36" s="87">
        <f>Офис</f>
        <v/>
      </c>
      <c r="BN36" s="87">
        <f>Офис</f>
        <v/>
      </c>
      <c r="BO36" s="87">
        <f>Офис</f>
        <v/>
      </c>
      <c r="BP36" s="87">
        <f>Офис</f>
        <v/>
      </c>
      <c r="BQ36" s="87">
        <f>Офис</f>
        <v/>
      </c>
      <c r="BR36" s="87">
        <f>Офис</f>
        <v/>
      </c>
      <c r="BS36" s="87">
        <f>Офис</f>
        <v/>
      </c>
      <c r="BT36" s="87">
        <f>Офис</f>
        <v/>
      </c>
      <c r="BU36" s="87">
        <f>Офис</f>
        <v/>
      </c>
      <c r="BV36" s="87">
        <f>Офис</f>
        <v/>
      </c>
      <c r="BW36" s="87">
        <f>Офис</f>
        <v/>
      </c>
      <c r="BX36" s="87">
        <f>Офис</f>
        <v/>
      </c>
      <c r="BY36" s="87">
        <f>Офис</f>
        <v/>
      </c>
    </row>
    <row r="37" ht="15.75" customHeight="1" s="194">
      <c r="B37" s="56" t="inlineStr">
        <is>
          <t>Юристы, аудит, бухгалтерия</t>
        </is>
      </c>
      <c r="C37" s="56" t="inlineStr">
        <is>
          <t>₽</t>
        </is>
      </c>
      <c r="D37" s="57" t="n"/>
      <c r="E37" s="85">
        <f>SUM(L37:W37)</f>
        <v/>
      </c>
      <c r="F37" s="85">
        <f>SUM(X37:AI37)</f>
        <v/>
      </c>
      <c r="G37" s="85">
        <f>SUM(AJ37:AU37)</f>
        <v/>
      </c>
      <c r="H37" s="85">
        <f>SUM(AV37:BG37)</f>
        <v/>
      </c>
      <c r="I37" s="85">
        <f>SUM(BH37:BS37)</f>
        <v/>
      </c>
      <c r="J37" s="86">
        <f>SUM(L37:BS37)</f>
        <v/>
      </c>
      <c r="L37" s="87">
        <f>Юристы*'04_Доходы'!L7</f>
        <v/>
      </c>
      <c r="M37" s="87">
        <f>Юристы*'04_Доходы'!M7</f>
        <v/>
      </c>
      <c r="N37" s="87">
        <f>Юристы*'04_Доходы'!N7</f>
        <v/>
      </c>
      <c r="O37" s="87">
        <f>Юристы*'04_Доходы'!O7</f>
        <v/>
      </c>
      <c r="P37" s="87">
        <f>Юристы*'04_Доходы'!P7</f>
        <v/>
      </c>
      <c r="Q37" s="87">
        <f>Юристы*'04_Доходы'!Q7</f>
        <v/>
      </c>
      <c r="R37" s="87">
        <f>Юристы*'04_Доходы'!R7</f>
        <v/>
      </c>
      <c r="S37" s="87">
        <f>Юристы*'04_Доходы'!S7</f>
        <v/>
      </c>
      <c r="T37" s="87">
        <f>Юристы*'04_Доходы'!T7</f>
        <v/>
      </c>
      <c r="U37" s="87">
        <f>Юристы*'04_Доходы'!U7</f>
        <v/>
      </c>
      <c r="V37" s="87">
        <f>Юристы*'04_Доходы'!V7</f>
        <v/>
      </c>
      <c r="W37" s="87">
        <f>Юристы*'04_Доходы'!W7</f>
        <v/>
      </c>
      <c r="X37" s="87">
        <f>Юристы*'04_Доходы'!X7</f>
        <v/>
      </c>
      <c r="Y37" s="87">
        <f>Юристы*'04_Доходы'!Y7</f>
        <v/>
      </c>
      <c r="Z37" s="87">
        <f>Юристы*'04_Доходы'!Z7</f>
        <v/>
      </c>
      <c r="AA37" s="87">
        <f>Юристы*'04_Доходы'!AA7</f>
        <v/>
      </c>
      <c r="AB37" s="87">
        <f>Юристы*'04_Доходы'!AB7</f>
        <v/>
      </c>
      <c r="AC37" s="87">
        <f>Юристы*'04_Доходы'!AC7</f>
        <v/>
      </c>
      <c r="AD37" s="87">
        <f>Юристы*'04_Доходы'!AD7</f>
        <v/>
      </c>
      <c r="AE37" s="87">
        <f>Юристы*'04_Доходы'!AE7</f>
        <v/>
      </c>
      <c r="AF37" s="87">
        <f>Юристы*'04_Доходы'!AF7</f>
        <v/>
      </c>
      <c r="AG37" s="87">
        <f>Юристы*'04_Доходы'!AG7</f>
        <v/>
      </c>
      <c r="AH37" s="87">
        <f>Юристы*'04_Доходы'!AH7</f>
        <v/>
      </c>
      <c r="AI37" s="87">
        <f>Юристы*'04_Доходы'!AI7</f>
        <v/>
      </c>
      <c r="AJ37" s="87">
        <f>Юристы*'04_Доходы'!AJ7</f>
        <v/>
      </c>
      <c r="AK37" s="87">
        <f>Юристы*'04_Доходы'!AK7</f>
        <v/>
      </c>
      <c r="AL37" s="87">
        <f>Юристы*'04_Доходы'!AL7</f>
        <v/>
      </c>
      <c r="AM37" s="87">
        <f>Юристы*'04_Доходы'!AM7</f>
        <v/>
      </c>
      <c r="AN37" s="87">
        <f>Юристы*'04_Доходы'!AN7</f>
        <v/>
      </c>
      <c r="AO37" s="87">
        <f>Юристы*'04_Доходы'!AO7</f>
        <v/>
      </c>
      <c r="AP37" s="87">
        <f>Юристы*'04_Доходы'!AP7</f>
        <v/>
      </c>
      <c r="AQ37" s="87">
        <f>Юристы*'04_Доходы'!AQ7</f>
        <v/>
      </c>
      <c r="AR37" s="87">
        <f>Юристы*'04_Доходы'!AR7</f>
        <v/>
      </c>
      <c r="AS37" s="87">
        <f>Юристы*'04_Доходы'!AS7</f>
        <v/>
      </c>
      <c r="AT37" s="87">
        <f>Юристы*'04_Доходы'!AT7</f>
        <v/>
      </c>
      <c r="AU37" s="87">
        <f>Юристы*'04_Доходы'!AU7</f>
        <v/>
      </c>
      <c r="AV37" s="87">
        <f>Юристы*'04_Доходы'!AV7</f>
        <v/>
      </c>
      <c r="AW37" s="87">
        <f>Юристы*'04_Доходы'!AW7</f>
        <v/>
      </c>
      <c r="AX37" s="87">
        <f>Юристы*'04_Доходы'!AX7</f>
        <v/>
      </c>
      <c r="AY37" s="87">
        <f>Юристы*'04_Доходы'!AY7</f>
        <v/>
      </c>
      <c r="AZ37" s="87">
        <f>Юристы*'04_Доходы'!AZ7</f>
        <v/>
      </c>
      <c r="BA37" s="87">
        <f>Юристы*'04_Доходы'!BA7</f>
        <v/>
      </c>
      <c r="BB37" s="87">
        <f>Юристы*'04_Доходы'!BB7</f>
        <v/>
      </c>
      <c r="BC37" s="87">
        <f>Юристы*'04_Доходы'!BC7</f>
        <v/>
      </c>
      <c r="BD37" s="87">
        <f>Юристы*'04_Доходы'!BD7</f>
        <v/>
      </c>
      <c r="BE37" s="87">
        <f>Юристы*'04_Доходы'!BE7</f>
        <v/>
      </c>
      <c r="BF37" s="87">
        <f>Юристы*'04_Доходы'!BF7</f>
        <v/>
      </c>
      <c r="BG37" s="87">
        <f>Юристы*'04_Доходы'!BG7</f>
        <v/>
      </c>
      <c r="BH37" s="87">
        <f>Юристы*'04_Доходы'!BH7</f>
        <v/>
      </c>
      <c r="BI37" s="87">
        <f>Юристы*'04_Доходы'!BI7</f>
        <v/>
      </c>
      <c r="BJ37" s="87">
        <f>Юристы*'04_Доходы'!BJ7</f>
        <v/>
      </c>
      <c r="BK37" s="87">
        <f>Юристы*'04_Доходы'!BK7</f>
        <v/>
      </c>
      <c r="BL37" s="87">
        <f>Юристы*'04_Доходы'!BL7</f>
        <v/>
      </c>
      <c r="BM37" s="87">
        <f>Юристы*'04_Доходы'!BM7</f>
        <v/>
      </c>
      <c r="BN37" s="87">
        <f>Юристы*'04_Доходы'!BN7</f>
        <v/>
      </c>
      <c r="BO37" s="87">
        <f>Юристы*'04_Доходы'!BO7</f>
        <v/>
      </c>
      <c r="BP37" s="87">
        <f>Юристы*'04_Доходы'!BP7</f>
        <v/>
      </c>
      <c r="BQ37" s="87">
        <f>Юристы*'04_Доходы'!BQ7</f>
        <v/>
      </c>
      <c r="BR37" s="87">
        <f>Юристы*'04_Доходы'!BR7</f>
        <v/>
      </c>
      <c r="BS37" s="87">
        <f>Юристы*'04_Доходы'!BS7</f>
        <v/>
      </c>
      <c r="BT37" s="87">
        <f>Юристы*'04_Доходы'!BT7</f>
        <v/>
      </c>
      <c r="BU37" s="87">
        <f>Юристы*'04_Доходы'!BU7</f>
        <v/>
      </c>
      <c r="BV37" s="87">
        <f>Юристы*'04_Доходы'!BV7</f>
        <v/>
      </c>
      <c r="BW37" s="87">
        <f>Юристы*'04_Доходы'!BW7</f>
        <v/>
      </c>
      <c r="BX37" s="87">
        <f>Юристы*'04_Доходы'!BX7</f>
        <v/>
      </c>
      <c r="BY37" s="87">
        <f>Юристы*'04_Доходы'!BY7</f>
        <v/>
      </c>
    </row>
    <row r="38" ht="15.75" customHeight="1" s="194">
      <c r="B38" s="56" t="inlineStr">
        <is>
          <t>Прочие IT</t>
        </is>
      </c>
      <c r="C38" s="56" t="inlineStr">
        <is>
          <t>₽</t>
        </is>
      </c>
      <c r="D38" s="57" t="n"/>
      <c r="E38" s="85">
        <f>SUM(L38:W38)</f>
        <v/>
      </c>
      <c r="F38" s="85">
        <f>SUM(X38:AI38)</f>
        <v/>
      </c>
      <c r="G38" s="85">
        <f>SUM(AJ38:AU38)</f>
        <v/>
      </c>
      <c r="H38" s="85">
        <f>SUM(AV38:BG38)</f>
        <v/>
      </c>
      <c r="I38" s="85">
        <f>SUM(BH38:BS38)</f>
        <v/>
      </c>
      <c r="J38" s="86">
        <f>SUM(L38:BS38)</f>
        <v/>
      </c>
      <c r="L38" s="87">
        <f>ПрочиеIT*'04_Доходы'!L7</f>
        <v/>
      </c>
      <c r="M38" s="87">
        <f>ПрочиеIT*'04_Доходы'!M7</f>
        <v/>
      </c>
      <c r="N38" s="87">
        <f>ПрочиеIT*'04_Доходы'!N7</f>
        <v/>
      </c>
      <c r="O38" s="87">
        <f>ПрочиеIT*'04_Доходы'!O7</f>
        <v/>
      </c>
      <c r="P38" s="87">
        <f>ПрочиеIT*'04_Доходы'!P7</f>
        <v/>
      </c>
      <c r="Q38" s="87">
        <f>ПрочиеIT*'04_Доходы'!Q7</f>
        <v/>
      </c>
      <c r="R38" s="87">
        <f>ПрочиеIT*'04_Доходы'!R7</f>
        <v/>
      </c>
      <c r="S38" s="87">
        <f>ПрочиеIT*'04_Доходы'!S7</f>
        <v/>
      </c>
      <c r="T38" s="87">
        <f>ПрочиеIT*'04_Доходы'!T7</f>
        <v/>
      </c>
      <c r="U38" s="87">
        <f>ПрочиеIT*'04_Доходы'!U7</f>
        <v/>
      </c>
      <c r="V38" s="87">
        <f>ПрочиеIT*'04_Доходы'!V7</f>
        <v/>
      </c>
      <c r="W38" s="87">
        <f>ПрочиеIT*'04_Доходы'!W7</f>
        <v/>
      </c>
      <c r="X38" s="87">
        <f>ПрочиеIT*'04_Доходы'!X7</f>
        <v/>
      </c>
      <c r="Y38" s="87">
        <f>ПрочиеIT*'04_Доходы'!Y7</f>
        <v/>
      </c>
      <c r="Z38" s="87">
        <f>ПрочиеIT*'04_Доходы'!Z7</f>
        <v/>
      </c>
      <c r="AA38" s="87">
        <f>ПрочиеIT*'04_Доходы'!AA7</f>
        <v/>
      </c>
      <c r="AB38" s="87">
        <f>ПрочиеIT*'04_Доходы'!AB7</f>
        <v/>
      </c>
      <c r="AC38" s="87">
        <f>ПрочиеIT*'04_Доходы'!AC7</f>
        <v/>
      </c>
      <c r="AD38" s="87">
        <f>ПрочиеIT*'04_Доходы'!AD7</f>
        <v/>
      </c>
      <c r="AE38" s="87">
        <f>ПрочиеIT*'04_Доходы'!AE7</f>
        <v/>
      </c>
      <c r="AF38" s="87">
        <f>ПрочиеIT*'04_Доходы'!AF7</f>
        <v/>
      </c>
      <c r="AG38" s="87">
        <f>ПрочиеIT*'04_Доходы'!AG7</f>
        <v/>
      </c>
      <c r="AH38" s="87">
        <f>ПрочиеIT*'04_Доходы'!AH7</f>
        <v/>
      </c>
      <c r="AI38" s="87">
        <f>ПрочиеIT*'04_Доходы'!AI7</f>
        <v/>
      </c>
      <c r="AJ38" s="87">
        <f>ПрочиеIT*'04_Доходы'!AJ7</f>
        <v/>
      </c>
      <c r="AK38" s="87">
        <f>ПрочиеIT*'04_Доходы'!AK7</f>
        <v/>
      </c>
      <c r="AL38" s="87">
        <f>ПрочиеIT*'04_Доходы'!AL7</f>
        <v/>
      </c>
      <c r="AM38" s="87">
        <f>ПрочиеIT*'04_Доходы'!AM7</f>
        <v/>
      </c>
      <c r="AN38" s="87">
        <f>ПрочиеIT*'04_Доходы'!AN7</f>
        <v/>
      </c>
      <c r="AO38" s="87">
        <f>ПрочиеIT*'04_Доходы'!AO7</f>
        <v/>
      </c>
      <c r="AP38" s="87">
        <f>ПрочиеIT*'04_Доходы'!AP7</f>
        <v/>
      </c>
      <c r="AQ38" s="87">
        <f>ПрочиеIT*'04_Доходы'!AQ7</f>
        <v/>
      </c>
      <c r="AR38" s="87">
        <f>ПрочиеIT*'04_Доходы'!AR7</f>
        <v/>
      </c>
      <c r="AS38" s="87">
        <f>ПрочиеIT*'04_Доходы'!AS7</f>
        <v/>
      </c>
      <c r="AT38" s="87">
        <f>ПрочиеIT*'04_Доходы'!AT7</f>
        <v/>
      </c>
      <c r="AU38" s="87">
        <f>ПрочиеIT*'04_Доходы'!AU7</f>
        <v/>
      </c>
      <c r="AV38" s="87">
        <f>ПрочиеIT*'04_Доходы'!AV7</f>
        <v/>
      </c>
      <c r="AW38" s="87">
        <f>ПрочиеIT*'04_Доходы'!AW7</f>
        <v/>
      </c>
      <c r="AX38" s="87">
        <f>ПрочиеIT*'04_Доходы'!AX7</f>
        <v/>
      </c>
      <c r="AY38" s="87">
        <f>ПрочиеIT*'04_Доходы'!AY7</f>
        <v/>
      </c>
      <c r="AZ38" s="87">
        <f>ПрочиеIT*'04_Доходы'!AZ7</f>
        <v/>
      </c>
      <c r="BA38" s="87">
        <f>ПрочиеIT*'04_Доходы'!BA7</f>
        <v/>
      </c>
      <c r="BB38" s="87">
        <f>ПрочиеIT*'04_Доходы'!BB7</f>
        <v/>
      </c>
      <c r="BC38" s="87">
        <f>ПрочиеIT*'04_Доходы'!BC7</f>
        <v/>
      </c>
      <c r="BD38" s="87">
        <f>ПрочиеIT*'04_Доходы'!BD7</f>
        <v/>
      </c>
      <c r="BE38" s="87">
        <f>ПрочиеIT*'04_Доходы'!BE7</f>
        <v/>
      </c>
      <c r="BF38" s="87">
        <f>ПрочиеIT*'04_Доходы'!BF7</f>
        <v/>
      </c>
      <c r="BG38" s="87">
        <f>ПрочиеIT*'04_Доходы'!BG7</f>
        <v/>
      </c>
      <c r="BH38" s="87">
        <f>ПрочиеIT*'04_Доходы'!BH7</f>
        <v/>
      </c>
      <c r="BI38" s="87">
        <f>ПрочиеIT*'04_Доходы'!BI7</f>
        <v/>
      </c>
      <c r="BJ38" s="87">
        <f>ПрочиеIT*'04_Доходы'!BJ7</f>
        <v/>
      </c>
      <c r="BK38" s="87">
        <f>ПрочиеIT*'04_Доходы'!BK7</f>
        <v/>
      </c>
      <c r="BL38" s="87">
        <f>ПрочиеIT*'04_Доходы'!BL7</f>
        <v/>
      </c>
      <c r="BM38" s="87">
        <f>ПрочиеIT*'04_Доходы'!BM7</f>
        <v/>
      </c>
      <c r="BN38" s="87">
        <f>ПрочиеIT*'04_Доходы'!BN7</f>
        <v/>
      </c>
      <c r="BO38" s="87">
        <f>ПрочиеIT*'04_Доходы'!BO7</f>
        <v/>
      </c>
      <c r="BP38" s="87">
        <f>ПрочиеIT*'04_Доходы'!BP7</f>
        <v/>
      </c>
      <c r="BQ38" s="87">
        <f>ПрочиеIT*'04_Доходы'!BQ7</f>
        <v/>
      </c>
      <c r="BR38" s="87">
        <f>ПрочиеIT*'04_Доходы'!BR7</f>
        <v/>
      </c>
      <c r="BS38" s="87">
        <f>ПрочиеIT*'04_Доходы'!BS7</f>
        <v/>
      </c>
      <c r="BT38" s="87">
        <f>ПрочиеIT*'04_Доходы'!BT7</f>
        <v/>
      </c>
      <c r="BU38" s="87">
        <f>ПрочиеIT*'04_Доходы'!BU7</f>
        <v/>
      </c>
      <c r="BV38" s="87">
        <f>ПрочиеIT*'04_Доходы'!BV7</f>
        <v/>
      </c>
      <c r="BW38" s="87">
        <f>ПрочиеIT*'04_Доходы'!BW7</f>
        <v/>
      </c>
      <c r="BX38" s="87">
        <f>ПрочиеIT*'04_Доходы'!BX7</f>
        <v/>
      </c>
      <c r="BY38" s="87">
        <f>ПрочиеIT*'04_Доходы'!BY7</f>
        <v/>
      </c>
    </row>
    <row r="39" ht="15.75" customHeight="1" s="194">
      <c r="B39" s="56" t="inlineStr">
        <is>
          <t>SMM и подрядчики</t>
        </is>
      </c>
      <c r="C39" s="56" t="inlineStr">
        <is>
          <t>₽</t>
        </is>
      </c>
      <c r="D39" s="57" t="inlineStr">
        <is>
          <t>После выхода штатного SMM тариф подрядчиков меняется</t>
        </is>
      </c>
      <c r="E39" s="85">
        <f>SUM(L39:W39)</f>
        <v/>
      </c>
      <c r="F39" s="85">
        <f>SUM(X39:AI39)</f>
        <v/>
      </c>
      <c r="G39" s="85">
        <f>SUM(AJ39:AU39)</f>
        <v/>
      </c>
      <c r="H39" s="85">
        <f>SUM(AV39:BG39)</f>
        <v/>
      </c>
      <c r="I39" s="85">
        <f>SUM(BH39:BS39)</f>
        <v/>
      </c>
      <c r="J39" s="86">
        <f>SUM(L39:BS39)</f>
        <v/>
      </c>
      <c r="L39" s="87">
        <f>'07_Тарифы'!B$13</f>
        <v/>
      </c>
      <c r="M39" s="87">
        <f>'07_Тарифы'!C$13</f>
        <v/>
      </c>
      <c r="N39" s="87">
        <f>'07_Тарифы'!D$13</f>
        <v/>
      </c>
      <c r="O39" s="87">
        <f>'07_Тарифы'!E$13</f>
        <v/>
      </c>
      <c r="P39" s="87">
        <f>'07_Тарифы'!F$13</f>
        <v/>
      </c>
      <c r="Q39" s="87">
        <f>'07_Тарифы'!G$13</f>
        <v/>
      </c>
      <c r="R39" s="87">
        <f>'07_Тарифы'!H$13</f>
        <v/>
      </c>
      <c r="S39" s="87">
        <f>'07_Тарифы'!I$13</f>
        <v/>
      </c>
      <c r="T39" s="87">
        <f>'07_Тарифы'!J$13</f>
        <v/>
      </c>
      <c r="U39" s="87">
        <f>'07_Тарифы'!K$13</f>
        <v/>
      </c>
      <c r="V39" s="87">
        <f>'07_Тарифы'!L$13</f>
        <v/>
      </c>
      <c r="W39" s="87">
        <f>'07_Тарифы'!M$13</f>
        <v/>
      </c>
      <c r="X39" s="87">
        <f>'07_Тарифы'!N$13</f>
        <v/>
      </c>
      <c r="Y39" s="87">
        <f>'07_Тарифы'!O$13</f>
        <v/>
      </c>
      <c r="Z39" s="87">
        <f>'07_Тарифы'!P$13</f>
        <v/>
      </c>
      <c r="AA39" s="87">
        <f>'07_Тарифы'!Q$13</f>
        <v/>
      </c>
      <c r="AB39" s="87">
        <f>'07_Тарифы'!R$13</f>
        <v/>
      </c>
      <c r="AC39" s="87">
        <f>'07_Тарифы'!S$13</f>
        <v/>
      </c>
      <c r="AD39" s="87">
        <f>'07_Тарифы'!T$13</f>
        <v/>
      </c>
      <c r="AE39" s="87">
        <f>'07_Тарифы'!U$13</f>
        <v/>
      </c>
      <c r="AF39" s="87">
        <f>'07_Тарифы'!V$13</f>
        <v/>
      </c>
      <c r="AG39" s="87">
        <f>'07_Тарифы'!W$13</f>
        <v/>
      </c>
      <c r="AH39" s="87">
        <f>'07_Тарифы'!X$13</f>
        <v/>
      </c>
      <c r="AI39" s="87">
        <f>'07_Тарифы'!Y$13</f>
        <v/>
      </c>
      <c r="AJ39" s="87">
        <f>'07_Тарифы'!Z$13</f>
        <v/>
      </c>
      <c r="AK39" s="87">
        <f>'07_Тарифы'!AA$13</f>
        <v/>
      </c>
      <c r="AL39" s="87">
        <f>'07_Тарифы'!AB$13</f>
        <v/>
      </c>
      <c r="AM39" s="87">
        <f>'07_Тарифы'!AC$13</f>
        <v/>
      </c>
      <c r="AN39" s="87">
        <f>'07_Тарифы'!AD$13</f>
        <v/>
      </c>
      <c r="AO39" s="87">
        <f>'07_Тарифы'!AE$13</f>
        <v/>
      </c>
      <c r="AP39" s="87">
        <f>'07_Тарифы'!AF$13</f>
        <v/>
      </c>
      <c r="AQ39" s="87">
        <f>'07_Тарифы'!AG$13</f>
        <v/>
      </c>
      <c r="AR39" s="87">
        <f>'07_Тарифы'!AH$13</f>
        <v/>
      </c>
      <c r="AS39" s="87">
        <f>'07_Тарифы'!AI$13</f>
        <v/>
      </c>
      <c r="AT39" s="87">
        <f>'07_Тарифы'!AJ$13</f>
        <v/>
      </c>
      <c r="AU39" s="87">
        <f>'07_Тарифы'!AK$13</f>
        <v/>
      </c>
      <c r="AV39" s="87">
        <f>'07_Тарифы'!AL$13</f>
        <v/>
      </c>
      <c r="AW39" s="87">
        <f>'07_Тарифы'!AM$13</f>
        <v/>
      </c>
      <c r="AX39" s="87">
        <f>'07_Тарифы'!AN$13</f>
        <v/>
      </c>
      <c r="AY39" s="87">
        <f>'07_Тарифы'!AO$13</f>
        <v/>
      </c>
      <c r="AZ39" s="87">
        <f>'07_Тарифы'!AP$13</f>
        <v/>
      </c>
      <c r="BA39" s="87">
        <f>'07_Тарифы'!AQ$13</f>
        <v/>
      </c>
      <c r="BB39" s="87">
        <f>'07_Тарифы'!AR$13</f>
        <v/>
      </c>
      <c r="BC39" s="87">
        <f>'07_Тарифы'!AS$13</f>
        <v/>
      </c>
      <c r="BD39" s="87">
        <f>'07_Тарифы'!AT$13</f>
        <v/>
      </c>
      <c r="BE39" s="87">
        <f>'07_Тарифы'!AU$13</f>
        <v/>
      </c>
      <c r="BF39" s="87">
        <f>'07_Тарифы'!AV$13</f>
        <v/>
      </c>
      <c r="BG39" s="87">
        <f>'07_Тарифы'!AW$13</f>
        <v/>
      </c>
      <c r="BH39" s="87">
        <f>'07_Тарифы'!AX$13</f>
        <v/>
      </c>
      <c r="BI39" s="87">
        <f>'07_Тарифы'!AY$13</f>
        <v/>
      </c>
      <c r="BJ39" s="87">
        <f>'07_Тарифы'!AZ$13</f>
        <v/>
      </c>
      <c r="BK39" s="87">
        <f>'07_Тарифы'!BA$13</f>
        <v/>
      </c>
      <c r="BL39" s="87">
        <f>'07_Тарифы'!BB$13</f>
        <v/>
      </c>
      <c r="BM39" s="87">
        <f>'07_Тарифы'!BC$13</f>
        <v/>
      </c>
      <c r="BN39" s="87">
        <f>'07_Тарифы'!BD$13</f>
        <v/>
      </c>
      <c r="BO39" s="87">
        <f>'07_Тарифы'!BE$13</f>
        <v/>
      </c>
      <c r="BP39" s="87">
        <f>'07_Тарифы'!BF$13</f>
        <v/>
      </c>
      <c r="BQ39" s="87">
        <f>'07_Тарифы'!BG$13</f>
        <v/>
      </c>
      <c r="BR39" s="87">
        <f>'07_Тарифы'!BH$13</f>
        <v/>
      </c>
      <c r="BS39" s="87">
        <f>'07_Тарифы'!BI$13</f>
        <v/>
      </c>
      <c r="BT39" s="87">
        <f>'07_Тарифы'!BJ$13</f>
        <v/>
      </c>
      <c r="BU39" s="87">
        <f>'07_Тарифы'!BK$13</f>
        <v/>
      </c>
      <c r="BV39" s="87">
        <f>'07_Тарифы'!BL$13</f>
        <v/>
      </c>
      <c r="BW39" s="87">
        <f>'07_Тарифы'!BM$13</f>
        <v/>
      </c>
      <c r="BX39" s="87">
        <f>'07_Тарифы'!BN$13</f>
        <v/>
      </c>
      <c r="BY39" s="87">
        <f>'07_Тарифы'!BO$13</f>
        <v/>
      </c>
    </row>
    <row r="40" ht="15.75" customHeight="1" s="194">
      <c r="B40" s="56" t="inlineStr">
        <is>
          <t>Месяц оплаты рекламы за эти продажи</t>
        </is>
      </c>
      <c r="C40" s="56" t="inlineStr">
        <is>
          <t>дата</t>
        </is>
      </c>
      <c r="D40" s="57" t="inlineStr">
        <is>
          <t>Обычно за два месяца до продажи; для октября 2026 — за один В колонках лет — значение на конец года, в «Итого» — на конец пятого года. Это остаток, а не сумма.</t>
        </is>
      </c>
      <c r="E40" s="183">
        <f>W40</f>
        <v/>
      </c>
      <c r="F40" s="183">
        <f>AI40</f>
        <v/>
      </c>
      <c r="G40" s="183">
        <f>AU40</f>
        <v/>
      </c>
      <c r="H40" s="183">
        <f>BG40</f>
        <v/>
      </c>
      <c r="I40" s="183">
        <f>BS40</f>
        <v/>
      </c>
      <c r="J40" s="184">
        <f>BS40</f>
        <v/>
      </c>
      <c r="L40" s="60">
        <f>DATE(YEAR('03_Сеть'!L7),MONTH('03_Сеть'!L7)-IF('03_Сеть'!L7=ДатаОсобогоЛага,ОсобыйЛаг,ЛагТаргета),1)</f>
        <v/>
      </c>
      <c r="M40" s="60">
        <f>DATE(YEAR('03_Сеть'!M7),MONTH('03_Сеть'!M7)-IF('03_Сеть'!M7=ДатаОсобогоЛага,ОсобыйЛаг,ЛагТаргета),1)</f>
        <v/>
      </c>
      <c r="N40" s="60">
        <f>DATE(YEAR('03_Сеть'!N7),MONTH('03_Сеть'!N7)-IF('03_Сеть'!N7=ДатаОсобогоЛага,ОсобыйЛаг,ЛагТаргета),1)</f>
        <v/>
      </c>
      <c r="O40" s="60">
        <f>DATE(YEAR('03_Сеть'!O7),MONTH('03_Сеть'!O7)-IF('03_Сеть'!O7=ДатаОсобогоЛага,ОсобыйЛаг,ЛагТаргета),1)</f>
        <v/>
      </c>
      <c r="P40" s="60">
        <f>DATE(YEAR('03_Сеть'!P7),MONTH('03_Сеть'!P7)-IF('03_Сеть'!P7=ДатаОсобогоЛага,ОсобыйЛаг,ЛагТаргета),1)</f>
        <v/>
      </c>
      <c r="Q40" s="60">
        <f>DATE(YEAR('03_Сеть'!Q7),MONTH('03_Сеть'!Q7)-IF('03_Сеть'!Q7=ДатаОсобогоЛага,ОсобыйЛаг,ЛагТаргета),1)</f>
        <v/>
      </c>
      <c r="R40" s="60">
        <f>DATE(YEAR('03_Сеть'!R7),MONTH('03_Сеть'!R7)-IF('03_Сеть'!R7=ДатаОсобогоЛага,ОсобыйЛаг,ЛагТаргета),1)</f>
        <v/>
      </c>
      <c r="S40" s="60">
        <f>DATE(YEAR('03_Сеть'!S7),MONTH('03_Сеть'!S7)-IF('03_Сеть'!S7=ДатаОсобогоЛага,ОсобыйЛаг,ЛагТаргета),1)</f>
        <v/>
      </c>
      <c r="T40" s="60">
        <f>DATE(YEAR('03_Сеть'!T7),MONTH('03_Сеть'!T7)-IF('03_Сеть'!T7=ДатаОсобогоЛага,ОсобыйЛаг,ЛагТаргета),1)</f>
        <v/>
      </c>
      <c r="U40" s="60">
        <f>DATE(YEAR('03_Сеть'!U7),MONTH('03_Сеть'!U7)-IF('03_Сеть'!U7=ДатаОсобогоЛага,ОсобыйЛаг,ЛагТаргета),1)</f>
        <v/>
      </c>
      <c r="V40" s="60">
        <f>DATE(YEAR('03_Сеть'!V7),MONTH('03_Сеть'!V7)-IF('03_Сеть'!V7=ДатаОсобогоЛага,ОсобыйЛаг,ЛагТаргета),1)</f>
        <v/>
      </c>
      <c r="W40" s="60">
        <f>DATE(YEAR('03_Сеть'!W7),MONTH('03_Сеть'!W7)-IF('03_Сеть'!W7=ДатаОсобогоЛага,ОсобыйЛаг,ЛагТаргета),1)</f>
        <v/>
      </c>
      <c r="X40" s="60">
        <f>DATE(YEAR('03_Сеть'!X7),MONTH('03_Сеть'!X7)-IF('03_Сеть'!X7=ДатаОсобогоЛага,ОсобыйЛаг,ЛагТаргета),1)</f>
        <v/>
      </c>
      <c r="Y40" s="60">
        <f>DATE(YEAR('03_Сеть'!Y7),MONTH('03_Сеть'!Y7)-IF('03_Сеть'!Y7=ДатаОсобогоЛага,ОсобыйЛаг,ЛагТаргета),1)</f>
        <v/>
      </c>
      <c r="Z40" s="60">
        <f>DATE(YEAR('03_Сеть'!Z7),MONTH('03_Сеть'!Z7)-IF('03_Сеть'!Z7=ДатаОсобогоЛага,ОсобыйЛаг,ЛагТаргета),1)</f>
        <v/>
      </c>
      <c r="AA40" s="60">
        <f>DATE(YEAR('03_Сеть'!AA7),MONTH('03_Сеть'!AA7)-IF('03_Сеть'!AA7=ДатаОсобогоЛага,ОсобыйЛаг,ЛагТаргета),1)</f>
        <v/>
      </c>
      <c r="AB40" s="60">
        <f>DATE(YEAR('03_Сеть'!AB7),MONTH('03_Сеть'!AB7)-IF('03_Сеть'!AB7=ДатаОсобогоЛага,ОсобыйЛаг,ЛагТаргета),1)</f>
        <v/>
      </c>
      <c r="AC40" s="60">
        <f>DATE(YEAR('03_Сеть'!AC7),MONTH('03_Сеть'!AC7)-IF('03_Сеть'!AC7=ДатаОсобогоЛага,ОсобыйЛаг,ЛагТаргета),1)</f>
        <v/>
      </c>
      <c r="AD40" s="60">
        <f>DATE(YEAR('03_Сеть'!AD7),MONTH('03_Сеть'!AD7)-IF('03_Сеть'!AD7=ДатаОсобогоЛага,ОсобыйЛаг,ЛагТаргета),1)</f>
        <v/>
      </c>
      <c r="AE40" s="60">
        <f>DATE(YEAR('03_Сеть'!AE7),MONTH('03_Сеть'!AE7)-IF('03_Сеть'!AE7=ДатаОсобогоЛага,ОсобыйЛаг,ЛагТаргета),1)</f>
        <v/>
      </c>
      <c r="AF40" s="60">
        <f>DATE(YEAR('03_Сеть'!AF7),MONTH('03_Сеть'!AF7)-IF('03_Сеть'!AF7=ДатаОсобогоЛага,ОсобыйЛаг,ЛагТаргета),1)</f>
        <v/>
      </c>
      <c r="AG40" s="60">
        <f>DATE(YEAR('03_Сеть'!AG7),MONTH('03_Сеть'!AG7)-IF('03_Сеть'!AG7=ДатаОсобогоЛага,ОсобыйЛаг,ЛагТаргета),1)</f>
        <v/>
      </c>
      <c r="AH40" s="60">
        <f>DATE(YEAR('03_Сеть'!AH7),MONTH('03_Сеть'!AH7)-IF('03_Сеть'!AH7=ДатаОсобогоЛага,ОсобыйЛаг,ЛагТаргета),1)</f>
        <v/>
      </c>
      <c r="AI40" s="60">
        <f>DATE(YEAR('03_Сеть'!AI7),MONTH('03_Сеть'!AI7)-IF('03_Сеть'!AI7=ДатаОсобогоЛага,ОсобыйЛаг,ЛагТаргета),1)</f>
        <v/>
      </c>
      <c r="AJ40" s="60">
        <f>DATE(YEAR('03_Сеть'!AJ7),MONTH('03_Сеть'!AJ7)-IF('03_Сеть'!AJ7=ДатаОсобогоЛага,ОсобыйЛаг,ЛагТаргета),1)</f>
        <v/>
      </c>
      <c r="AK40" s="60">
        <f>DATE(YEAR('03_Сеть'!AK7),MONTH('03_Сеть'!AK7)-IF('03_Сеть'!AK7=ДатаОсобогоЛага,ОсобыйЛаг,ЛагТаргета),1)</f>
        <v/>
      </c>
      <c r="AL40" s="60">
        <f>DATE(YEAR('03_Сеть'!AL7),MONTH('03_Сеть'!AL7)-IF('03_Сеть'!AL7=ДатаОсобогоЛага,ОсобыйЛаг,ЛагТаргета),1)</f>
        <v/>
      </c>
      <c r="AM40" s="60">
        <f>DATE(YEAR('03_Сеть'!AM7),MONTH('03_Сеть'!AM7)-IF('03_Сеть'!AM7=ДатаОсобогоЛага,ОсобыйЛаг,ЛагТаргета),1)</f>
        <v/>
      </c>
      <c r="AN40" s="60">
        <f>DATE(YEAR('03_Сеть'!AN7),MONTH('03_Сеть'!AN7)-IF('03_Сеть'!AN7=ДатаОсобогоЛага,ОсобыйЛаг,ЛагТаргета),1)</f>
        <v/>
      </c>
      <c r="AO40" s="60">
        <f>DATE(YEAR('03_Сеть'!AO7),MONTH('03_Сеть'!AO7)-IF('03_Сеть'!AO7=ДатаОсобогоЛага,ОсобыйЛаг,ЛагТаргета),1)</f>
        <v/>
      </c>
      <c r="AP40" s="60">
        <f>DATE(YEAR('03_Сеть'!AP7),MONTH('03_Сеть'!AP7)-IF('03_Сеть'!AP7=ДатаОсобогоЛага,ОсобыйЛаг,ЛагТаргета),1)</f>
        <v/>
      </c>
      <c r="AQ40" s="60">
        <f>DATE(YEAR('03_Сеть'!AQ7),MONTH('03_Сеть'!AQ7)-IF('03_Сеть'!AQ7=ДатаОсобогоЛага,ОсобыйЛаг,ЛагТаргета),1)</f>
        <v/>
      </c>
      <c r="AR40" s="60">
        <f>DATE(YEAR('03_Сеть'!AR7),MONTH('03_Сеть'!AR7)-IF('03_Сеть'!AR7=ДатаОсобогоЛага,ОсобыйЛаг,ЛагТаргета),1)</f>
        <v/>
      </c>
      <c r="AS40" s="60">
        <f>DATE(YEAR('03_Сеть'!AS7),MONTH('03_Сеть'!AS7)-IF('03_Сеть'!AS7=ДатаОсобогоЛага,ОсобыйЛаг,ЛагТаргета),1)</f>
        <v/>
      </c>
      <c r="AT40" s="60">
        <f>DATE(YEAR('03_Сеть'!AT7),MONTH('03_Сеть'!AT7)-IF('03_Сеть'!AT7=ДатаОсобогоЛага,ОсобыйЛаг,ЛагТаргета),1)</f>
        <v/>
      </c>
      <c r="AU40" s="60">
        <f>DATE(YEAR('03_Сеть'!AU7),MONTH('03_Сеть'!AU7)-IF('03_Сеть'!AU7=ДатаОсобогоЛага,ОсобыйЛаг,ЛагТаргета),1)</f>
        <v/>
      </c>
      <c r="AV40" s="60">
        <f>DATE(YEAR('03_Сеть'!AV7),MONTH('03_Сеть'!AV7)-IF('03_Сеть'!AV7=ДатаОсобогоЛага,ОсобыйЛаг,ЛагТаргета),1)</f>
        <v/>
      </c>
      <c r="AW40" s="60">
        <f>DATE(YEAR('03_Сеть'!AW7),MONTH('03_Сеть'!AW7)-IF('03_Сеть'!AW7=ДатаОсобогоЛага,ОсобыйЛаг,ЛагТаргета),1)</f>
        <v/>
      </c>
      <c r="AX40" s="60">
        <f>DATE(YEAR('03_Сеть'!AX7),MONTH('03_Сеть'!AX7)-IF('03_Сеть'!AX7=ДатаОсобогоЛага,ОсобыйЛаг,ЛагТаргета),1)</f>
        <v/>
      </c>
      <c r="AY40" s="60">
        <f>DATE(YEAR('03_Сеть'!AY7),MONTH('03_Сеть'!AY7)-IF('03_Сеть'!AY7=ДатаОсобогоЛага,ОсобыйЛаг,ЛагТаргета),1)</f>
        <v/>
      </c>
      <c r="AZ40" s="60">
        <f>DATE(YEAR('03_Сеть'!AZ7),MONTH('03_Сеть'!AZ7)-IF('03_Сеть'!AZ7=ДатаОсобогоЛага,ОсобыйЛаг,ЛагТаргета),1)</f>
        <v/>
      </c>
      <c r="BA40" s="60">
        <f>DATE(YEAR('03_Сеть'!BA7),MONTH('03_Сеть'!BA7)-IF('03_Сеть'!BA7=ДатаОсобогоЛага,ОсобыйЛаг,ЛагТаргета),1)</f>
        <v/>
      </c>
      <c r="BB40" s="60">
        <f>DATE(YEAR('03_Сеть'!BB7),MONTH('03_Сеть'!BB7)-IF('03_Сеть'!BB7=ДатаОсобогоЛага,ОсобыйЛаг,ЛагТаргета),1)</f>
        <v/>
      </c>
      <c r="BC40" s="60">
        <f>DATE(YEAR('03_Сеть'!BC7),MONTH('03_Сеть'!BC7)-IF('03_Сеть'!BC7=ДатаОсобогоЛага,ОсобыйЛаг,ЛагТаргета),1)</f>
        <v/>
      </c>
      <c r="BD40" s="60">
        <f>DATE(YEAR('03_Сеть'!BD7),MONTH('03_Сеть'!BD7)-IF('03_Сеть'!BD7=ДатаОсобогоЛага,ОсобыйЛаг,ЛагТаргета),1)</f>
        <v/>
      </c>
      <c r="BE40" s="60">
        <f>DATE(YEAR('03_Сеть'!BE7),MONTH('03_Сеть'!BE7)-IF('03_Сеть'!BE7=ДатаОсобогоЛага,ОсобыйЛаг,ЛагТаргета),1)</f>
        <v/>
      </c>
      <c r="BF40" s="60">
        <f>DATE(YEAR('03_Сеть'!BF7),MONTH('03_Сеть'!BF7)-IF('03_Сеть'!BF7=ДатаОсобогоЛага,ОсобыйЛаг,ЛагТаргета),1)</f>
        <v/>
      </c>
      <c r="BG40" s="60">
        <f>DATE(YEAR('03_Сеть'!BG7),MONTH('03_Сеть'!BG7)-IF('03_Сеть'!BG7=ДатаОсобогоЛага,ОсобыйЛаг,ЛагТаргета),1)</f>
        <v/>
      </c>
      <c r="BH40" s="60">
        <f>DATE(YEAR('03_Сеть'!BH7),MONTH('03_Сеть'!BH7)-IF('03_Сеть'!BH7=ДатаОсобогоЛага,ОсобыйЛаг,ЛагТаргета),1)</f>
        <v/>
      </c>
      <c r="BI40" s="60">
        <f>DATE(YEAR('03_Сеть'!BI7),MONTH('03_Сеть'!BI7)-IF('03_Сеть'!BI7=ДатаОсобогоЛага,ОсобыйЛаг,ЛагТаргета),1)</f>
        <v/>
      </c>
      <c r="BJ40" s="60">
        <f>DATE(YEAR('03_Сеть'!BJ7),MONTH('03_Сеть'!BJ7)-IF('03_Сеть'!BJ7=ДатаОсобогоЛага,ОсобыйЛаг,ЛагТаргета),1)</f>
        <v/>
      </c>
      <c r="BK40" s="60">
        <f>DATE(YEAR('03_Сеть'!BK7),MONTH('03_Сеть'!BK7)-IF('03_Сеть'!BK7=ДатаОсобогоЛага,ОсобыйЛаг,ЛагТаргета),1)</f>
        <v/>
      </c>
      <c r="BL40" s="60">
        <f>DATE(YEAR('03_Сеть'!BL7),MONTH('03_Сеть'!BL7)-IF('03_Сеть'!BL7=ДатаОсобогоЛага,ОсобыйЛаг,ЛагТаргета),1)</f>
        <v/>
      </c>
      <c r="BM40" s="60">
        <f>DATE(YEAR('03_Сеть'!BM7),MONTH('03_Сеть'!BM7)-IF('03_Сеть'!BM7=ДатаОсобогоЛага,ОсобыйЛаг,ЛагТаргета),1)</f>
        <v/>
      </c>
      <c r="BN40" s="60">
        <f>DATE(YEAR('03_Сеть'!BN7),MONTH('03_Сеть'!BN7)-IF('03_Сеть'!BN7=ДатаОсобогоЛага,ОсобыйЛаг,ЛагТаргета),1)</f>
        <v/>
      </c>
      <c r="BO40" s="60">
        <f>DATE(YEAR('03_Сеть'!BO7),MONTH('03_Сеть'!BO7)-IF('03_Сеть'!BO7=ДатаОсобогоЛага,ОсобыйЛаг,ЛагТаргета),1)</f>
        <v/>
      </c>
      <c r="BP40" s="60">
        <f>DATE(YEAR('03_Сеть'!BP7),MONTH('03_Сеть'!BP7)-IF('03_Сеть'!BP7=ДатаОсобогоЛага,ОсобыйЛаг,ЛагТаргета),1)</f>
        <v/>
      </c>
      <c r="BQ40" s="60">
        <f>DATE(YEAR('03_Сеть'!BQ7),MONTH('03_Сеть'!BQ7)-IF('03_Сеть'!BQ7=ДатаОсобогоЛага,ОсобыйЛаг,ЛагТаргета),1)</f>
        <v/>
      </c>
      <c r="BR40" s="60">
        <f>DATE(YEAR('03_Сеть'!BR7),MONTH('03_Сеть'!BR7)-IF('03_Сеть'!BR7=ДатаОсобогоЛага,ОсобыйЛаг,ЛагТаргета),1)</f>
        <v/>
      </c>
      <c r="BS40" s="60">
        <f>DATE(YEAR('03_Сеть'!BS7),MONTH('03_Сеть'!BS7)-IF('03_Сеть'!BS7=ДатаОсобогоЛага,ОсобыйЛаг,ЛагТаргета),1)</f>
        <v/>
      </c>
      <c r="BT40" s="60">
        <f>DATE(YEAR('03_Сеть'!BT7),MONTH('03_Сеть'!BT7)-IF('03_Сеть'!BT7=ДатаОсобогоЛага,ОсобыйЛаг,ЛагТаргета),1)</f>
        <v/>
      </c>
      <c r="BU40" s="60">
        <f>DATE(YEAR('03_Сеть'!BU7),MONTH('03_Сеть'!BU7)-IF('03_Сеть'!BU7=ДатаОсобогоЛага,ОсобыйЛаг,ЛагТаргета),1)</f>
        <v/>
      </c>
      <c r="BV40" s="60">
        <f>DATE(YEAR('03_Сеть'!BV7),MONTH('03_Сеть'!BV7)-IF('03_Сеть'!BV7=ДатаОсобогоЛага,ОсобыйЛаг,ЛагТаргета),1)</f>
        <v/>
      </c>
      <c r="BW40" s="60">
        <f>DATE(YEAR('03_Сеть'!BW7),MONTH('03_Сеть'!BW7)-IF('03_Сеть'!BW7=ДатаОсобогоЛага,ОсобыйЛаг,ЛагТаргета),1)</f>
        <v/>
      </c>
      <c r="BX40" s="60">
        <f>DATE(YEAR('03_Сеть'!BX7),MONTH('03_Сеть'!BX7)-IF('03_Сеть'!BX7=ДатаОсобогоЛага,ОсобыйЛаг,ЛагТаргета),1)</f>
        <v/>
      </c>
      <c r="BY40" s="60">
        <f>DATE(YEAR('03_Сеть'!BY7),MONTH('03_Сеть'!BY7)-IF('03_Сеть'!BY7=ДатаОсобогоЛага,ОсобыйЛаг,ЛагТаргета),1)</f>
        <v/>
      </c>
    </row>
    <row r="41" ht="15.75" customHeight="1" s="194">
      <c r="B41" s="56" t="inlineStr">
        <is>
          <t>Таргет на будущие продажи</t>
        </is>
      </c>
      <c r="C41" s="56" t="inlineStr">
        <is>
          <t>₽</t>
        </is>
      </c>
      <c r="D41" s="57" t="inlineStr">
        <is>
          <t>Собираем все продажи, чью рекламу оплачиваем в этом месяце</t>
        </is>
      </c>
      <c r="E41" s="85">
        <f>SUM(L41:W41)</f>
        <v/>
      </c>
      <c r="F41" s="85">
        <f>SUM(X41:AI41)</f>
        <v/>
      </c>
      <c r="G41" s="85">
        <f>SUM(AJ41:AU41)</f>
        <v/>
      </c>
      <c r="H41" s="85">
        <f>SUM(AV41:BG41)</f>
        <v/>
      </c>
      <c r="I41" s="85">
        <f>SUM(BH41:BS41)</f>
        <v/>
      </c>
      <c r="J41" s="86">
        <f>SUM(L41:BS41)</f>
        <v/>
      </c>
      <c r="L41" s="87">
        <f>SUMIF($L40:$BY40,'03_Сеть'!L7,'03_Сеть'!$L13:$BY13)*'07_Тарифы'!B$11</f>
        <v/>
      </c>
      <c r="M41" s="87">
        <f>SUMIF($L40:$BY40,'03_Сеть'!M7,'03_Сеть'!$L13:$BY13)*'07_Тарифы'!C$11</f>
        <v/>
      </c>
      <c r="N41" s="87">
        <f>SUMIF($L40:$BY40,'03_Сеть'!N7,'03_Сеть'!$L13:$BY13)*'07_Тарифы'!D$11</f>
        <v/>
      </c>
      <c r="O41" s="87">
        <f>SUMIF($L40:$BY40,'03_Сеть'!O7,'03_Сеть'!$L13:$BY13)*'07_Тарифы'!E$11</f>
        <v/>
      </c>
      <c r="P41" s="87">
        <f>SUMIF($L40:$BY40,'03_Сеть'!P7,'03_Сеть'!$L13:$BY13)*'07_Тарифы'!F$11</f>
        <v/>
      </c>
      <c r="Q41" s="87">
        <f>SUMIF($L40:$BY40,'03_Сеть'!Q7,'03_Сеть'!$L13:$BY13)*'07_Тарифы'!G$11</f>
        <v/>
      </c>
      <c r="R41" s="87">
        <f>SUMIF($L40:$BY40,'03_Сеть'!R7,'03_Сеть'!$L13:$BY13)*'07_Тарифы'!H$11</f>
        <v/>
      </c>
      <c r="S41" s="87">
        <f>SUMIF($L40:$BY40,'03_Сеть'!S7,'03_Сеть'!$L13:$BY13)*'07_Тарифы'!I$11</f>
        <v/>
      </c>
      <c r="T41" s="87">
        <f>SUMIF($L40:$BY40,'03_Сеть'!T7,'03_Сеть'!$L13:$BY13)*'07_Тарифы'!J$11</f>
        <v/>
      </c>
      <c r="U41" s="87">
        <f>SUMIF($L40:$BY40,'03_Сеть'!U7,'03_Сеть'!$L13:$BY13)*'07_Тарифы'!K$11</f>
        <v/>
      </c>
      <c r="V41" s="87">
        <f>SUMIF($L40:$BY40,'03_Сеть'!V7,'03_Сеть'!$L13:$BY13)*'07_Тарифы'!L$11</f>
        <v/>
      </c>
      <c r="W41" s="87">
        <f>SUMIF($L40:$BY40,'03_Сеть'!W7,'03_Сеть'!$L13:$BY13)*'07_Тарифы'!M$11</f>
        <v/>
      </c>
      <c r="X41" s="87">
        <f>SUMIF($L40:$BY40,'03_Сеть'!X7,'03_Сеть'!$L13:$BY13)*'07_Тарифы'!N$11</f>
        <v/>
      </c>
      <c r="Y41" s="87">
        <f>SUMIF($L40:$BY40,'03_Сеть'!Y7,'03_Сеть'!$L13:$BY13)*'07_Тарифы'!O$11</f>
        <v/>
      </c>
      <c r="Z41" s="87">
        <f>SUMIF($L40:$BY40,'03_Сеть'!Z7,'03_Сеть'!$L13:$BY13)*'07_Тарифы'!P$11</f>
        <v/>
      </c>
      <c r="AA41" s="87">
        <f>SUMIF($L40:$BY40,'03_Сеть'!AA7,'03_Сеть'!$L13:$BY13)*'07_Тарифы'!Q$11</f>
        <v/>
      </c>
      <c r="AB41" s="87">
        <f>SUMIF($L40:$BY40,'03_Сеть'!AB7,'03_Сеть'!$L13:$BY13)*'07_Тарифы'!R$11</f>
        <v/>
      </c>
      <c r="AC41" s="87">
        <f>SUMIF($L40:$BY40,'03_Сеть'!AC7,'03_Сеть'!$L13:$BY13)*'07_Тарифы'!S$11</f>
        <v/>
      </c>
      <c r="AD41" s="87">
        <f>SUMIF($L40:$BY40,'03_Сеть'!AD7,'03_Сеть'!$L13:$BY13)*'07_Тарифы'!T$11</f>
        <v/>
      </c>
      <c r="AE41" s="87">
        <f>SUMIF($L40:$BY40,'03_Сеть'!AE7,'03_Сеть'!$L13:$BY13)*'07_Тарифы'!U$11</f>
        <v/>
      </c>
      <c r="AF41" s="87">
        <f>SUMIF($L40:$BY40,'03_Сеть'!AF7,'03_Сеть'!$L13:$BY13)*'07_Тарифы'!V$11</f>
        <v/>
      </c>
      <c r="AG41" s="87">
        <f>SUMIF($L40:$BY40,'03_Сеть'!AG7,'03_Сеть'!$L13:$BY13)*'07_Тарифы'!W$11</f>
        <v/>
      </c>
      <c r="AH41" s="87">
        <f>SUMIF($L40:$BY40,'03_Сеть'!AH7,'03_Сеть'!$L13:$BY13)*'07_Тарифы'!X$11</f>
        <v/>
      </c>
      <c r="AI41" s="87">
        <f>SUMIF($L40:$BY40,'03_Сеть'!AI7,'03_Сеть'!$L13:$BY13)*'07_Тарифы'!Y$11</f>
        <v/>
      </c>
      <c r="AJ41" s="87">
        <f>SUMIF($L40:$BY40,'03_Сеть'!AJ7,'03_Сеть'!$L13:$BY13)*'07_Тарифы'!Z$11</f>
        <v/>
      </c>
      <c r="AK41" s="87">
        <f>SUMIF($L40:$BY40,'03_Сеть'!AK7,'03_Сеть'!$L13:$BY13)*'07_Тарифы'!AA$11</f>
        <v/>
      </c>
      <c r="AL41" s="87">
        <f>SUMIF($L40:$BY40,'03_Сеть'!AL7,'03_Сеть'!$L13:$BY13)*'07_Тарифы'!AB$11</f>
        <v/>
      </c>
      <c r="AM41" s="87">
        <f>SUMIF($L40:$BY40,'03_Сеть'!AM7,'03_Сеть'!$L13:$BY13)*'07_Тарифы'!AC$11</f>
        <v/>
      </c>
      <c r="AN41" s="87">
        <f>SUMIF($L40:$BY40,'03_Сеть'!AN7,'03_Сеть'!$L13:$BY13)*'07_Тарифы'!AD$11</f>
        <v/>
      </c>
      <c r="AO41" s="87">
        <f>SUMIF($L40:$BY40,'03_Сеть'!AO7,'03_Сеть'!$L13:$BY13)*'07_Тарифы'!AE$11</f>
        <v/>
      </c>
      <c r="AP41" s="87">
        <f>SUMIF($L40:$BY40,'03_Сеть'!AP7,'03_Сеть'!$L13:$BY13)*'07_Тарифы'!AF$11</f>
        <v/>
      </c>
      <c r="AQ41" s="87">
        <f>SUMIF($L40:$BY40,'03_Сеть'!AQ7,'03_Сеть'!$L13:$BY13)*'07_Тарифы'!AG$11</f>
        <v/>
      </c>
      <c r="AR41" s="87">
        <f>SUMIF($L40:$BY40,'03_Сеть'!AR7,'03_Сеть'!$L13:$BY13)*'07_Тарифы'!AH$11</f>
        <v/>
      </c>
      <c r="AS41" s="87">
        <f>SUMIF($L40:$BY40,'03_Сеть'!AS7,'03_Сеть'!$L13:$BY13)*'07_Тарифы'!AI$11</f>
        <v/>
      </c>
      <c r="AT41" s="87">
        <f>SUMIF($L40:$BY40,'03_Сеть'!AT7,'03_Сеть'!$L13:$BY13)*'07_Тарифы'!AJ$11</f>
        <v/>
      </c>
      <c r="AU41" s="87">
        <f>SUMIF($L40:$BY40,'03_Сеть'!AU7,'03_Сеть'!$L13:$BY13)*'07_Тарифы'!AK$11</f>
        <v/>
      </c>
      <c r="AV41" s="87">
        <f>SUMIF($L40:$BY40,'03_Сеть'!AV7,'03_Сеть'!$L13:$BY13)*'07_Тарифы'!AL$11</f>
        <v/>
      </c>
      <c r="AW41" s="87">
        <f>SUMIF($L40:$BY40,'03_Сеть'!AW7,'03_Сеть'!$L13:$BY13)*'07_Тарифы'!AM$11</f>
        <v/>
      </c>
      <c r="AX41" s="87">
        <f>SUMIF($L40:$BY40,'03_Сеть'!AX7,'03_Сеть'!$L13:$BY13)*'07_Тарифы'!AN$11</f>
        <v/>
      </c>
      <c r="AY41" s="87">
        <f>SUMIF($L40:$BY40,'03_Сеть'!AY7,'03_Сеть'!$L13:$BY13)*'07_Тарифы'!AO$11</f>
        <v/>
      </c>
      <c r="AZ41" s="87">
        <f>SUMIF($L40:$BY40,'03_Сеть'!AZ7,'03_Сеть'!$L13:$BY13)*'07_Тарифы'!AP$11</f>
        <v/>
      </c>
      <c r="BA41" s="87">
        <f>SUMIF($L40:$BY40,'03_Сеть'!BA7,'03_Сеть'!$L13:$BY13)*'07_Тарифы'!AQ$11</f>
        <v/>
      </c>
      <c r="BB41" s="87">
        <f>SUMIF($L40:$BY40,'03_Сеть'!BB7,'03_Сеть'!$L13:$BY13)*'07_Тарифы'!AR$11</f>
        <v/>
      </c>
      <c r="BC41" s="87">
        <f>SUMIF($L40:$BY40,'03_Сеть'!BC7,'03_Сеть'!$L13:$BY13)*'07_Тарифы'!AS$11</f>
        <v/>
      </c>
      <c r="BD41" s="87">
        <f>SUMIF($L40:$BY40,'03_Сеть'!BD7,'03_Сеть'!$L13:$BY13)*'07_Тарифы'!AT$11</f>
        <v/>
      </c>
      <c r="BE41" s="87">
        <f>SUMIF($L40:$BY40,'03_Сеть'!BE7,'03_Сеть'!$L13:$BY13)*'07_Тарифы'!AU$11</f>
        <v/>
      </c>
      <c r="BF41" s="87">
        <f>SUMIF($L40:$BY40,'03_Сеть'!BF7,'03_Сеть'!$L13:$BY13)*'07_Тарифы'!AV$11</f>
        <v/>
      </c>
      <c r="BG41" s="87">
        <f>SUMIF($L40:$BY40,'03_Сеть'!BG7,'03_Сеть'!$L13:$BY13)*'07_Тарифы'!AW$11</f>
        <v/>
      </c>
      <c r="BH41" s="87">
        <f>SUMIF($L40:$BY40,'03_Сеть'!BH7,'03_Сеть'!$L13:$BY13)*'07_Тарифы'!AX$11</f>
        <v/>
      </c>
      <c r="BI41" s="87">
        <f>SUMIF($L40:$BY40,'03_Сеть'!BI7,'03_Сеть'!$L13:$BY13)*'07_Тарифы'!AY$11</f>
        <v/>
      </c>
      <c r="BJ41" s="87">
        <f>SUMIF($L40:$BY40,'03_Сеть'!BJ7,'03_Сеть'!$L13:$BY13)*'07_Тарифы'!AZ$11</f>
        <v/>
      </c>
      <c r="BK41" s="87">
        <f>SUMIF($L40:$BY40,'03_Сеть'!BK7,'03_Сеть'!$L13:$BY13)*'07_Тарифы'!BA$11</f>
        <v/>
      </c>
      <c r="BL41" s="87">
        <f>SUMIF($L40:$BY40,'03_Сеть'!BL7,'03_Сеть'!$L13:$BY13)*'07_Тарифы'!BB$11</f>
        <v/>
      </c>
      <c r="BM41" s="87">
        <f>SUMIF($L40:$BY40,'03_Сеть'!BM7,'03_Сеть'!$L13:$BY13)*'07_Тарифы'!BC$11</f>
        <v/>
      </c>
      <c r="BN41" s="87">
        <f>SUMIF($L40:$BY40,'03_Сеть'!BN7,'03_Сеть'!$L13:$BY13)*'07_Тарифы'!BD$11</f>
        <v/>
      </c>
      <c r="BO41" s="87">
        <f>SUMIF($L40:$BY40,'03_Сеть'!BO7,'03_Сеть'!$L13:$BY13)*'07_Тарифы'!BE$11</f>
        <v/>
      </c>
      <c r="BP41" s="87">
        <f>SUMIF($L40:$BY40,'03_Сеть'!BP7,'03_Сеть'!$L13:$BY13)*'07_Тарифы'!BF$11</f>
        <v/>
      </c>
      <c r="BQ41" s="87">
        <f>SUMIF($L40:$BY40,'03_Сеть'!BQ7,'03_Сеть'!$L13:$BY13)*'07_Тарифы'!BG$11</f>
        <v/>
      </c>
      <c r="BR41" s="87">
        <f>SUMIF($L40:$BY40,'03_Сеть'!BR7,'03_Сеть'!$L13:$BY13)*'07_Тарифы'!BH$11</f>
        <v/>
      </c>
      <c r="BS41" s="87">
        <f>SUMIF($L40:$BY40,'03_Сеть'!BS7,'03_Сеть'!$L13:$BY13)*'07_Тарифы'!BI$11</f>
        <v/>
      </c>
      <c r="BT41" s="87">
        <f>SUMIF($L40:$BY40,'03_Сеть'!BT7,'03_Сеть'!$L13:$BY13)*'07_Тарифы'!BJ$11</f>
        <v/>
      </c>
      <c r="BU41" s="87">
        <f>SUMIF($L40:$BY40,'03_Сеть'!BU7,'03_Сеть'!$L13:$BY13)*'07_Тарифы'!BK$11</f>
        <v/>
      </c>
      <c r="BV41" s="87">
        <f>SUMIF($L40:$BY40,'03_Сеть'!BV7,'03_Сеть'!$L13:$BY13)*'07_Тарифы'!BL$11</f>
        <v/>
      </c>
      <c r="BW41" s="87">
        <f>SUMIF($L40:$BY40,'03_Сеть'!BW7,'03_Сеть'!$L13:$BY13)*'07_Тарифы'!BM$11</f>
        <v/>
      </c>
      <c r="BX41" s="87">
        <f>SUMIF($L40:$BY40,'03_Сеть'!BX7,'03_Сеть'!$L13:$BY13)*'07_Тарифы'!BN$11</f>
        <v/>
      </c>
      <c r="BY41" s="87">
        <f>SUMIF($L40:$BY40,'03_Сеть'!BY7,'03_Сеть'!$L13:$BY13)*'07_Тарифы'!BO$11</f>
        <v/>
      </c>
    </row>
    <row r="42" ht="15.75" customHeight="1" s="194">
      <c r="B42" s="56" t="inlineStr">
        <is>
          <t>БИБОСС, TopFranchise, Forbes</t>
        </is>
      </c>
      <c r="C42" s="56" t="inlineStr">
        <is>
          <t>₽</t>
        </is>
      </c>
      <c r="D42" s="57" t="inlineStr">
        <is>
          <t>Ежегодные размещения</t>
        </is>
      </c>
      <c r="E42" s="85">
        <f>SUM(L42:W42)</f>
        <v/>
      </c>
      <c r="F42" s="85">
        <f>SUM(X42:AI42)</f>
        <v/>
      </c>
      <c r="G42" s="85">
        <f>SUM(AJ42:AU42)</f>
        <v/>
      </c>
      <c r="H42" s="85">
        <f>SUM(AV42:BG42)</f>
        <v/>
      </c>
      <c r="I42" s="85">
        <f>SUM(BH42:BS42)</f>
        <v/>
      </c>
      <c r="J42" s="86">
        <f>SUM(L42:BS42)</f>
        <v/>
      </c>
      <c r="L42" s="87">
        <f>(IF(MONTH('03_Сеть'!L7)=МесяцБИБОСС,СуммаБИБОСС,0)+IF(MONTH('03_Сеть'!L7)=МесяцTopFranchise,СуммаTopFranchise,0)+IF(MONTH('03_Сеть'!L7)=МесяцForbes,СуммаForbes,0))*'04_Доходы'!L7</f>
        <v/>
      </c>
      <c r="M42" s="87">
        <f>(IF(MONTH('03_Сеть'!M7)=МесяцБИБОСС,СуммаБИБОСС,0)+IF(MONTH('03_Сеть'!M7)=МесяцTopFranchise,СуммаTopFranchise,0)+IF(MONTH('03_Сеть'!M7)=МесяцForbes,СуммаForbes,0))*'04_Доходы'!M7</f>
        <v/>
      </c>
      <c r="N42" s="87">
        <f>(IF(MONTH('03_Сеть'!N7)=МесяцБИБОСС,СуммаБИБОСС,0)+IF(MONTH('03_Сеть'!N7)=МесяцTopFranchise,СуммаTopFranchise,0)+IF(MONTH('03_Сеть'!N7)=МесяцForbes,СуммаForbes,0))*'04_Доходы'!N7</f>
        <v/>
      </c>
      <c r="O42" s="87">
        <f>(IF(MONTH('03_Сеть'!O7)=МесяцБИБОСС,СуммаБИБОСС,0)+IF(MONTH('03_Сеть'!O7)=МесяцTopFranchise,СуммаTopFranchise,0)+IF(MONTH('03_Сеть'!O7)=МесяцForbes,СуммаForbes,0))*'04_Доходы'!O7</f>
        <v/>
      </c>
      <c r="P42" s="87">
        <f>(IF(MONTH('03_Сеть'!P7)=МесяцБИБОСС,СуммаБИБОСС,0)+IF(MONTH('03_Сеть'!P7)=МесяцTopFranchise,СуммаTopFranchise,0)+IF(MONTH('03_Сеть'!P7)=МесяцForbes,СуммаForbes,0))*'04_Доходы'!P7</f>
        <v/>
      </c>
      <c r="Q42" s="87">
        <f>(IF(MONTH('03_Сеть'!Q7)=МесяцБИБОСС,СуммаБИБОСС,0)+IF(MONTH('03_Сеть'!Q7)=МесяцTopFranchise,СуммаTopFranchise,0)+IF(MONTH('03_Сеть'!Q7)=МесяцForbes,СуммаForbes,0))*'04_Доходы'!Q7</f>
        <v/>
      </c>
      <c r="R42" s="87">
        <f>(IF(MONTH('03_Сеть'!R7)=МесяцБИБОСС,СуммаБИБОСС,0)+IF(MONTH('03_Сеть'!R7)=МесяцTopFranchise,СуммаTopFranchise,0)+IF(MONTH('03_Сеть'!R7)=МесяцForbes,СуммаForbes,0))*'04_Доходы'!R7</f>
        <v/>
      </c>
      <c r="S42" s="87">
        <f>(IF(MONTH('03_Сеть'!S7)=МесяцБИБОСС,СуммаБИБОСС,0)+IF(MONTH('03_Сеть'!S7)=МесяцTopFranchise,СуммаTopFranchise,0)+IF(MONTH('03_Сеть'!S7)=МесяцForbes,СуммаForbes,0))*'04_Доходы'!S7</f>
        <v/>
      </c>
      <c r="T42" s="87">
        <f>(IF(MONTH('03_Сеть'!T7)=МесяцБИБОСС,СуммаБИБОСС,0)+IF(MONTH('03_Сеть'!T7)=МесяцTopFranchise,СуммаTopFranchise,0)+IF(MONTH('03_Сеть'!T7)=МесяцForbes,СуммаForbes,0))*'04_Доходы'!T7</f>
        <v/>
      </c>
      <c r="U42" s="87">
        <f>(IF(MONTH('03_Сеть'!U7)=МесяцБИБОСС,СуммаБИБОСС,0)+IF(MONTH('03_Сеть'!U7)=МесяцTopFranchise,СуммаTopFranchise,0)+IF(MONTH('03_Сеть'!U7)=МесяцForbes,СуммаForbes,0))*'04_Доходы'!U7</f>
        <v/>
      </c>
      <c r="V42" s="87">
        <f>(IF(MONTH('03_Сеть'!V7)=МесяцБИБОСС,СуммаБИБОСС,0)+IF(MONTH('03_Сеть'!V7)=МесяцTopFranchise,СуммаTopFranchise,0)+IF(MONTH('03_Сеть'!V7)=МесяцForbes,СуммаForbes,0))*'04_Доходы'!V7</f>
        <v/>
      </c>
      <c r="W42" s="87">
        <f>(IF(MONTH('03_Сеть'!W7)=МесяцБИБОСС,СуммаБИБОСС,0)+IF(MONTH('03_Сеть'!W7)=МесяцTopFranchise,СуммаTopFranchise,0)+IF(MONTH('03_Сеть'!W7)=МесяцForbes,СуммаForbes,0))*'04_Доходы'!W7</f>
        <v/>
      </c>
      <c r="X42" s="87">
        <f>(IF(MONTH('03_Сеть'!X7)=МесяцБИБОСС,СуммаБИБОСС,0)+IF(MONTH('03_Сеть'!X7)=МесяцTopFranchise,СуммаTopFranchise,0)+IF(MONTH('03_Сеть'!X7)=МесяцForbes,СуммаForbes,0))*'04_Доходы'!X7</f>
        <v/>
      </c>
      <c r="Y42" s="87">
        <f>(IF(MONTH('03_Сеть'!Y7)=МесяцБИБОСС,СуммаБИБОСС,0)+IF(MONTH('03_Сеть'!Y7)=МесяцTopFranchise,СуммаTopFranchise,0)+IF(MONTH('03_Сеть'!Y7)=МесяцForbes,СуммаForbes,0))*'04_Доходы'!Y7</f>
        <v/>
      </c>
      <c r="Z42" s="87">
        <f>(IF(MONTH('03_Сеть'!Z7)=МесяцБИБОСС,СуммаБИБОСС,0)+IF(MONTH('03_Сеть'!Z7)=МесяцTopFranchise,СуммаTopFranchise,0)+IF(MONTH('03_Сеть'!Z7)=МесяцForbes,СуммаForbes,0))*'04_Доходы'!Z7</f>
        <v/>
      </c>
      <c r="AA42" s="87">
        <f>(IF(MONTH('03_Сеть'!AA7)=МесяцБИБОСС,СуммаБИБОСС,0)+IF(MONTH('03_Сеть'!AA7)=МесяцTopFranchise,СуммаTopFranchise,0)+IF(MONTH('03_Сеть'!AA7)=МесяцForbes,СуммаForbes,0))*'04_Доходы'!AA7</f>
        <v/>
      </c>
      <c r="AB42" s="87">
        <f>(IF(MONTH('03_Сеть'!AB7)=МесяцБИБОСС,СуммаБИБОСС,0)+IF(MONTH('03_Сеть'!AB7)=МесяцTopFranchise,СуммаTopFranchise,0)+IF(MONTH('03_Сеть'!AB7)=МесяцForbes,СуммаForbes,0))*'04_Доходы'!AB7</f>
        <v/>
      </c>
      <c r="AC42" s="87">
        <f>(IF(MONTH('03_Сеть'!AC7)=МесяцБИБОСС,СуммаБИБОСС,0)+IF(MONTH('03_Сеть'!AC7)=МесяцTopFranchise,СуммаTopFranchise,0)+IF(MONTH('03_Сеть'!AC7)=МесяцForbes,СуммаForbes,0))*'04_Доходы'!AC7</f>
        <v/>
      </c>
      <c r="AD42" s="87">
        <f>(IF(MONTH('03_Сеть'!AD7)=МесяцБИБОСС,СуммаБИБОСС,0)+IF(MONTH('03_Сеть'!AD7)=МесяцTopFranchise,СуммаTopFranchise,0)+IF(MONTH('03_Сеть'!AD7)=МесяцForbes,СуммаForbes,0))*'04_Доходы'!AD7</f>
        <v/>
      </c>
      <c r="AE42" s="87">
        <f>(IF(MONTH('03_Сеть'!AE7)=МесяцБИБОСС,СуммаБИБОСС,0)+IF(MONTH('03_Сеть'!AE7)=МесяцTopFranchise,СуммаTopFranchise,0)+IF(MONTH('03_Сеть'!AE7)=МесяцForbes,СуммаForbes,0))*'04_Доходы'!AE7</f>
        <v/>
      </c>
      <c r="AF42" s="87">
        <f>(IF(MONTH('03_Сеть'!AF7)=МесяцБИБОСС,СуммаБИБОСС,0)+IF(MONTH('03_Сеть'!AF7)=МесяцTopFranchise,СуммаTopFranchise,0)+IF(MONTH('03_Сеть'!AF7)=МесяцForbes,СуммаForbes,0))*'04_Доходы'!AF7</f>
        <v/>
      </c>
      <c r="AG42" s="87">
        <f>(IF(MONTH('03_Сеть'!AG7)=МесяцБИБОСС,СуммаБИБОСС,0)+IF(MONTH('03_Сеть'!AG7)=МесяцTopFranchise,СуммаTopFranchise,0)+IF(MONTH('03_Сеть'!AG7)=МесяцForbes,СуммаForbes,0))*'04_Доходы'!AG7</f>
        <v/>
      </c>
      <c r="AH42" s="87">
        <f>(IF(MONTH('03_Сеть'!AH7)=МесяцБИБОСС,СуммаБИБОСС,0)+IF(MONTH('03_Сеть'!AH7)=МесяцTopFranchise,СуммаTopFranchise,0)+IF(MONTH('03_Сеть'!AH7)=МесяцForbes,СуммаForbes,0))*'04_Доходы'!AH7</f>
        <v/>
      </c>
      <c r="AI42" s="87">
        <f>(IF(MONTH('03_Сеть'!AI7)=МесяцБИБОСС,СуммаБИБОСС,0)+IF(MONTH('03_Сеть'!AI7)=МесяцTopFranchise,СуммаTopFranchise,0)+IF(MONTH('03_Сеть'!AI7)=МесяцForbes,СуммаForbes,0))*'04_Доходы'!AI7</f>
        <v/>
      </c>
      <c r="AJ42" s="87">
        <f>(IF(MONTH('03_Сеть'!AJ7)=МесяцБИБОСС,СуммаБИБОСС,0)+IF(MONTH('03_Сеть'!AJ7)=МесяцTopFranchise,СуммаTopFranchise,0)+IF(MONTH('03_Сеть'!AJ7)=МесяцForbes,СуммаForbes,0))*'04_Доходы'!AJ7</f>
        <v/>
      </c>
      <c r="AK42" s="87">
        <f>(IF(MONTH('03_Сеть'!AK7)=МесяцБИБОСС,СуммаБИБОСС,0)+IF(MONTH('03_Сеть'!AK7)=МесяцTopFranchise,СуммаTopFranchise,0)+IF(MONTH('03_Сеть'!AK7)=МесяцForbes,СуммаForbes,0))*'04_Доходы'!AK7</f>
        <v/>
      </c>
      <c r="AL42" s="87">
        <f>(IF(MONTH('03_Сеть'!AL7)=МесяцБИБОСС,СуммаБИБОСС,0)+IF(MONTH('03_Сеть'!AL7)=МесяцTopFranchise,СуммаTopFranchise,0)+IF(MONTH('03_Сеть'!AL7)=МесяцForbes,СуммаForbes,0))*'04_Доходы'!AL7</f>
        <v/>
      </c>
      <c r="AM42" s="87">
        <f>(IF(MONTH('03_Сеть'!AM7)=МесяцБИБОСС,СуммаБИБОСС,0)+IF(MONTH('03_Сеть'!AM7)=МесяцTopFranchise,СуммаTopFranchise,0)+IF(MONTH('03_Сеть'!AM7)=МесяцForbes,СуммаForbes,0))*'04_Доходы'!AM7</f>
        <v/>
      </c>
      <c r="AN42" s="87">
        <f>(IF(MONTH('03_Сеть'!AN7)=МесяцБИБОСС,СуммаБИБОСС,0)+IF(MONTH('03_Сеть'!AN7)=МесяцTopFranchise,СуммаTopFranchise,0)+IF(MONTH('03_Сеть'!AN7)=МесяцForbes,СуммаForbes,0))*'04_Доходы'!AN7</f>
        <v/>
      </c>
      <c r="AO42" s="87">
        <f>(IF(MONTH('03_Сеть'!AO7)=МесяцБИБОСС,СуммаБИБОСС,0)+IF(MONTH('03_Сеть'!AO7)=МесяцTopFranchise,СуммаTopFranchise,0)+IF(MONTH('03_Сеть'!AO7)=МесяцForbes,СуммаForbes,0))*'04_Доходы'!AO7</f>
        <v/>
      </c>
      <c r="AP42" s="87">
        <f>(IF(MONTH('03_Сеть'!AP7)=МесяцБИБОСС,СуммаБИБОСС,0)+IF(MONTH('03_Сеть'!AP7)=МесяцTopFranchise,СуммаTopFranchise,0)+IF(MONTH('03_Сеть'!AP7)=МесяцForbes,СуммаForbes,0))*'04_Доходы'!AP7</f>
        <v/>
      </c>
      <c r="AQ42" s="87">
        <f>(IF(MONTH('03_Сеть'!AQ7)=МесяцБИБОСС,СуммаБИБОСС,0)+IF(MONTH('03_Сеть'!AQ7)=МесяцTopFranchise,СуммаTopFranchise,0)+IF(MONTH('03_Сеть'!AQ7)=МесяцForbes,СуммаForbes,0))*'04_Доходы'!AQ7</f>
        <v/>
      </c>
      <c r="AR42" s="87">
        <f>(IF(MONTH('03_Сеть'!AR7)=МесяцБИБОСС,СуммаБИБОСС,0)+IF(MONTH('03_Сеть'!AR7)=МесяцTopFranchise,СуммаTopFranchise,0)+IF(MONTH('03_Сеть'!AR7)=МесяцForbes,СуммаForbes,0))*'04_Доходы'!AR7</f>
        <v/>
      </c>
      <c r="AS42" s="87">
        <f>(IF(MONTH('03_Сеть'!AS7)=МесяцБИБОСС,СуммаБИБОСС,0)+IF(MONTH('03_Сеть'!AS7)=МесяцTopFranchise,СуммаTopFranchise,0)+IF(MONTH('03_Сеть'!AS7)=МесяцForbes,СуммаForbes,0))*'04_Доходы'!AS7</f>
        <v/>
      </c>
      <c r="AT42" s="87">
        <f>(IF(MONTH('03_Сеть'!AT7)=МесяцБИБОСС,СуммаБИБОСС,0)+IF(MONTH('03_Сеть'!AT7)=МесяцTopFranchise,СуммаTopFranchise,0)+IF(MONTH('03_Сеть'!AT7)=МесяцForbes,СуммаForbes,0))*'04_Доходы'!AT7</f>
        <v/>
      </c>
      <c r="AU42" s="87">
        <f>(IF(MONTH('03_Сеть'!AU7)=МесяцБИБОСС,СуммаБИБОСС,0)+IF(MONTH('03_Сеть'!AU7)=МесяцTopFranchise,СуммаTopFranchise,0)+IF(MONTH('03_Сеть'!AU7)=МесяцForbes,СуммаForbes,0))*'04_Доходы'!AU7</f>
        <v/>
      </c>
      <c r="AV42" s="87">
        <f>(IF(MONTH('03_Сеть'!AV7)=МесяцБИБОСС,СуммаБИБОСС,0)+IF(MONTH('03_Сеть'!AV7)=МесяцTopFranchise,СуммаTopFranchise,0)+IF(MONTH('03_Сеть'!AV7)=МесяцForbes,СуммаForbes,0))*'04_Доходы'!AV7</f>
        <v/>
      </c>
      <c r="AW42" s="87">
        <f>(IF(MONTH('03_Сеть'!AW7)=МесяцБИБОСС,СуммаБИБОСС,0)+IF(MONTH('03_Сеть'!AW7)=МесяцTopFranchise,СуммаTopFranchise,0)+IF(MONTH('03_Сеть'!AW7)=МесяцForbes,СуммаForbes,0))*'04_Доходы'!AW7</f>
        <v/>
      </c>
      <c r="AX42" s="87">
        <f>(IF(MONTH('03_Сеть'!AX7)=МесяцБИБОСС,СуммаБИБОСС,0)+IF(MONTH('03_Сеть'!AX7)=МесяцTopFranchise,СуммаTopFranchise,0)+IF(MONTH('03_Сеть'!AX7)=МесяцForbes,СуммаForbes,0))*'04_Доходы'!AX7</f>
        <v/>
      </c>
      <c r="AY42" s="87">
        <f>(IF(MONTH('03_Сеть'!AY7)=МесяцБИБОСС,СуммаБИБОСС,0)+IF(MONTH('03_Сеть'!AY7)=МесяцTopFranchise,СуммаTopFranchise,0)+IF(MONTH('03_Сеть'!AY7)=МесяцForbes,СуммаForbes,0))*'04_Доходы'!AY7</f>
        <v/>
      </c>
      <c r="AZ42" s="87">
        <f>(IF(MONTH('03_Сеть'!AZ7)=МесяцБИБОСС,СуммаБИБОСС,0)+IF(MONTH('03_Сеть'!AZ7)=МесяцTopFranchise,СуммаTopFranchise,0)+IF(MONTH('03_Сеть'!AZ7)=МесяцForbes,СуммаForbes,0))*'04_Доходы'!AZ7</f>
        <v/>
      </c>
      <c r="BA42" s="87">
        <f>(IF(MONTH('03_Сеть'!BA7)=МесяцБИБОСС,СуммаБИБОСС,0)+IF(MONTH('03_Сеть'!BA7)=МесяцTopFranchise,СуммаTopFranchise,0)+IF(MONTH('03_Сеть'!BA7)=МесяцForbes,СуммаForbes,0))*'04_Доходы'!BA7</f>
        <v/>
      </c>
      <c r="BB42" s="87">
        <f>(IF(MONTH('03_Сеть'!BB7)=МесяцБИБОСС,СуммаБИБОСС,0)+IF(MONTH('03_Сеть'!BB7)=МесяцTopFranchise,СуммаTopFranchise,0)+IF(MONTH('03_Сеть'!BB7)=МесяцForbes,СуммаForbes,0))*'04_Доходы'!BB7</f>
        <v/>
      </c>
      <c r="BC42" s="87">
        <f>(IF(MONTH('03_Сеть'!BC7)=МесяцБИБОСС,СуммаБИБОСС,0)+IF(MONTH('03_Сеть'!BC7)=МесяцTopFranchise,СуммаTopFranchise,0)+IF(MONTH('03_Сеть'!BC7)=МесяцForbes,СуммаForbes,0))*'04_Доходы'!BC7</f>
        <v/>
      </c>
      <c r="BD42" s="87">
        <f>(IF(MONTH('03_Сеть'!BD7)=МесяцБИБОСС,СуммаБИБОСС,0)+IF(MONTH('03_Сеть'!BD7)=МесяцTopFranchise,СуммаTopFranchise,0)+IF(MONTH('03_Сеть'!BD7)=МесяцForbes,СуммаForbes,0))*'04_Доходы'!BD7</f>
        <v/>
      </c>
      <c r="BE42" s="87">
        <f>(IF(MONTH('03_Сеть'!BE7)=МесяцБИБОСС,СуммаБИБОСС,0)+IF(MONTH('03_Сеть'!BE7)=МесяцTopFranchise,СуммаTopFranchise,0)+IF(MONTH('03_Сеть'!BE7)=МесяцForbes,СуммаForbes,0))*'04_Доходы'!BE7</f>
        <v/>
      </c>
      <c r="BF42" s="87">
        <f>(IF(MONTH('03_Сеть'!BF7)=МесяцБИБОСС,СуммаБИБОСС,0)+IF(MONTH('03_Сеть'!BF7)=МесяцTopFranchise,СуммаTopFranchise,0)+IF(MONTH('03_Сеть'!BF7)=МесяцForbes,СуммаForbes,0))*'04_Доходы'!BF7</f>
        <v/>
      </c>
      <c r="BG42" s="87">
        <f>(IF(MONTH('03_Сеть'!BG7)=МесяцБИБОСС,СуммаБИБОСС,0)+IF(MONTH('03_Сеть'!BG7)=МесяцTopFranchise,СуммаTopFranchise,0)+IF(MONTH('03_Сеть'!BG7)=МесяцForbes,СуммаForbes,0))*'04_Доходы'!BG7</f>
        <v/>
      </c>
      <c r="BH42" s="87">
        <f>(IF(MONTH('03_Сеть'!BH7)=МесяцБИБОСС,СуммаБИБОСС,0)+IF(MONTH('03_Сеть'!BH7)=МесяцTopFranchise,СуммаTopFranchise,0)+IF(MONTH('03_Сеть'!BH7)=МесяцForbes,СуммаForbes,0))*'04_Доходы'!BH7</f>
        <v/>
      </c>
      <c r="BI42" s="87">
        <f>(IF(MONTH('03_Сеть'!BI7)=МесяцБИБОСС,СуммаБИБОСС,0)+IF(MONTH('03_Сеть'!BI7)=МесяцTopFranchise,СуммаTopFranchise,0)+IF(MONTH('03_Сеть'!BI7)=МесяцForbes,СуммаForbes,0))*'04_Доходы'!BI7</f>
        <v/>
      </c>
      <c r="BJ42" s="87">
        <f>(IF(MONTH('03_Сеть'!BJ7)=МесяцБИБОСС,СуммаБИБОСС,0)+IF(MONTH('03_Сеть'!BJ7)=МесяцTopFranchise,СуммаTopFranchise,0)+IF(MONTH('03_Сеть'!BJ7)=МесяцForbes,СуммаForbes,0))*'04_Доходы'!BJ7</f>
        <v/>
      </c>
      <c r="BK42" s="87">
        <f>(IF(MONTH('03_Сеть'!BK7)=МесяцБИБОСС,СуммаБИБОСС,0)+IF(MONTH('03_Сеть'!BK7)=МесяцTopFranchise,СуммаTopFranchise,0)+IF(MONTH('03_Сеть'!BK7)=МесяцForbes,СуммаForbes,0))*'04_Доходы'!BK7</f>
        <v/>
      </c>
      <c r="BL42" s="87">
        <f>(IF(MONTH('03_Сеть'!BL7)=МесяцБИБОСС,СуммаБИБОСС,0)+IF(MONTH('03_Сеть'!BL7)=МесяцTopFranchise,СуммаTopFranchise,0)+IF(MONTH('03_Сеть'!BL7)=МесяцForbes,СуммаForbes,0))*'04_Доходы'!BL7</f>
        <v/>
      </c>
      <c r="BM42" s="87">
        <f>(IF(MONTH('03_Сеть'!BM7)=МесяцБИБОСС,СуммаБИБОСС,0)+IF(MONTH('03_Сеть'!BM7)=МесяцTopFranchise,СуммаTopFranchise,0)+IF(MONTH('03_Сеть'!BM7)=МесяцForbes,СуммаForbes,0))*'04_Доходы'!BM7</f>
        <v/>
      </c>
      <c r="BN42" s="87">
        <f>(IF(MONTH('03_Сеть'!BN7)=МесяцБИБОСС,СуммаБИБОСС,0)+IF(MONTH('03_Сеть'!BN7)=МесяцTopFranchise,СуммаTopFranchise,0)+IF(MONTH('03_Сеть'!BN7)=МесяцForbes,СуммаForbes,0))*'04_Доходы'!BN7</f>
        <v/>
      </c>
      <c r="BO42" s="87">
        <f>(IF(MONTH('03_Сеть'!BO7)=МесяцБИБОСС,СуммаБИБОСС,0)+IF(MONTH('03_Сеть'!BO7)=МесяцTopFranchise,СуммаTopFranchise,0)+IF(MONTH('03_Сеть'!BO7)=МесяцForbes,СуммаForbes,0))*'04_Доходы'!BO7</f>
        <v/>
      </c>
      <c r="BP42" s="87">
        <f>(IF(MONTH('03_Сеть'!BP7)=МесяцБИБОСС,СуммаБИБОСС,0)+IF(MONTH('03_Сеть'!BP7)=МесяцTopFranchise,СуммаTopFranchise,0)+IF(MONTH('03_Сеть'!BP7)=МесяцForbes,СуммаForbes,0))*'04_Доходы'!BP7</f>
        <v/>
      </c>
      <c r="BQ42" s="87">
        <f>(IF(MONTH('03_Сеть'!BQ7)=МесяцБИБОСС,СуммаБИБОСС,0)+IF(MONTH('03_Сеть'!BQ7)=МесяцTopFranchise,СуммаTopFranchise,0)+IF(MONTH('03_Сеть'!BQ7)=МесяцForbes,СуммаForbes,0))*'04_Доходы'!BQ7</f>
        <v/>
      </c>
      <c r="BR42" s="87">
        <f>(IF(MONTH('03_Сеть'!BR7)=МесяцБИБОСС,СуммаБИБОСС,0)+IF(MONTH('03_Сеть'!BR7)=МесяцTopFranchise,СуммаTopFranchise,0)+IF(MONTH('03_Сеть'!BR7)=МесяцForbes,СуммаForbes,0))*'04_Доходы'!BR7</f>
        <v/>
      </c>
      <c r="BS42" s="87">
        <f>(IF(MONTH('03_Сеть'!BS7)=МесяцБИБОСС,СуммаБИБОСС,0)+IF(MONTH('03_Сеть'!BS7)=МесяцTopFranchise,СуммаTopFranchise,0)+IF(MONTH('03_Сеть'!BS7)=МесяцForbes,СуммаForbes,0))*'04_Доходы'!BS7</f>
        <v/>
      </c>
      <c r="BT42" s="87">
        <f>(IF(MONTH('03_Сеть'!BT7)=МесяцБИБОСС,СуммаБИБОСС,0)+IF(MONTH('03_Сеть'!BT7)=МесяцTopFranchise,СуммаTopFranchise,0)+IF(MONTH('03_Сеть'!BT7)=МесяцForbes,СуммаForbes,0))*'04_Доходы'!BT7</f>
        <v/>
      </c>
      <c r="BU42" s="87">
        <f>(IF(MONTH('03_Сеть'!BU7)=МесяцБИБОСС,СуммаБИБОСС,0)+IF(MONTH('03_Сеть'!BU7)=МесяцTopFranchise,СуммаTopFranchise,0)+IF(MONTH('03_Сеть'!BU7)=МесяцForbes,СуммаForbes,0))*'04_Доходы'!BU7</f>
        <v/>
      </c>
      <c r="BV42" s="87">
        <f>(IF(MONTH('03_Сеть'!BV7)=МесяцБИБОСС,СуммаБИБОСС,0)+IF(MONTH('03_Сеть'!BV7)=МесяцTopFranchise,СуммаTopFranchise,0)+IF(MONTH('03_Сеть'!BV7)=МесяцForbes,СуммаForbes,0))*'04_Доходы'!BV7</f>
        <v/>
      </c>
      <c r="BW42" s="87">
        <f>(IF(MONTH('03_Сеть'!BW7)=МесяцБИБОСС,СуммаБИБОСС,0)+IF(MONTH('03_Сеть'!BW7)=МесяцTopFranchise,СуммаTopFranchise,0)+IF(MONTH('03_Сеть'!BW7)=МесяцForbes,СуммаForbes,0))*'04_Доходы'!BW7</f>
        <v/>
      </c>
      <c r="BX42" s="87">
        <f>(IF(MONTH('03_Сеть'!BX7)=МесяцБИБОСС,СуммаБИБОСС,0)+IF(MONTH('03_Сеть'!BX7)=МесяцTopFranchise,СуммаTopFranchise,0)+IF(MONTH('03_Сеть'!BX7)=МесяцForbes,СуммаForbes,0))*'04_Доходы'!BX7</f>
        <v/>
      </c>
      <c r="BY42" s="87">
        <f>(IF(MONTH('03_Сеть'!BY7)=МесяцБИБОСС,СуммаБИБОСС,0)+IF(MONTH('03_Сеть'!BY7)=МесяцTopFranchise,СуммаTopFranchise,0)+IF(MONTH('03_Сеть'!BY7)=МесяцForbes,СуммаForbes,0))*'04_Доходы'!BY7</f>
        <v/>
      </c>
    </row>
    <row r="43" ht="15.75" customHeight="1" s="194">
      <c r="B43" s="56" t="inlineStr">
        <is>
          <t>Маркетинг привлечения — всего</t>
        </is>
      </c>
      <c r="C43" s="56" t="inlineStr">
        <is>
          <t>₽</t>
        </is>
      </c>
      <c r="D43" s="57" t="n"/>
      <c r="E43" s="85">
        <f>SUM(L43:W43)</f>
        <v/>
      </c>
      <c r="F43" s="85">
        <f>SUM(X43:AI43)</f>
        <v/>
      </c>
      <c r="G43" s="85">
        <f>SUM(AJ43:AU43)</f>
        <v/>
      </c>
      <c r="H43" s="85">
        <f>SUM(AV43:BG43)</f>
        <v/>
      </c>
      <c r="I43" s="85">
        <f>SUM(BH43:BS43)</f>
        <v/>
      </c>
      <c r="J43" s="86">
        <f>SUM(L43:BS43)</f>
        <v/>
      </c>
      <c r="L43" s="87">
        <f>L41+L42</f>
        <v/>
      </c>
      <c r="M43" s="87">
        <f>M41+M42</f>
        <v/>
      </c>
      <c r="N43" s="87">
        <f>N41+N42</f>
        <v/>
      </c>
      <c r="O43" s="87">
        <f>O41+O42</f>
        <v/>
      </c>
      <c r="P43" s="87">
        <f>P41+P42</f>
        <v/>
      </c>
      <c r="Q43" s="87">
        <f>Q41+Q42</f>
        <v/>
      </c>
      <c r="R43" s="87">
        <f>R41+R42</f>
        <v/>
      </c>
      <c r="S43" s="87">
        <f>S41+S42</f>
        <v/>
      </c>
      <c r="T43" s="87">
        <f>T41+T42</f>
        <v/>
      </c>
      <c r="U43" s="87">
        <f>U41+U42</f>
        <v/>
      </c>
      <c r="V43" s="87">
        <f>V41+V42</f>
        <v/>
      </c>
      <c r="W43" s="87">
        <f>W41+W42</f>
        <v/>
      </c>
      <c r="X43" s="87">
        <f>X41+X42</f>
        <v/>
      </c>
      <c r="Y43" s="87">
        <f>Y41+Y42</f>
        <v/>
      </c>
      <c r="Z43" s="87">
        <f>Z41+Z42</f>
        <v/>
      </c>
      <c r="AA43" s="87">
        <f>AA41+AA42</f>
        <v/>
      </c>
      <c r="AB43" s="87">
        <f>AB41+AB42</f>
        <v/>
      </c>
      <c r="AC43" s="87">
        <f>AC41+AC42</f>
        <v/>
      </c>
      <c r="AD43" s="87">
        <f>AD41+AD42</f>
        <v/>
      </c>
      <c r="AE43" s="87">
        <f>AE41+AE42</f>
        <v/>
      </c>
      <c r="AF43" s="87">
        <f>AF41+AF42</f>
        <v/>
      </c>
      <c r="AG43" s="87">
        <f>AG41+AG42</f>
        <v/>
      </c>
      <c r="AH43" s="87">
        <f>AH41+AH42</f>
        <v/>
      </c>
      <c r="AI43" s="87">
        <f>AI41+AI42</f>
        <v/>
      </c>
      <c r="AJ43" s="87">
        <f>AJ41+AJ42</f>
        <v/>
      </c>
      <c r="AK43" s="87">
        <f>AK41+AK42</f>
        <v/>
      </c>
      <c r="AL43" s="87">
        <f>AL41+AL42</f>
        <v/>
      </c>
      <c r="AM43" s="87">
        <f>AM41+AM42</f>
        <v/>
      </c>
      <c r="AN43" s="87">
        <f>AN41+AN42</f>
        <v/>
      </c>
      <c r="AO43" s="87">
        <f>AO41+AO42</f>
        <v/>
      </c>
      <c r="AP43" s="87">
        <f>AP41+AP42</f>
        <v/>
      </c>
      <c r="AQ43" s="87">
        <f>AQ41+AQ42</f>
        <v/>
      </c>
      <c r="AR43" s="87">
        <f>AR41+AR42</f>
        <v/>
      </c>
      <c r="AS43" s="87">
        <f>AS41+AS42</f>
        <v/>
      </c>
      <c r="AT43" s="87">
        <f>AT41+AT42</f>
        <v/>
      </c>
      <c r="AU43" s="87">
        <f>AU41+AU42</f>
        <v/>
      </c>
      <c r="AV43" s="87">
        <f>AV41+AV42</f>
        <v/>
      </c>
      <c r="AW43" s="87">
        <f>AW41+AW42</f>
        <v/>
      </c>
      <c r="AX43" s="87">
        <f>AX41+AX42</f>
        <v/>
      </c>
      <c r="AY43" s="87">
        <f>AY41+AY42</f>
        <v/>
      </c>
      <c r="AZ43" s="87">
        <f>AZ41+AZ42</f>
        <v/>
      </c>
      <c r="BA43" s="87">
        <f>BA41+BA42</f>
        <v/>
      </c>
      <c r="BB43" s="87">
        <f>BB41+BB42</f>
        <v/>
      </c>
      <c r="BC43" s="87">
        <f>BC41+BC42</f>
        <v/>
      </c>
      <c r="BD43" s="87">
        <f>BD41+BD42</f>
        <v/>
      </c>
      <c r="BE43" s="87">
        <f>BE41+BE42</f>
        <v/>
      </c>
      <c r="BF43" s="87">
        <f>BF41+BF42</f>
        <v/>
      </c>
      <c r="BG43" s="87">
        <f>BG41+BG42</f>
        <v/>
      </c>
      <c r="BH43" s="87">
        <f>BH41+BH42</f>
        <v/>
      </c>
      <c r="BI43" s="87">
        <f>BI41+BI42</f>
        <v/>
      </c>
      <c r="BJ43" s="87">
        <f>BJ41+BJ42</f>
        <v/>
      </c>
      <c r="BK43" s="87">
        <f>BK41+BK42</f>
        <v/>
      </c>
      <c r="BL43" s="87">
        <f>BL41+BL42</f>
        <v/>
      </c>
      <c r="BM43" s="87">
        <f>BM41+BM42</f>
        <v/>
      </c>
      <c r="BN43" s="87">
        <f>BN41+BN42</f>
        <v/>
      </c>
      <c r="BO43" s="87">
        <f>BO41+BO42</f>
        <v/>
      </c>
      <c r="BP43" s="87">
        <f>BP41+BP42</f>
        <v/>
      </c>
      <c r="BQ43" s="87">
        <f>BQ41+BQ42</f>
        <v/>
      </c>
      <c r="BR43" s="87">
        <f>BR41+BR42</f>
        <v/>
      </c>
      <c r="BS43" s="87">
        <f>BS41+BS42</f>
        <v/>
      </c>
      <c r="BT43" s="87">
        <f>BT41+BT42</f>
        <v/>
      </c>
      <c r="BU43" s="87">
        <f>BU41+BU42</f>
        <v/>
      </c>
      <c r="BV43" s="87">
        <f>BV41+BV42</f>
        <v/>
      </c>
      <c r="BW43" s="87">
        <f>BW41+BW42</f>
        <v/>
      </c>
      <c r="BX43" s="87">
        <f>BX41+BX42</f>
        <v/>
      </c>
      <c r="BY43" s="87">
        <f>BY41+BY42</f>
        <v/>
      </c>
    </row>
    <row r="44" ht="15.75" customHeight="1" s="194">
      <c r="B44" s="130" t="inlineStr">
        <is>
          <t>OPEX — всего</t>
        </is>
      </c>
      <c r="C44" s="130" t="inlineStr">
        <is>
          <t>₽</t>
        </is>
      </c>
      <c r="D44" s="156" t="n"/>
      <c r="E44" s="157">
        <f>SUM(L44:W44)</f>
        <v/>
      </c>
      <c r="F44" s="157">
        <f>SUM(X44:AI44)</f>
        <v/>
      </c>
      <c r="G44" s="157">
        <f>SUM(AJ44:AU44)</f>
        <v/>
      </c>
      <c r="H44" s="157">
        <f>SUM(AV44:BG44)</f>
        <v/>
      </c>
      <c r="I44" s="157">
        <f>SUM(BH44:BS44)</f>
        <v/>
      </c>
      <c r="J44" s="134">
        <f>SUM(L44:BS44)</f>
        <v/>
      </c>
      <c r="L44" s="133">
        <f>L30+L35+L36+L37+L38+L39+L43</f>
        <v/>
      </c>
      <c r="M44" s="133">
        <f>M30+M35+M36+M37+M38+M39+M43</f>
        <v/>
      </c>
      <c r="N44" s="133">
        <f>N30+N35+N36+N37+N38+N39+N43</f>
        <v/>
      </c>
      <c r="O44" s="133">
        <f>O30+O35+O36+O37+O38+O39+O43</f>
        <v/>
      </c>
      <c r="P44" s="133">
        <f>P30+P35+P36+P37+P38+P39+P43</f>
        <v/>
      </c>
      <c r="Q44" s="133">
        <f>Q30+Q35+Q36+Q37+Q38+Q39+Q43</f>
        <v/>
      </c>
      <c r="R44" s="133">
        <f>R30+R35+R36+R37+R38+R39+R43</f>
        <v/>
      </c>
      <c r="S44" s="133">
        <f>S30+S35+S36+S37+S38+S39+S43</f>
        <v/>
      </c>
      <c r="T44" s="133">
        <f>T30+T35+T36+T37+T38+T39+T43</f>
        <v/>
      </c>
      <c r="U44" s="133">
        <f>U30+U35+U36+U37+U38+U39+U43</f>
        <v/>
      </c>
      <c r="V44" s="133">
        <f>V30+V35+V36+V37+V38+V39+V43</f>
        <v/>
      </c>
      <c r="W44" s="133">
        <f>W30+W35+W36+W37+W38+W39+W43</f>
        <v/>
      </c>
      <c r="X44" s="133">
        <f>X30+X35+X36+X37+X38+X39+X43</f>
        <v/>
      </c>
      <c r="Y44" s="133">
        <f>Y30+Y35+Y36+Y37+Y38+Y39+Y43</f>
        <v/>
      </c>
      <c r="Z44" s="133">
        <f>Z30+Z35+Z36+Z37+Z38+Z39+Z43</f>
        <v/>
      </c>
      <c r="AA44" s="133">
        <f>AA30+AA35+AA36+AA37+AA38+AA39+AA43</f>
        <v/>
      </c>
      <c r="AB44" s="133">
        <f>AB30+AB35+AB36+AB37+AB38+AB39+AB43</f>
        <v/>
      </c>
      <c r="AC44" s="133">
        <f>AC30+AC35+AC36+AC37+AC38+AC39+AC43</f>
        <v/>
      </c>
      <c r="AD44" s="133">
        <f>AD30+AD35+AD36+AD37+AD38+AD39+AD43</f>
        <v/>
      </c>
      <c r="AE44" s="133">
        <f>AE30+AE35+AE36+AE37+AE38+AE39+AE43</f>
        <v/>
      </c>
      <c r="AF44" s="133">
        <f>AF30+AF35+AF36+AF37+AF38+AF39+AF43</f>
        <v/>
      </c>
      <c r="AG44" s="133">
        <f>AG30+AG35+AG36+AG37+AG38+AG39+AG43</f>
        <v/>
      </c>
      <c r="AH44" s="133">
        <f>AH30+AH35+AH36+AH37+AH38+AH39+AH43</f>
        <v/>
      </c>
      <c r="AI44" s="133">
        <f>AI30+AI35+AI36+AI37+AI38+AI39+AI43</f>
        <v/>
      </c>
      <c r="AJ44" s="133">
        <f>AJ30+AJ35+AJ36+AJ37+AJ38+AJ39+AJ43</f>
        <v/>
      </c>
      <c r="AK44" s="133">
        <f>AK30+AK35+AK36+AK37+AK38+AK39+AK43</f>
        <v/>
      </c>
      <c r="AL44" s="133">
        <f>AL30+AL35+AL36+AL37+AL38+AL39+AL43</f>
        <v/>
      </c>
      <c r="AM44" s="133">
        <f>AM30+AM35+AM36+AM37+AM38+AM39+AM43</f>
        <v/>
      </c>
      <c r="AN44" s="133">
        <f>AN30+AN35+AN36+AN37+AN38+AN39+AN43</f>
        <v/>
      </c>
      <c r="AO44" s="133">
        <f>AO30+AO35+AO36+AO37+AO38+AO39+AO43</f>
        <v/>
      </c>
      <c r="AP44" s="133">
        <f>AP30+AP35+AP36+AP37+AP38+AP39+AP43</f>
        <v/>
      </c>
      <c r="AQ44" s="133">
        <f>AQ30+AQ35+AQ36+AQ37+AQ38+AQ39+AQ43</f>
        <v/>
      </c>
      <c r="AR44" s="133">
        <f>AR30+AR35+AR36+AR37+AR38+AR39+AR43</f>
        <v/>
      </c>
      <c r="AS44" s="133">
        <f>AS30+AS35+AS36+AS37+AS38+AS39+AS43</f>
        <v/>
      </c>
      <c r="AT44" s="133">
        <f>AT30+AT35+AT36+AT37+AT38+AT39+AT43</f>
        <v/>
      </c>
      <c r="AU44" s="133">
        <f>AU30+AU35+AU36+AU37+AU38+AU39+AU43</f>
        <v/>
      </c>
      <c r="AV44" s="133">
        <f>AV30+AV35+AV36+AV37+AV38+AV39+AV43</f>
        <v/>
      </c>
      <c r="AW44" s="133">
        <f>AW30+AW35+AW36+AW37+AW38+AW39+AW43</f>
        <v/>
      </c>
      <c r="AX44" s="133">
        <f>AX30+AX35+AX36+AX37+AX38+AX39+AX43</f>
        <v/>
      </c>
      <c r="AY44" s="133">
        <f>AY30+AY35+AY36+AY37+AY38+AY39+AY43</f>
        <v/>
      </c>
      <c r="AZ44" s="133">
        <f>AZ30+AZ35+AZ36+AZ37+AZ38+AZ39+AZ43</f>
        <v/>
      </c>
      <c r="BA44" s="133">
        <f>BA30+BA35+BA36+BA37+BA38+BA39+BA43</f>
        <v/>
      </c>
      <c r="BB44" s="133">
        <f>BB30+BB35+BB36+BB37+BB38+BB39+BB43</f>
        <v/>
      </c>
      <c r="BC44" s="133">
        <f>BC30+BC35+BC36+BC37+BC38+BC39+BC43</f>
        <v/>
      </c>
      <c r="BD44" s="133">
        <f>BD30+BD35+BD36+BD37+BD38+BD39+BD43</f>
        <v/>
      </c>
      <c r="BE44" s="133">
        <f>BE30+BE35+BE36+BE37+BE38+BE39+BE43</f>
        <v/>
      </c>
      <c r="BF44" s="133">
        <f>BF30+BF35+BF36+BF37+BF38+BF39+BF43</f>
        <v/>
      </c>
      <c r="BG44" s="133">
        <f>BG30+BG35+BG36+BG37+BG38+BG39+BG43</f>
        <v/>
      </c>
      <c r="BH44" s="133">
        <f>BH30+BH35+BH36+BH37+BH38+BH39+BH43</f>
        <v/>
      </c>
      <c r="BI44" s="133">
        <f>BI30+BI35+BI36+BI37+BI38+BI39+BI43</f>
        <v/>
      </c>
      <c r="BJ44" s="133">
        <f>BJ30+BJ35+BJ36+BJ37+BJ38+BJ39+BJ43</f>
        <v/>
      </c>
      <c r="BK44" s="133">
        <f>BK30+BK35+BK36+BK37+BK38+BK39+BK43</f>
        <v/>
      </c>
      <c r="BL44" s="133">
        <f>BL30+BL35+BL36+BL37+BL38+BL39+BL43</f>
        <v/>
      </c>
      <c r="BM44" s="133">
        <f>BM30+BM35+BM36+BM37+BM38+BM39+BM43</f>
        <v/>
      </c>
      <c r="BN44" s="133">
        <f>BN30+BN35+BN36+BN37+BN38+BN39+BN43</f>
        <v/>
      </c>
      <c r="BO44" s="133">
        <f>BO30+BO35+BO36+BO37+BO38+BO39+BO43</f>
        <v/>
      </c>
      <c r="BP44" s="133">
        <f>BP30+BP35+BP36+BP37+BP38+BP39+BP43</f>
        <v/>
      </c>
      <c r="BQ44" s="133">
        <f>BQ30+BQ35+BQ36+BQ37+BQ38+BQ39+BQ43</f>
        <v/>
      </c>
      <c r="BR44" s="133">
        <f>BR30+BR35+BR36+BR37+BR38+BR39+BR43</f>
        <v/>
      </c>
      <c r="BS44" s="133">
        <f>BS30+BS35+BS36+BS37+BS38+BS39+BS43</f>
        <v/>
      </c>
      <c r="BT44" s="133">
        <f>BT30+BT35+BT36+BT37+BT38+BT39+BT43</f>
        <v/>
      </c>
      <c r="BU44" s="133">
        <f>BU30+BU35+BU36+BU37+BU38+BU39+BU43</f>
        <v/>
      </c>
      <c r="BV44" s="133">
        <f>BV30+BV35+BV36+BV37+BV38+BV39+BV43</f>
        <v/>
      </c>
      <c r="BW44" s="133">
        <f>BW30+BW35+BW36+BW37+BW38+BW39+BW43</f>
        <v/>
      </c>
      <c r="BX44" s="133">
        <f>BX30+BX35+BX36+BX37+BX38+BX39+BX43</f>
        <v/>
      </c>
      <c r="BY44" s="133">
        <f>BY30+BY35+BY36+BY37+BY38+BY39+BY43</f>
        <v/>
      </c>
    </row>
    <row r="45" ht="15.75" customHeight="1" s="194"/>
    <row r="46" ht="15.75" customHeight="1" s="194">
      <c r="B46" s="54" t="inlineStr">
        <is>
          <t>Выплаты футбольному клубу</t>
        </is>
      </c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  <c r="S46" s="55" t="n"/>
      <c r="T46" s="55" t="n"/>
      <c r="U46" s="55" t="n"/>
      <c r="V46" s="55" t="n"/>
      <c r="W46" s="55" t="n"/>
      <c r="X46" s="55" t="n"/>
      <c r="Y46" s="55" t="n"/>
      <c r="Z46" s="55" t="n"/>
      <c r="AA46" s="55" t="n"/>
      <c r="AB46" s="55" t="n"/>
      <c r="AC46" s="55" t="n"/>
      <c r="AD46" s="55" t="n"/>
      <c r="AE46" s="55" t="n"/>
      <c r="AF46" s="55" t="n"/>
      <c r="AG46" s="55" t="n"/>
      <c r="AH46" s="55" t="n"/>
      <c r="AI46" s="55" t="n"/>
      <c r="AJ46" s="55" t="n"/>
      <c r="AK46" s="55" t="n"/>
      <c r="AL46" s="55" t="n"/>
      <c r="AM46" s="55" t="n"/>
      <c r="AN46" s="55" t="n"/>
      <c r="AO46" s="55" t="n"/>
      <c r="AP46" s="55" t="n"/>
      <c r="AQ46" s="55" t="n"/>
      <c r="AR46" s="55" t="n"/>
      <c r="AS46" s="55" t="n"/>
      <c r="AT46" s="55" t="n"/>
      <c r="AU46" s="55" t="n"/>
      <c r="AV46" s="55" t="n"/>
      <c r="AW46" s="55" t="n"/>
      <c r="AX46" s="55" t="n"/>
      <c r="AY46" s="55" t="n"/>
      <c r="AZ46" s="55" t="n"/>
      <c r="BA46" s="55" t="n"/>
      <c r="BB46" s="55" t="n"/>
      <c r="BC46" s="55" t="n"/>
      <c r="BD46" s="55" t="n"/>
      <c r="BE46" s="55" t="n"/>
      <c r="BF46" s="55" t="n"/>
      <c r="BG46" s="55" t="n"/>
      <c r="BH46" s="55" t="n"/>
      <c r="BI46" s="55" t="n"/>
      <c r="BJ46" s="55" t="n"/>
      <c r="BK46" s="55" t="n"/>
      <c r="BL46" s="55" t="n"/>
      <c r="BM46" s="55" t="n"/>
      <c r="BN46" s="55" t="n"/>
      <c r="BO46" s="55" t="n"/>
      <c r="BP46" s="55" t="n"/>
      <c r="BQ46" s="55" t="n"/>
      <c r="BR46" s="55" t="n"/>
      <c r="BS46" s="55" t="n"/>
      <c r="BT46" s="55" t="n"/>
      <c r="BU46" s="55" t="n"/>
      <c r="BV46" s="55" t="n"/>
      <c r="BW46" s="55" t="n"/>
      <c r="BX46" s="55" t="n"/>
      <c r="BY46" s="55" t="n"/>
    </row>
    <row r="47" ht="15.75" customHeight="1" s="194">
      <c r="B47" s="207" t="inlineStr">
        <is>
          <t>Начислено ФК: паушальные</t>
        </is>
      </c>
      <c r="C47" s="56" t="inlineStr">
        <is>
          <t>₽</t>
        </is>
      </c>
      <c r="D47" s="57" t="n"/>
      <c r="E47" s="85">
        <f>SUM(L47:W47)</f>
        <v/>
      </c>
      <c r="F47" s="85">
        <f>SUM(X47:AI47)</f>
        <v/>
      </c>
      <c r="G47" s="85">
        <f>SUM(AJ47:AU47)</f>
        <v/>
      </c>
      <c r="H47" s="85">
        <f>SUM(AV47:BG47)</f>
        <v/>
      </c>
      <c r="I47" s="85">
        <f>SUM(BH47:BS47)</f>
        <v/>
      </c>
      <c r="J47" s="86">
        <f>SUM(L47:BS47)</f>
        <v/>
      </c>
      <c r="L47" s="87">
        <f>'04_Доходы'!L13*ДоляФКПаушальные</f>
        <v/>
      </c>
      <c r="M47" s="87">
        <f>'04_Доходы'!M13*ДоляФКПаушальные</f>
        <v/>
      </c>
      <c r="N47" s="87">
        <f>'04_Доходы'!N13*ДоляФКПаушальные</f>
        <v/>
      </c>
      <c r="O47" s="87">
        <f>'04_Доходы'!O13*ДоляФКПаушальные</f>
        <v/>
      </c>
      <c r="P47" s="87">
        <f>'04_Доходы'!P13*ДоляФКПаушальные</f>
        <v/>
      </c>
      <c r="Q47" s="87">
        <f>'04_Доходы'!Q13*ДоляФКПаушальные</f>
        <v/>
      </c>
      <c r="R47" s="87">
        <f>'04_Доходы'!R13*ДоляФКПаушальные</f>
        <v/>
      </c>
      <c r="S47" s="87">
        <f>'04_Доходы'!S13*ДоляФКПаушальные</f>
        <v/>
      </c>
      <c r="T47" s="87">
        <f>'04_Доходы'!T13*ДоляФКПаушальные</f>
        <v/>
      </c>
      <c r="U47" s="87">
        <f>'04_Доходы'!U13*ДоляФКПаушальные</f>
        <v/>
      </c>
      <c r="V47" s="87">
        <f>'04_Доходы'!V13*ДоляФКПаушальные</f>
        <v/>
      </c>
      <c r="W47" s="87">
        <f>'04_Доходы'!W13*ДоляФКПаушальные</f>
        <v/>
      </c>
      <c r="X47" s="87">
        <f>'04_Доходы'!X13*ДоляФКПаушальные</f>
        <v/>
      </c>
      <c r="Y47" s="87">
        <f>'04_Доходы'!Y13*ДоляФКПаушальные</f>
        <v/>
      </c>
      <c r="Z47" s="87">
        <f>'04_Доходы'!Z13*ДоляФКПаушальные</f>
        <v/>
      </c>
      <c r="AA47" s="87">
        <f>'04_Доходы'!AA13*ДоляФКПаушальные</f>
        <v/>
      </c>
      <c r="AB47" s="87">
        <f>'04_Доходы'!AB13*ДоляФКПаушальные</f>
        <v/>
      </c>
      <c r="AC47" s="87">
        <f>'04_Доходы'!AC13*ДоляФКПаушальные</f>
        <v/>
      </c>
      <c r="AD47" s="87">
        <f>'04_Доходы'!AD13*ДоляФКПаушальные</f>
        <v/>
      </c>
      <c r="AE47" s="87">
        <f>'04_Доходы'!AE13*ДоляФКПаушальные</f>
        <v/>
      </c>
      <c r="AF47" s="87">
        <f>'04_Доходы'!AF13*ДоляФКПаушальные</f>
        <v/>
      </c>
      <c r="AG47" s="87">
        <f>'04_Доходы'!AG13*ДоляФКПаушальные</f>
        <v/>
      </c>
      <c r="AH47" s="87">
        <f>'04_Доходы'!AH13*ДоляФКПаушальные</f>
        <v/>
      </c>
      <c r="AI47" s="87">
        <f>'04_Доходы'!AI13*ДоляФКПаушальные</f>
        <v/>
      </c>
      <c r="AJ47" s="87">
        <f>'04_Доходы'!AJ13*ДоляФКПаушальные</f>
        <v/>
      </c>
      <c r="AK47" s="87">
        <f>'04_Доходы'!AK13*ДоляФКПаушальные</f>
        <v/>
      </c>
      <c r="AL47" s="87">
        <f>'04_Доходы'!AL13*ДоляФКПаушальные</f>
        <v/>
      </c>
      <c r="AM47" s="87">
        <f>'04_Доходы'!AM13*ДоляФКПаушальные</f>
        <v/>
      </c>
      <c r="AN47" s="87">
        <f>'04_Доходы'!AN13*ДоляФКПаушальные</f>
        <v/>
      </c>
      <c r="AO47" s="87">
        <f>'04_Доходы'!AO13*ДоляФКПаушальные</f>
        <v/>
      </c>
      <c r="AP47" s="87">
        <f>'04_Доходы'!AP13*ДоляФКПаушальные</f>
        <v/>
      </c>
      <c r="AQ47" s="87">
        <f>'04_Доходы'!AQ13*ДоляФКПаушальные</f>
        <v/>
      </c>
      <c r="AR47" s="87">
        <f>'04_Доходы'!AR13*ДоляФКПаушальные</f>
        <v/>
      </c>
      <c r="AS47" s="87">
        <f>'04_Доходы'!AS13*ДоляФКПаушальные</f>
        <v/>
      </c>
      <c r="AT47" s="87">
        <f>'04_Доходы'!AT13*ДоляФКПаушальные</f>
        <v/>
      </c>
      <c r="AU47" s="87">
        <f>'04_Доходы'!AU13*ДоляФКПаушальные</f>
        <v/>
      </c>
      <c r="AV47" s="87">
        <f>'04_Доходы'!AV13*ДоляФКПаушальные</f>
        <v/>
      </c>
      <c r="AW47" s="87">
        <f>'04_Доходы'!AW13*ДоляФКПаушальные</f>
        <v/>
      </c>
      <c r="AX47" s="87">
        <f>'04_Доходы'!AX13*ДоляФКПаушальные</f>
        <v/>
      </c>
      <c r="AY47" s="87">
        <f>'04_Доходы'!AY13*ДоляФКПаушальные</f>
        <v/>
      </c>
      <c r="AZ47" s="87">
        <f>'04_Доходы'!AZ13*ДоляФКПаушальные</f>
        <v/>
      </c>
      <c r="BA47" s="87">
        <f>'04_Доходы'!BA13*ДоляФКПаушальные</f>
        <v/>
      </c>
      <c r="BB47" s="87">
        <f>'04_Доходы'!BB13*ДоляФКПаушальные</f>
        <v/>
      </c>
      <c r="BC47" s="87">
        <f>'04_Доходы'!BC13*ДоляФКПаушальные</f>
        <v/>
      </c>
      <c r="BD47" s="87">
        <f>'04_Доходы'!BD13*ДоляФКПаушальные</f>
        <v/>
      </c>
      <c r="BE47" s="87">
        <f>'04_Доходы'!BE13*ДоляФКПаушальные</f>
        <v/>
      </c>
      <c r="BF47" s="87">
        <f>'04_Доходы'!BF13*ДоляФКПаушальные</f>
        <v/>
      </c>
      <c r="BG47" s="87">
        <f>'04_Доходы'!BG13*ДоляФКПаушальные</f>
        <v/>
      </c>
      <c r="BH47" s="87">
        <f>'04_Доходы'!BH13*ДоляФКПаушальные</f>
        <v/>
      </c>
      <c r="BI47" s="87">
        <f>'04_Доходы'!BI13*ДоляФКПаушальные</f>
        <v/>
      </c>
      <c r="BJ47" s="87">
        <f>'04_Доходы'!BJ13*ДоляФКПаушальные</f>
        <v/>
      </c>
      <c r="BK47" s="87">
        <f>'04_Доходы'!BK13*ДоляФКПаушальные</f>
        <v/>
      </c>
      <c r="BL47" s="87">
        <f>'04_Доходы'!BL13*ДоляФКПаушальные</f>
        <v/>
      </c>
      <c r="BM47" s="87">
        <f>'04_Доходы'!BM13*ДоляФКПаушальные</f>
        <v/>
      </c>
      <c r="BN47" s="87">
        <f>'04_Доходы'!BN13*ДоляФКПаушальные</f>
        <v/>
      </c>
      <c r="BO47" s="87">
        <f>'04_Доходы'!BO13*ДоляФКПаушальные</f>
        <v/>
      </c>
      <c r="BP47" s="87">
        <f>'04_Доходы'!BP13*ДоляФКПаушальные</f>
        <v/>
      </c>
      <c r="BQ47" s="87">
        <f>'04_Доходы'!BQ13*ДоляФКПаушальные</f>
        <v/>
      </c>
      <c r="BR47" s="87">
        <f>'04_Доходы'!BR13*ДоляФКПаушальные</f>
        <v/>
      </c>
      <c r="BS47" s="87">
        <f>'04_Доходы'!BS13*ДоляФКПаушальные</f>
        <v/>
      </c>
      <c r="BT47" s="87">
        <f>'04_Доходы'!BT13*ДоляФКПаушальные</f>
        <v/>
      </c>
      <c r="BU47" s="87">
        <f>'04_Доходы'!BU13*ДоляФКПаушальные</f>
        <v/>
      </c>
      <c r="BV47" s="87">
        <f>'04_Доходы'!BV13*ДоляФКПаушальные</f>
        <v/>
      </c>
      <c r="BW47" s="87">
        <f>'04_Доходы'!BW13*ДоляФКПаушальные</f>
        <v/>
      </c>
      <c r="BX47" s="87">
        <f>'04_Доходы'!BX13*ДоляФКПаушальные</f>
        <v/>
      </c>
      <c r="BY47" s="87">
        <f>'04_Доходы'!BY13*ДоляФКПаушальные</f>
        <v/>
      </c>
    </row>
    <row r="48" ht="15.75" customHeight="1" s="194">
      <c r="B48" s="207" t="inlineStr">
        <is>
          <t>Начислено ФК: роялти</t>
        </is>
      </c>
      <c r="C48" s="56" t="inlineStr">
        <is>
          <t>₽</t>
        </is>
      </c>
      <c r="D48" s="57" t="n"/>
      <c r="E48" s="85">
        <f>SUM(L48:W48)</f>
        <v/>
      </c>
      <c r="F48" s="85">
        <f>SUM(X48:AI48)</f>
        <v/>
      </c>
      <c r="G48" s="85">
        <f>SUM(AJ48:AU48)</f>
        <v/>
      </c>
      <c r="H48" s="85">
        <f>SUM(AV48:BG48)</f>
        <v/>
      </c>
      <c r="I48" s="85">
        <f>SUM(BH48:BS48)</f>
        <v/>
      </c>
      <c r="J48" s="86">
        <f>SUM(L48:BS48)</f>
        <v/>
      </c>
      <c r="L48" s="87">
        <f>'04_Доходы'!L103/(1+НДС)*IF(L$5&gt;=ДатаФКСтупень3,ДоляФКРоялти3,IF(L$5&gt;=ДатаФКСтупень2,ДоляФКРоялти2,ДоляФКРоялти))</f>
        <v/>
      </c>
      <c r="M48" s="87">
        <f>'04_Доходы'!M103/(1+НДС)*IF(M$5&gt;=ДатаФКСтупень3,ДоляФКРоялти3,IF(M$5&gt;=ДатаФКСтупень2,ДоляФКРоялти2,ДоляФКРоялти))</f>
        <v/>
      </c>
      <c r="N48" s="87">
        <f>'04_Доходы'!N103/(1+НДС)*IF(N$5&gt;=ДатаФКСтупень3,ДоляФКРоялти3,IF(N$5&gt;=ДатаФКСтупень2,ДоляФКРоялти2,ДоляФКРоялти))</f>
        <v/>
      </c>
      <c r="O48" s="87">
        <f>'04_Доходы'!O103/(1+НДС)*IF(O$5&gt;=ДатаФКСтупень3,ДоляФКРоялти3,IF(O$5&gt;=ДатаФКСтупень2,ДоляФКРоялти2,ДоляФКРоялти))</f>
        <v/>
      </c>
      <c r="P48" s="87">
        <f>'04_Доходы'!P103/(1+НДС)*IF(P$5&gt;=ДатаФКСтупень3,ДоляФКРоялти3,IF(P$5&gt;=ДатаФКСтупень2,ДоляФКРоялти2,ДоляФКРоялти))</f>
        <v/>
      </c>
      <c r="Q48" s="87">
        <f>'04_Доходы'!Q103/(1+НДС)*IF(Q$5&gt;=ДатаФКСтупень3,ДоляФКРоялти3,IF(Q$5&gt;=ДатаФКСтупень2,ДоляФКРоялти2,ДоляФКРоялти))</f>
        <v/>
      </c>
      <c r="R48" s="87">
        <f>'04_Доходы'!R103/(1+НДС)*IF(R$5&gt;=ДатаФКСтупень3,ДоляФКРоялти3,IF(R$5&gt;=ДатаФКСтупень2,ДоляФКРоялти2,ДоляФКРоялти))</f>
        <v/>
      </c>
      <c r="S48" s="87">
        <f>'04_Доходы'!S103/(1+НДС)*IF(S$5&gt;=ДатаФКСтупень3,ДоляФКРоялти3,IF(S$5&gt;=ДатаФКСтупень2,ДоляФКРоялти2,ДоляФКРоялти))</f>
        <v/>
      </c>
      <c r="T48" s="87">
        <f>'04_Доходы'!T103/(1+НДС)*IF(T$5&gt;=ДатаФКСтупень3,ДоляФКРоялти3,IF(T$5&gt;=ДатаФКСтупень2,ДоляФКРоялти2,ДоляФКРоялти))</f>
        <v/>
      </c>
      <c r="U48" s="87">
        <f>'04_Доходы'!U103/(1+НДС)*IF(U$5&gt;=ДатаФКСтупень3,ДоляФКРоялти3,IF(U$5&gt;=ДатаФКСтупень2,ДоляФКРоялти2,ДоляФКРоялти))</f>
        <v/>
      </c>
      <c r="V48" s="87">
        <f>'04_Доходы'!V103/(1+НДС)*IF(V$5&gt;=ДатаФКСтупень3,ДоляФКРоялти3,IF(V$5&gt;=ДатаФКСтупень2,ДоляФКРоялти2,ДоляФКРоялти))</f>
        <v/>
      </c>
      <c r="W48" s="87">
        <f>'04_Доходы'!W103/(1+НДС)*IF(W$5&gt;=ДатаФКСтупень3,ДоляФКРоялти3,IF(W$5&gt;=ДатаФКСтупень2,ДоляФКРоялти2,ДоляФКРоялти))</f>
        <v/>
      </c>
      <c r="X48" s="87">
        <f>'04_Доходы'!X103/(1+НДС)*IF(X$5&gt;=ДатаФКСтупень3,ДоляФКРоялти3,IF(X$5&gt;=ДатаФКСтупень2,ДоляФКРоялти2,ДоляФКРоялти))</f>
        <v/>
      </c>
      <c r="Y48" s="87">
        <f>'04_Доходы'!Y103/(1+НДС)*IF(Y$5&gt;=ДатаФКСтупень3,ДоляФКРоялти3,IF(Y$5&gt;=ДатаФКСтупень2,ДоляФКРоялти2,ДоляФКРоялти))</f>
        <v/>
      </c>
      <c r="Z48" s="87">
        <f>'04_Доходы'!Z103/(1+НДС)*IF(Z$5&gt;=ДатаФКСтупень3,ДоляФКРоялти3,IF(Z$5&gt;=ДатаФКСтупень2,ДоляФКРоялти2,ДоляФКРоялти))</f>
        <v/>
      </c>
      <c r="AA48" s="87">
        <f>'04_Доходы'!AA103/(1+НДС)*IF(AA$5&gt;=ДатаФКСтупень3,ДоляФКРоялти3,IF(AA$5&gt;=ДатаФКСтупень2,ДоляФКРоялти2,ДоляФКРоялти))</f>
        <v/>
      </c>
      <c r="AB48" s="87">
        <f>'04_Доходы'!AB103/(1+НДС)*IF(AB$5&gt;=ДатаФКСтупень3,ДоляФКРоялти3,IF(AB$5&gt;=ДатаФКСтупень2,ДоляФКРоялти2,ДоляФКРоялти))</f>
        <v/>
      </c>
      <c r="AC48" s="87">
        <f>'04_Доходы'!AC103/(1+НДС)*IF(AC$5&gt;=ДатаФКСтупень3,ДоляФКРоялти3,IF(AC$5&gt;=ДатаФКСтупень2,ДоляФКРоялти2,ДоляФКРоялти))</f>
        <v/>
      </c>
      <c r="AD48" s="87">
        <f>'04_Доходы'!AD103/(1+НДС)*IF(AD$5&gt;=ДатаФКСтупень3,ДоляФКРоялти3,IF(AD$5&gt;=ДатаФКСтупень2,ДоляФКРоялти2,ДоляФКРоялти))</f>
        <v/>
      </c>
      <c r="AE48" s="87">
        <f>'04_Доходы'!AE103/(1+НДС)*IF(AE$5&gt;=ДатаФКСтупень3,ДоляФКРоялти3,IF(AE$5&gt;=ДатаФКСтупень2,ДоляФКРоялти2,ДоляФКРоялти))</f>
        <v/>
      </c>
      <c r="AF48" s="87">
        <f>'04_Доходы'!AF103/(1+НДС)*IF(AF$5&gt;=ДатаФКСтупень3,ДоляФКРоялти3,IF(AF$5&gt;=ДатаФКСтупень2,ДоляФКРоялти2,ДоляФКРоялти))</f>
        <v/>
      </c>
      <c r="AG48" s="87">
        <f>'04_Доходы'!AG103/(1+НДС)*IF(AG$5&gt;=ДатаФКСтупень3,ДоляФКРоялти3,IF(AG$5&gt;=ДатаФКСтупень2,ДоляФКРоялти2,ДоляФКРоялти))</f>
        <v/>
      </c>
      <c r="AH48" s="87">
        <f>'04_Доходы'!AH103/(1+НДС)*IF(AH$5&gt;=ДатаФКСтупень3,ДоляФКРоялти3,IF(AH$5&gt;=ДатаФКСтупень2,ДоляФКРоялти2,ДоляФКРоялти))</f>
        <v/>
      </c>
      <c r="AI48" s="87">
        <f>'04_Доходы'!AI103/(1+НДС)*IF(AI$5&gt;=ДатаФКСтупень3,ДоляФКРоялти3,IF(AI$5&gt;=ДатаФКСтупень2,ДоляФКРоялти2,ДоляФКРоялти))</f>
        <v/>
      </c>
      <c r="AJ48" s="87">
        <f>'04_Доходы'!AJ103/(1+НДС)*IF(AJ$5&gt;=ДатаФКСтупень3,ДоляФКРоялти3,IF(AJ$5&gt;=ДатаФКСтупень2,ДоляФКРоялти2,ДоляФКРоялти))</f>
        <v/>
      </c>
      <c r="AK48" s="87">
        <f>'04_Доходы'!AK103/(1+НДС)*IF(AK$5&gt;=ДатаФКСтупень3,ДоляФКРоялти3,IF(AK$5&gt;=ДатаФКСтупень2,ДоляФКРоялти2,ДоляФКРоялти))</f>
        <v/>
      </c>
      <c r="AL48" s="87">
        <f>'04_Доходы'!AL103/(1+НДС)*IF(AL$5&gt;=ДатаФКСтупень3,ДоляФКРоялти3,IF(AL$5&gt;=ДатаФКСтупень2,ДоляФКРоялти2,ДоляФКРоялти))</f>
        <v/>
      </c>
      <c r="AM48" s="87">
        <f>'04_Доходы'!AM103/(1+НДС)*IF(AM$5&gt;=ДатаФКСтупень3,ДоляФКРоялти3,IF(AM$5&gt;=ДатаФКСтупень2,ДоляФКРоялти2,ДоляФКРоялти))</f>
        <v/>
      </c>
      <c r="AN48" s="87">
        <f>'04_Доходы'!AN103/(1+НДС)*IF(AN$5&gt;=ДатаФКСтупень3,ДоляФКРоялти3,IF(AN$5&gt;=ДатаФКСтупень2,ДоляФКРоялти2,ДоляФКРоялти))</f>
        <v/>
      </c>
      <c r="AO48" s="87">
        <f>'04_Доходы'!AO103/(1+НДС)*IF(AO$5&gt;=ДатаФКСтупень3,ДоляФКРоялти3,IF(AO$5&gt;=ДатаФКСтупень2,ДоляФКРоялти2,ДоляФКРоялти))</f>
        <v/>
      </c>
      <c r="AP48" s="87">
        <f>'04_Доходы'!AP103/(1+НДС)*IF(AP$5&gt;=ДатаФКСтупень3,ДоляФКРоялти3,IF(AP$5&gt;=ДатаФКСтупень2,ДоляФКРоялти2,ДоляФКРоялти))</f>
        <v/>
      </c>
      <c r="AQ48" s="87">
        <f>'04_Доходы'!AQ103/(1+НДС)*IF(AQ$5&gt;=ДатаФКСтупень3,ДоляФКРоялти3,IF(AQ$5&gt;=ДатаФКСтупень2,ДоляФКРоялти2,ДоляФКРоялти))</f>
        <v/>
      </c>
      <c r="AR48" s="87">
        <f>'04_Доходы'!AR103/(1+НДС)*IF(AR$5&gt;=ДатаФКСтупень3,ДоляФКРоялти3,IF(AR$5&gt;=ДатаФКСтупень2,ДоляФКРоялти2,ДоляФКРоялти))</f>
        <v/>
      </c>
      <c r="AS48" s="87">
        <f>'04_Доходы'!AS103/(1+НДС)*IF(AS$5&gt;=ДатаФКСтупень3,ДоляФКРоялти3,IF(AS$5&gt;=ДатаФКСтупень2,ДоляФКРоялти2,ДоляФКРоялти))</f>
        <v/>
      </c>
      <c r="AT48" s="87">
        <f>'04_Доходы'!AT103/(1+НДС)*IF(AT$5&gt;=ДатаФКСтупень3,ДоляФКРоялти3,IF(AT$5&gt;=ДатаФКСтупень2,ДоляФКРоялти2,ДоляФКРоялти))</f>
        <v/>
      </c>
      <c r="AU48" s="87">
        <f>'04_Доходы'!AU103/(1+НДС)*IF(AU$5&gt;=ДатаФКСтупень3,ДоляФКРоялти3,IF(AU$5&gt;=ДатаФКСтупень2,ДоляФКРоялти2,ДоляФКРоялти))</f>
        <v/>
      </c>
      <c r="AV48" s="87">
        <f>'04_Доходы'!AV103/(1+НДС)*IF(AV$5&gt;=ДатаФКСтупень3,ДоляФКРоялти3,IF(AV$5&gt;=ДатаФКСтупень2,ДоляФКРоялти2,ДоляФКРоялти))</f>
        <v/>
      </c>
      <c r="AW48" s="87">
        <f>'04_Доходы'!AW103/(1+НДС)*IF(AW$5&gt;=ДатаФКСтупень3,ДоляФКРоялти3,IF(AW$5&gt;=ДатаФКСтупень2,ДоляФКРоялти2,ДоляФКРоялти))</f>
        <v/>
      </c>
      <c r="AX48" s="87">
        <f>'04_Доходы'!AX103/(1+НДС)*IF(AX$5&gt;=ДатаФКСтупень3,ДоляФКРоялти3,IF(AX$5&gt;=ДатаФКСтупень2,ДоляФКРоялти2,ДоляФКРоялти))</f>
        <v/>
      </c>
      <c r="AY48" s="87">
        <f>'04_Доходы'!AY103/(1+НДС)*IF(AY$5&gt;=ДатаФКСтупень3,ДоляФКРоялти3,IF(AY$5&gt;=ДатаФКСтупень2,ДоляФКРоялти2,ДоляФКРоялти))</f>
        <v/>
      </c>
      <c r="AZ48" s="87">
        <f>'04_Доходы'!AZ103/(1+НДС)*IF(AZ$5&gt;=ДатаФКСтупень3,ДоляФКРоялти3,IF(AZ$5&gt;=ДатаФКСтупень2,ДоляФКРоялти2,ДоляФКРоялти))</f>
        <v/>
      </c>
      <c r="BA48" s="87">
        <f>'04_Доходы'!BA103/(1+НДС)*IF(BA$5&gt;=ДатаФКСтупень3,ДоляФКРоялти3,IF(BA$5&gt;=ДатаФКСтупень2,ДоляФКРоялти2,ДоляФКРоялти))</f>
        <v/>
      </c>
      <c r="BB48" s="87">
        <f>'04_Доходы'!BB103/(1+НДС)*IF(BB$5&gt;=ДатаФКСтупень3,ДоляФКРоялти3,IF(BB$5&gt;=ДатаФКСтупень2,ДоляФКРоялти2,ДоляФКРоялти))</f>
        <v/>
      </c>
      <c r="BC48" s="87">
        <f>'04_Доходы'!BC103/(1+НДС)*IF(BC$5&gt;=ДатаФКСтупень3,ДоляФКРоялти3,IF(BC$5&gt;=ДатаФКСтупень2,ДоляФКРоялти2,ДоляФКРоялти))</f>
        <v/>
      </c>
      <c r="BD48" s="87">
        <f>'04_Доходы'!BD103/(1+НДС)*IF(BD$5&gt;=ДатаФКСтупень3,ДоляФКРоялти3,IF(BD$5&gt;=ДатаФКСтупень2,ДоляФКРоялти2,ДоляФКРоялти))</f>
        <v/>
      </c>
      <c r="BE48" s="87">
        <f>'04_Доходы'!BE103/(1+НДС)*IF(BE$5&gt;=ДатаФКСтупень3,ДоляФКРоялти3,IF(BE$5&gt;=ДатаФКСтупень2,ДоляФКРоялти2,ДоляФКРоялти))</f>
        <v/>
      </c>
      <c r="BF48" s="87">
        <f>'04_Доходы'!BF103/(1+НДС)*IF(BF$5&gt;=ДатаФКСтупень3,ДоляФКРоялти3,IF(BF$5&gt;=ДатаФКСтупень2,ДоляФКРоялти2,ДоляФКРоялти))</f>
        <v/>
      </c>
      <c r="BG48" s="87">
        <f>'04_Доходы'!BG103/(1+НДС)*IF(BG$5&gt;=ДатаФКСтупень3,ДоляФКРоялти3,IF(BG$5&gt;=ДатаФКСтупень2,ДоляФКРоялти2,ДоляФКРоялти))</f>
        <v/>
      </c>
      <c r="BH48" s="87">
        <f>'04_Доходы'!BH103/(1+НДС)*IF(BH$5&gt;=ДатаФКСтупень3,ДоляФКРоялти3,IF(BH$5&gt;=ДатаФКСтупень2,ДоляФКРоялти2,ДоляФКРоялти))</f>
        <v/>
      </c>
      <c r="BI48" s="87">
        <f>'04_Доходы'!BI103/(1+НДС)*IF(BI$5&gt;=ДатаФКСтупень3,ДоляФКРоялти3,IF(BI$5&gt;=ДатаФКСтупень2,ДоляФКРоялти2,ДоляФКРоялти))</f>
        <v/>
      </c>
      <c r="BJ48" s="87">
        <f>'04_Доходы'!BJ103/(1+НДС)*IF(BJ$5&gt;=ДатаФКСтупень3,ДоляФКРоялти3,IF(BJ$5&gt;=ДатаФКСтупень2,ДоляФКРоялти2,ДоляФКРоялти))</f>
        <v/>
      </c>
      <c r="BK48" s="87">
        <f>'04_Доходы'!BK103/(1+НДС)*IF(BK$5&gt;=ДатаФКСтупень3,ДоляФКРоялти3,IF(BK$5&gt;=ДатаФКСтупень2,ДоляФКРоялти2,ДоляФКРоялти))</f>
        <v/>
      </c>
      <c r="BL48" s="87">
        <f>'04_Доходы'!BL103/(1+НДС)*IF(BL$5&gt;=ДатаФКСтупень3,ДоляФКРоялти3,IF(BL$5&gt;=ДатаФКСтупень2,ДоляФКРоялти2,ДоляФКРоялти))</f>
        <v/>
      </c>
      <c r="BM48" s="87">
        <f>'04_Доходы'!BM103/(1+НДС)*IF(BM$5&gt;=ДатаФКСтупень3,ДоляФКРоялти3,IF(BM$5&gt;=ДатаФКСтупень2,ДоляФКРоялти2,ДоляФКРоялти))</f>
        <v/>
      </c>
      <c r="BN48" s="87">
        <f>'04_Доходы'!BN103/(1+НДС)*IF(BN$5&gt;=ДатаФКСтупень3,ДоляФКРоялти3,IF(BN$5&gt;=ДатаФКСтупень2,ДоляФКРоялти2,ДоляФКРоялти))</f>
        <v/>
      </c>
      <c r="BO48" s="87">
        <f>'04_Доходы'!BO103/(1+НДС)*IF(BO$5&gt;=ДатаФКСтупень3,ДоляФКРоялти3,IF(BO$5&gt;=ДатаФКСтупень2,ДоляФКРоялти2,ДоляФКРоялти))</f>
        <v/>
      </c>
      <c r="BP48" s="87">
        <f>'04_Доходы'!BP103/(1+НДС)*IF(BP$5&gt;=ДатаФКСтупень3,ДоляФКРоялти3,IF(BP$5&gt;=ДатаФКСтупень2,ДоляФКРоялти2,ДоляФКРоялти))</f>
        <v/>
      </c>
      <c r="BQ48" s="87">
        <f>'04_Доходы'!BQ103/(1+НДС)*IF(BQ$5&gt;=ДатаФКСтупень3,ДоляФКРоялти3,IF(BQ$5&gt;=ДатаФКСтупень2,ДоляФКРоялти2,ДоляФКРоялти))</f>
        <v/>
      </c>
      <c r="BR48" s="87">
        <f>'04_Доходы'!BR103/(1+НДС)*IF(BR$5&gt;=ДатаФКСтупень3,ДоляФКРоялти3,IF(BR$5&gt;=ДатаФКСтупень2,ДоляФКРоялти2,ДоляФКРоялти))</f>
        <v/>
      </c>
      <c r="BS48" s="87">
        <f>'04_Доходы'!BS103/(1+НДС)*IF(BS$5&gt;=ДатаФКСтупень3,ДоляФКРоялти3,IF(BS$5&gt;=ДатаФКСтупень2,ДоляФКРоялти2,ДоляФКРоялти))</f>
        <v/>
      </c>
      <c r="BT48" s="87">
        <f>'04_Доходы'!BT103/(1+НДС)*IF(BT$5&gt;=ДатаФКСтупень3,ДоляФКРоялти3,IF(BT$5&gt;=ДатаФКСтупень2,ДоляФКРоялти2,ДоляФКРоялти))</f>
        <v/>
      </c>
      <c r="BU48" s="87">
        <f>'04_Доходы'!BU103/(1+НДС)*IF(BU$5&gt;=ДатаФКСтупень3,ДоляФКРоялти3,IF(BU$5&gt;=ДатаФКСтупень2,ДоляФКРоялти2,ДоляФКРоялти))</f>
        <v/>
      </c>
      <c r="BV48" s="87">
        <f>'04_Доходы'!BV103/(1+НДС)*IF(BV$5&gt;=ДатаФКСтупень3,ДоляФКРоялти3,IF(BV$5&gt;=ДатаФКСтупень2,ДоляФКРоялти2,ДоляФКРоялти))</f>
        <v/>
      </c>
      <c r="BW48" s="87">
        <f>'04_Доходы'!BW103/(1+НДС)*IF(BW$5&gt;=ДатаФКСтупень3,ДоляФКРоялти3,IF(BW$5&gt;=ДатаФКСтупень2,ДоляФКРоялти2,ДоляФКРоялти))</f>
        <v/>
      </c>
      <c r="BX48" s="87">
        <f>'04_Доходы'!BX103/(1+НДС)*IF(BX$5&gt;=ДатаФКСтупень3,ДоляФКРоялти3,IF(BX$5&gt;=ДатаФКСтупень2,ДоляФКРоялти2,ДоляФКРоялти))</f>
        <v/>
      </c>
      <c r="BY48" s="87">
        <f>'04_Доходы'!BY103/(1+НДС)*IF(BY$5&gt;=ДатаФКСтупень3,ДоляФКРоялти3,IF(BY$5&gt;=ДатаФКСтупень2,ДоляФКРоялти2,ДоляФКРоялти))</f>
        <v/>
      </c>
    </row>
    <row r="49" ht="15.75" customHeight="1" s="194">
      <c r="B49" s="56" t="inlineStr">
        <is>
          <t>Начислено ФК: прибыль мерча</t>
        </is>
      </c>
      <c r="C49" s="56" t="inlineStr">
        <is>
          <t>₽</t>
        </is>
      </c>
      <c r="D49" s="57" t="n"/>
      <c r="E49" s="85">
        <f>SUM(L49:W49)</f>
        <v/>
      </c>
      <c r="F49" s="85">
        <f>SUM(X49:AI49)</f>
        <v/>
      </c>
      <c r="G49" s="85">
        <f>SUM(AJ49:AU49)</f>
        <v/>
      </c>
      <c r="H49" s="85">
        <f>SUM(AV49:BG49)</f>
        <v/>
      </c>
      <c r="I49" s="85">
        <f>SUM(BH49:BS49)</f>
        <v/>
      </c>
      <c r="J49" s="86">
        <f>SUM(L49:BS49)</f>
        <v/>
      </c>
      <c r="L49" s="87">
        <f>'04_Доходы'!L135*ДоляФКМерч</f>
        <v/>
      </c>
      <c r="M49" s="87">
        <f>'04_Доходы'!M135*ДоляФКМерч</f>
        <v/>
      </c>
      <c r="N49" s="87">
        <f>'04_Доходы'!N135*ДоляФКМерч</f>
        <v/>
      </c>
      <c r="O49" s="87">
        <f>'04_Доходы'!O135*ДоляФКМерч</f>
        <v/>
      </c>
      <c r="P49" s="87">
        <f>'04_Доходы'!P135*ДоляФКМерч</f>
        <v/>
      </c>
      <c r="Q49" s="87">
        <f>'04_Доходы'!Q135*ДоляФКМерч</f>
        <v/>
      </c>
      <c r="R49" s="87">
        <f>'04_Доходы'!R135*ДоляФКМерч</f>
        <v/>
      </c>
      <c r="S49" s="87">
        <f>'04_Доходы'!S135*ДоляФКМерч</f>
        <v/>
      </c>
      <c r="T49" s="87">
        <f>'04_Доходы'!T135*ДоляФКМерч</f>
        <v/>
      </c>
      <c r="U49" s="87">
        <f>'04_Доходы'!U135*ДоляФКМерч</f>
        <v/>
      </c>
      <c r="V49" s="87">
        <f>'04_Доходы'!V135*ДоляФКМерч</f>
        <v/>
      </c>
      <c r="W49" s="87">
        <f>'04_Доходы'!W135*ДоляФКМерч</f>
        <v/>
      </c>
      <c r="X49" s="87">
        <f>'04_Доходы'!X135*ДоляФКМерч</f>
        <v/>
      </c>
      <c r="Y49" s="87">
        <f>'04_Доходы'!Y135*ДоляФКМерч</f>
        <v/>
      </c>
      <c r="Z49" s="87">
        <f>'04_Доходы'!Z135*ДоляФКМерч</f>
        <v/>
      </c>
      <c r="AA49" s="87">
        <f>'04_Доходы'!AA135*ДоляФКМерч</f>
        <v/>
      </c>
      <c r="AB49" s="87">
        <f>'04_Доходы'!AB135*ДоляФКМерч</f>
        <v/>
      </c>
      <c r="AC49" s="87">
        <f>'04_Доходы'!AC135*ДоляФКМерч</f>
        <v/>
      </c>
      <c r="AD49" s="87">
        <f>'04_Доходы'!AD135*ДоляФКМерч</f>
        <v/>
      </c>
      <c r="AE49" s="87">
        <f>'04_Доходы'!AE135*ДоляФКМерч</f>
        <v/>
      </c>
      <c r="AF49" s="87">
        <f>'04_Доходы'!AF135*ДоляФКМерч</f>
        <v/>
      </c>
      <c r="AG49" s="87">
        <f>'04_Доходы'!AG135*ДоляФКМерч</f>
        <v/>
      </c>
      <c r="AH49" s="87">
        <f>'04_Доходы'!AH135*ДоляФКМерч</f>
        <v/>
      </c>
      <c r="AI49" s="87">
        <f>'04_Доходы'!AI135*ДоляФКМерч</f>
        <v/>
      </c>
      <c r="AJ49" s="87">
        <f>'04_Доходы'!AJ135*ДоляФКМерч</f>
        <v/>
      </c>
      <c r="AK49" s="87">
        <f>'04_Доходы'!AK135*ДоляФКМерч</f>
        <v/>
      </c>
      <c r="AL49" s="87">
        <f>'04_Доходы'!AL135*ДоляФКМерч</f>
        <v/>
      </c>
      <c r="AM49" s="87">
        <f>'04_Доходы'!AM135*ДоляФКМерч</f>
        <v/>
      </c>
      <c r="AN49" s="87">
        <f>'04_Доходы'!AN135*ДоляФКМерч</f>
        <v/>
      </c>
      <c r="AO49" s="87">
        <f>'04_Доходы'!AO135*ДоляФКМерч</f>
        <v/>
      </c>
      <c r="AP49" s="87">
        <f>'04_Доходы'!AP135*ДоляФКМерч</f>
        <v/>
      </c>
      <c r="AQ49" s="87">
        <f>'04_Доходы'!AQ135*ДоляФКМерч</f>
        <v/>
      </c>
      <c r="AR49" s="87">
        <f>'04_Доходы'!AR135*ДоляФКМерч</f>
        <v/>
      </c>
      <c r="AS49" s="87">
        <f>'04_Доходы'!AS135*ДоляФКМерч</f>
        <v/>
      </c>
      <c r="AT49" s="87">
        <f>'04_Доходы'!AT135*ДоляФКМерч</f>
        <v/>
      </c>
      <c r="AU49" s="87">
        <f>'04_Доходы'!AU135*ДоляФКМерч</f>
        <v/>
      </c>
      <c r="AV49" s="87">
        <f>'04_Доходы'!AV135*ДоляФКМерч</f>
        <v/>
      </c>
      <c r="AW49" s="87">
        <f>'04_Доходы'!AW135*ДоляФКМерч</f>
        <v/>
      </c>
      <c r="AX49" s="87">
        <f>'04_Доходы'!AX135*ДоляФКМерч</f>
        <v/>
      </c>
      <c r="AY49" s="87">
        <f>'04_Доходы'!AY135*ДоляФКМерч</f>
        <v/>
      </c>
      <c r="AZ49" s="87">
        <f>'04_Доходы'!AZ135*ДоляФКМерч</f>
        <v/>
      </c>
      <c r="BA49" s="87">
        <f>'04_Доходы'!BA135*ДоляФКМерч</f>
        <v/>
      </c>
      <c r="BB49" s="87">
        <f>'04_Доходы'!BB135*ДоляФКМерч</f>
        <v/>
      </c>
      <c r="BC49" s="87">
        <f>'04_Доходы'!BC135*ДоляФКМерч</f>
        <v/>
      </c>
      <c r="BD49" s="87">
        <f>'04_Доходы'!BD135*ДоляФКМерч</f>
        <v/>
      </c>
      <c r="BE49" s="87">
        <f>'04_Доходы'!BE135*ДоляФКМерч</f>
        <v/>
      </c>
      <c r="BF49" s="87">
        <f>'04_Доходы'!BF135*ДоляФКМерч</f>
        <v/>
      </c>
      <c r="BG49" s="87">
        <f>'04_Доходы'!BG135*ДоляФКМерч</f>
        <v/>
      </c>
      <c r="BH49" s="87">
        <f>'04_Доходы'!BH135*ДоляФКМерч</f>
        <v/>
      </c>
      <c r="BI49" s="87">
        <f>'04_Доходы'!BI135*ДоляФКМерч</f>
        <v/>
      </c>
      <c r="BJ49" s="87">
        <f>'04_Доходы'!BJ135*ДоляФКМерч</f>
        <v/>
      </c>
      <c r="BK49" s="87">
        <f>'04_Доходы'!BK135*ДоляФКМерч</f>
        <v/>
      </c>
      <c r="BL49" s="87">
        <f>'04_Доходы'!BL135*ДоляФКМерч</f>
        <v/>
      </c>
      <c r="BM49" s="87">
        <f>'04_Доходы'!BM135*ДоляФКМерч</f>
        <v/>
      </c>
      <c r="BN49" s="87">
        <f>'04_Доходы'!BN135*ДоляФКМерч</f>
        <v/>
      </c>
      <c r="BO49" s="87">
        <f>'04_Доходы'!BO135*ДоляФКМерч</f>
        <v/>
      </c>
      <c r="BP49" s="87">
        <f>'04_Доходы'!BP135*ДоляФКМерч</f>
        <v/>
      </c>
      <c r="BQ49" s="87">
        <f>'04_Доходы'!BQ135*ДоляФКМерч</f>
        <v/>
      </c>
      <c r="BR49" s="87">
        <f>'04_Доходы'!BR135*ДоляФКМерч</f>
        <v/>
      </c>
      <c r="BS49" s="87">
        <f>'04_Доходы'!BS135*ДоляФКМерч</f>
        <v/>
      </c>
      <c r="BT49" s="87">
        <f>'04_Доходы'!BT135*ДоляФКМерч</f>
        <v/>
      </c>
      <c r="BU49" s="87">
        <f>'04_Доходы'!BU135*ДоляФКМерч</f>
        <v/>
      </c>
      <c r="BV49" s="87">
        <f>'04_Доходы'!BV135*ДоляФКМерч</f>
        <v/>
      </c>
      <c r="BW49" s="87">
        <f>'04_Доходы'!BW135*ДоляФКМерч</f>
        <v/>
      </c>
      <c r="BX49" s="87">
        <f>'04_Доходы'!BX135*ДоляФКМерч</f>
        <v/>
      </c>
      <c r="BY49" s="87">
        <f>'04_Доходы'!BY135*ДоляФКМерч</f>
        <v/>
      </c>
    </row>
    <row r="50" ht="15.75" customHeight="1" s="194">
      <c r="B50" s="130" t="inlineStr">
        <is>
          <t>Начислено ФК — всего</t>
        </is>
      </c>
      <c r="C50" s="130" t="inlineStr">
        <is>
          <t>₽</t>
        </is>
      </c>
      <c r="D50" s="156" t="n"/>
      <c r="E50" s="157">
        <f>SUM(L50:W50)</f>
        <v/>
      </c>
      <c r="F50" s="157">
        <f>SUM(X50:AI50)</f>
        <v/>
      </c>
      <c r="G50" s="157">
        <f>SUM(AJ50:AU50)</f>
        <v/>
      </c>
      <c r="H50" s="157">
        <f>SUM(AV50:BG50)</f>
        <v/>
      </c>
      <c r="I50" s="157">
        <f>SUM(BH50:BS50)</f>
        <v/>
      </c>
      <c r="J50" s="134">
        <f>SUM(L50:BS50)</f>
        <v/>
      </c>
      <c r="L50" s="133">
        <f>L47+L48+L49</f>
        <v/>
      </c>
      <c r="M50" s="133">
        <f>M47+M48+M49</f>
        <v/>
      </c>
      <c r="N50" s="133">
        <f>N47+N48+N49</f>
        <v/>
      </c>
      <c r="O50" s="133">
        <f>O47+O48+O49</f>
        <v/>
      </c>
      <c r="P50" s="133">
        <f>P47+P48+P49</f>
        <v/>
      </c>
      <c r="Q50" s="133">
        <f>Q47+Q48+Q49</f>
        <v/>
      </c>
      <c r="R50" s="133">
        <f>R47+R48+R49</f>
        <v/>
      </c>
      <c r="S50" s="133">
        <f>S47+S48+S49</f>
        <v/>
      </c>
      <c r="T50" s="133">
        <f>T47+T48+T49</f>
        <v/>
      </c>
      <c r="U50" s="133">
        <f>U47+U48+U49</f>
        <v/>
      </c>
      <c r="V50" s="133">
        <f>V47+V48+V49</f>
        <v/>
      </c>
      <c r="W50" s="133">
        <f>W47+W48+W49</f>
        <v/>
      </c>
      <c r="X50" s="133">
        <f>X47+X48+X49</f>
        <v/>
      </c>
      <c r="Y50" s="133">
        <f>Y47+Y48+Y49</f>
        <v/>
      </c>
      <c r="Z50" s="133">
        <f>Z47+Z48+Z49</f>
        <v/>
      </c>
      <c r="AA50" s="133">
        <f>AA47+AA48+AA49</f>
        <v/>
      </c>
      <c r="AB50" s="133">
        <f>AB47+AB48+AB49</f>
        <v/>
      </c>
      <c r="AC50" s="133">
        <f>AC47+AC48+AC49</f>
        <v/>
      </c>
      <c r="AD50" s="133">
        <f>AD47+AD48+AD49</f>
        <v/>
      </c>
      <c r="AE50" s="133">
        <f>AE47+AE48+AE49</f>
        <v/>
      </c>
      <c r="AF50" s="133">
        <f>AF47+AF48+AF49</f>
        <v/>
      </c>
      <c r="AG50" s="133">
        <f>AG47+AG48+AG49</f>
        <v/>
      </c>
      <c r="AH50" s="133">
        <f>AH47+AH48+AH49</f>
        <v/>
      </c>
      <c r="AI50" s="133">
        <f>AI47+AI48+AI49</f>
        <v/>
      </c>
      <c r="AJ50" s="133">
        <f>AJ47+AJ48+AJ49</f>
        <v/>
      </c>
      <c r="AK50" s="133">
        <f>AK47+AK48+AK49</f>
        <v/>
      </c>
      <c r="AL50" s="133">
        <f>AL47+AL48+AL49</f>
        <v/>
      </c>
      <c r="AM50" s="133">
        <f>AM47+AM48+AM49</f>
        <v/>
      </c>
      <c r="AN50" s="133">
        <f>AN47+AN48+AN49</f>
        <v/>
      </c>
      <c r="AO50" s="133">
        <f>AO47+AO48+AO49</f>
        <v/>
      </c>
      <c r="AP50" s="133">
        <f>AP47+AP48+AP49</f>
        <v/>
      </c>
      <c r="AQ50" s="133">
        <f>AQ47+AQ48+AQ49</f>
        <v/>
      </c>
      <c r="AR50" s="133">
        <f>AR47+AR48+AR49</f>
        <v/>
      </c>
      <c r="AS50" s="133">
        <f>AS47+AS48+AS49</f>
        <v/>
      </c>
      <c r="AT50" s="133">
        <f>AT47+AT48+AT49</f>
        <v/>
      </c>
      <c r="AU50" s="133">
        <f>AU47+AU48+AU49</f>
        <v/>
      </c>
      <c r="AV50" s="133">
        <f>AV47+AV48+AV49</f>
        <v/>
      </c>
      <c r="AW50" s="133">
        <f>AW47+AW48+AW49</f>
        <v/>
      </c>
      <c r="AX50" s="133">
        <f>AX47+AX48+AX49</f>
        <v/>
      </c>
      <c r="AY50" s="133">
        <f>AY47+AY48+AY49</f>
        <v/>
      </c>
      <c r="AZ50" s="133">
        <f>AZ47+AZ48+AZ49</f>
        <v/>
      </c>
      <c r="BA50" s="133">
        <f>BA47+BA48+BA49</f>
        <v/>
      </c>
      <c r="BB50" s="133">
        <f>BB47+BB48+BB49</f>
        <v/>
      </c>
      <c r="BC50" s="133">
        <f>BC47+BC48+BC49</f>
        <v/>
      </c>
      <c r="BD50" s="133">
        <f>BD47+BD48+BD49</f>
        <v/>
      </c>
      <c r="BE50" s="133">
        <f>BE47+BE48+BE49</f>
        <v/>
      </c>
      <c r="BF50" s="133">
        <f>BF47+BF48+BF49</f>
        <v/>
      </c>
      <c r="BG50" s="133">
        <f>BG47+BG48+BG49</f>
        <v/>
      </c>
      <c r="BH50" s="133">
        <f>BH47+BH48+BH49</f>
        <v/>
      </c>
      <c r="BI50" s="133">
        <f>BI47+BI48+BI49</f>
        <v/>
      </c>
      <c r="BJ50" s="133">
        <f>BJ47+BJ48+BJ49</f>
        <v/>
      </c>
      <c r="BK50" s="133">
        <f>BK47+BK48+BK49</f>
        <v/>
      </c>
      <c r="BL50" s="133">
        <f>BL47+BL48+BL49</f>
        <v/>
      </c>
      <c r="BM50" s="133">
        <f>BM47+BM48+BM49</f>
        <v/>
      </c>
      <c r="BN50" s="133">
        <f>BN47+BN48+BN49</f>
        <v/>
      </c>
      <c r="BO50" s="133">
        <f>BO47+BO48+BO49</f>
        <v/>
      </c>
      <c r="BP50" s="133">
        <f>BP47+BP48+BP49</f>
        <v/>
      </c>
      <c r="BQ50" s="133">
        <f>BQ47+BQ48+BQ49</f>
        <v/>
      </c>
      <c r="BR50" s="133">
        <f>BR47+BR48+BR49</f>
        <v/>
      </c>
      <c r="BS50" s="133">
        <f>BS47+BS48+BS49</f>
        <v/>
      </c>
      <c r="BT50" s="133">
        <f>BT47+BT48+BT49</f>
        <v/>
      </c>
      <c r="BU50" s="133">
        <f>BU47+BU48+BU49</f>
        <v/>
      </c>
      <c r="BV50" s="133">
        <f>BV47+BV48+BV49</f>
        <v/>
      </c>
      <c r="BW50" s="133">
        <f>BW47+BW48+BW49</f>
        <v/>
      </c>
      <c r="BX50" s="133">
        <f>BX47+BX48+BX49</f>
        <v/>
      </c>
      <c r="BY50" s="133">
        <f>BY47+BY48+BY49</f>
        <v/>
      </c>
    </row>
    <row r="51" ht="15.75" customHeight="1" s="194"/>
    <row r="52" ht="15.75" customHeight="1" s="194"/>
    <row r="53" ht="15.75" customHeight="1" s="194"/>
    <row r="54" ht="15.75" customHeight="1" s="194"/>
    <row r="55" ht="15.75" customHeight="1" s="194"/>
    <row r="56" ht="15.75" customHeight="1" s="194"/>
    <row r="57" ht="15.75" customHeight="1" s="194"/>
    <row r="58" ht="15.75" customHeight="1" s="194"/>
    <row r="59" ht="15.75" customHeight="1" s="194"/>
    <row r="60" ht="15.75" customHeight="1" s="194"/>
    <row r="61" ht="15.75" customHeight="1" s="194"/>
    <row r="62" ht="15.75" customHeight="1" s="194"/>
    <row r="63" ht="15.75" customHeight="1" s="194"/>
    <row r="64" ht="15.75" customHeight="1" s="194"/>
    <row r="65" ht="15.75" customHeight="1" s="194"/>
    <row r="66" ht="15.75" customHeight="1" s="194"/>
    <row r="67" ht="15.75" customHeight="1" s="194"/>
    <row r="68" ht="15.75" customHeight="1" s="194"/>
    <row r="69" ht="15.75" customHeight="1" s="194"/>
    <row r="70" ht="15.75" customHeight="1" s="194"/>
    <row r="71" ht="15.75" customHeight="1" s="194"/>
    <row r="72" ht="15.75" customHeight="1" s="194"/>
    <row r="73" ht="15.75" customHeight="1" s="194"/>
    <row r="74" ht="15.75" customHeight="1" s="194"/>
    <row r="75" ht="15.75" customHeight="1" s="194"/>
    <row r="76" ht="15.75" customHeight="1" s="194"/>
    <row r="77" ht="15.75" customHeight="1" s="194"/>
    <row r="78" ht="15.75" customHeight="1" s="194"/>
    <row r="79" ht="15.75" customHeight="1" s="194"/>
    <row r="80" ht="15.75" customHeight="1" s="194"/>
    <row r="81" ht="15.75" customHeight="1" s="194"/>
    <row r="82" ht="15.75" customHeight="1" s="194"/>
    <row r="83" ht="15.75" customHeight="1" s="194"/>
    <row r="84" ht="15.75" customHeight="1" s="194"/>
    <row r="85" ht="15.75" customHeight="1" s="194"/>
    <row r="86" ht="15.75" customHeight="1" s="194"/>
    <row r="87" ht="15.75" customHeight="1" s="194"/>
    <row r="88" ht="15.75" customHeight="1" s="194"/>
    <row r="89" ht="15.75" customHeight="1" s="194"/>
    <row r="90" ht="15.75" customHeight="1" s="194"/>
    <row r="91" ht="15.75" customHeight="1" s="194"/>
    <row r="92" ht="15.75" customHeight="1" s="194"/>
    <row r="93" ht="15.75" customHeight="1" s="194"/>
    <row r="94" ht="15.75" customHeight="1" s="194"/>
    <row r="95" ht="15.75" customHeight="1" s="194"/>
    <row r="96" ht="15.75" customHeight="1" s="194"/>
    <row r="97" ht="15.75" customHeight="1" s="194"/>
    <row r="98" ht="15.75" customHeight="1" s="194"/>
    <row r="99" ht="15.75" customHeight="1" s="194"/>
    <row r="100" ht="15.75" customHeight="1" s="194"/>
    <row r="101" ht="15.75" customHeight="1" s="194"/>
    <row r="102" ht="15.75" customHeight="1" s="194"/>
    <row r="103" ht="15.75" customHeight="1" s="194"/>
    <row r="104" ht="15.75" customHeight="1" s="194"/>
    <row r="105" ht="15.75" customHeight="1" s="194"/>
    <row r="106" ht="15.75" customHeight="1" s="194"/>
    <row r="107" ht="15.75" customHeight="1" s="194"/>
    <row r="108" ht="15.75" customHeight="1" s="194"/>
    <row r="109" ht="15.75" customHeight="1" s="194"/>
    <row r="110" ht="15.75" customHeight="1" s="194"/>
    <row r="111" ht="15.75" customHeight="1" s="194"/>
    <row r="112" ht="15.75" customHeight="1" s="194"/>
    <row r="113" ht="15.75" customHeight="1" s="194"/>
    <row r="114" ht="15.75" customHeight="1" s="194"/>
    <row r="115" ht="15.75" customHeight="1" s="194"/>
    <row r="116" ht="15.75" customHeight="1" s="194"/>
    <row r="117" ht="15.75" customHeight="1" s="194"/>
    <row r="118" ht="15.75" customHeight="1" s="194"/>
    <row r="119" ht="15.75" customHeight="1" s="194"/>
    <row r="120" ht="15.75" customHeight="1" s="194"/>
    <row r="121" ht="15.75" customHeight="1" s="194"/>
    <row r="122" ht="15.75" customHeight="1" s="194"/>
    <row r="123" ht="15.75" customHeight="1" s="194"/>
    <row r="124" ht="15.75" customHeight="1" s="194"/>
    <row r="125" ht="15.75" customHeight="1" s="194"/>
    <row r="126" ht="15.75" customHeight="1" s="194"/>
    <row r="127" ht="15.75" customHeight="1" s="194"/>
    <row r="128" ht="15.75" customHeight="1" s="194"/>
    <row r="129" ht="15.75" customHeight="1" s="194"/>
    <row r="130" ht="15.75" customHeight="1" s="194"/>
    <row r="131" ht="15.75" customHeight="1" s="194"/>
    <row r="132" ht="15.75" customHeight="1" s="194"/>
    <row r="133" ht="15.75" customHeight="1" s="194"/>
    <row r="134" ht="15.75" customHeight="1" s="194"/>
    <row r="135" ht="15.75" customHeight="1" s="194"/>
    <row r="136" ht="15.75" customHeight="1" s="194"/>
    <row r="137" ht="15.75" customHeight="1" s="194"/>
    <row r="138" ht="15.75" customHeight="1" s="194"/>
    <row r="139" ht="15.75" customHeight="1" s="194"/>
    <row r="140" ht="15.75" customHeight="1" s="194"/>
    <row r="141" ht="15.75" customHeight="1" s="194"/>
    <row r="142" ht="15.75" customHeight="1" s="194"/>
    <row r="143" ht="15.75" customHeight="1" s="194"/>
    <row r="144" ht="15.75" customHeight="1" s="194"/>
    <row r="145" ht="15.75" customHeight="1" s="194"/>
    <row r="146" ht="15.75" customHeight="1" s="194"/>
    <row r="147" ht="15.75" customHeight="1" s="194"/>
    <row r="148" ht="15.75" customHeight="1" s="194"/>
    <row r="149" ht="15.75" customHeight="1" s="194"/>
    <row r="150" ht="15.75" customHeight="1" s="194"/>
    <row r="151" ht="15.75" customHeight="1" s="194"/>
    <row r="152" ht="15.75" customHeight="1" s="194"/>
    <row r="153" ht="15.75" customHeight="1" s="194"/>
    <row r="154" ht="15.75" customHeight="1" s="194"/>
    <row r="155" ht="15.75" customHeight="1" s="194"/>
    <row r="156" ht="15.75" customHeight="1" s="194"/>
    <row r="157" ht="15.75" customHeight="1" s="194"/>
    <row r="158" ht="15.75" customHeight="1" s="194"/>
    <row r="159" ht="15.75" customHeight="1" s="194"/>
    <row r="160" ht="15.75" customHeight="1" s="194"/>
    <row r="161" ht="15.75" customHeight="1" s="194"/>
    <row r="162" ht="15.75" customHeight="1" s="194"/>
    <row r="163" ht="15.75" customHeight="1" s="194"/>
    <row r="164" ht="15.75" customHeight="1" s="194"/>
    <row r="165" ht="15.75" customHeight="1" s="194"/>
    <row r="166" ht="15.75" customHeight="1" s="194"/>
    <row r="167" ht="15.75" customHeight="1" s="194"/>
    <row r="168" ht="15.75" customHeight="1" s="194"/>
    <row r="169" ht="15.75" customHeight="1" s="194"/>
    <row r="170" ht="15.75" customHeight="1" s="194"/>
    <row r="171" ht="15.75" customHeight="1" s="194"/>
    <row r="172" ht="15.75" customHeight="1" s="194"/>
    <row r="173" ht="15.75" customHeight="1" s="194"/>
    <row r="174" ht="15.75" customHeight="1" s="194"/>
    <row r="175" ht="15.75" customHeight="1" s="194"/>
    <row r="176" ht="15.75" customHeight="1" s="194"/>
    <row r="177" ht="15.75" customHeight="1" s="194"/>
    <row r="178" ht="15.75" customHeight="1" s="194"/>
    <row r="179" ht="15.75" customHeight="1" s="194"/>
    <row r="180" ht="15.75" customHeight="1" s="194"/>
    <row r="181" ht="15.75" customHeight="1" s="194"/>
    <row r="182" ht="15.75" customHeight="1" s="194"/>
    <row r="183" ht="15.75" customHeight="1" s="194"/>
    <row r="184" ht="15.75" customHeight="1" s="194"/>
    <row r="185" ht="15.75" customHeight="1" s="194"/>
    <row r="186" ht="15.75" customHeight="1" s="194"/>
    <row r="187" ht="15.75" customHeight="1" s="194"/>
    <row r="188" ht="15.75" customHeight="1" s="194"/>
    <row r="189" ht="15.75" customHeight="1" s="194"/>
    <row r="190" ht="15.75" customHeight="1" s="194"/>
    <row r="191" ht="15.75" customHeight="1" s="194"/>
    <row r="192" ht="15.75" customHeight="1" s="194"/>
    <row r="193" ht="15.75" customHeight="1" s="194"/>
    <row r="194" ht="15.75" customHeight="1" s="194"/>
    <row r="195" ht="15.75" customHeight="1" s="194"/>
    <row r="196" ht="15.75" customHeight="1" s="194"/>
    <row r="197" ht="15.75" customHeight="1" s="194"/>
    <row r="198" ht="15.75" customHeight="1" s="194"/>
    <row r="199" ht="15.75" customHeight="1" s="194"/>
    <row r="200" ht="15.75" customHeight="1" s="194"/>
    <row r="201" ht="15.75" customHeight="1" s="194"/>
    <row r="202" ht="15.75" customHeight="1" s="194"/>
    <row r="203" ht="15.75" customHeight="1" s="194"/>
    <row r="204" ht="15.75" customHeight="1" s="194"/>
    <row r="205" ht="15.75" customHeight="1" s="194"/>
    <row r="206" ht="15.75" customHeight="1" s="194"/>
    <row r="207" ht="15.75" customHeight="1" s="194"/>
    <row r="208" ht="15.75" customHeight="1" s="194"/>
    <row r="209" ht="15.75" customHeight="1" s="194"/>
    <row r="210" ht="15.75" customHeight="1" s="194"/>
    <row r="211" ht="15.75" customHeight="1" s="194"/>
    <row r="212" ht="15.75" customHeight="1" s="194"/>
    <row r="213" ht="15.75" customHeight="1" s="194"/>
    <row r="214" ht="15.75" customHeight="1" s="194"/>
    <row r="215" ht="15.75" customHeight="1" s="194"/>
    <row r="216" ht="15.75" customHeight="1" s="194"/>
    <row r="217" ht="15.75" customHeight="1" s="194"/>
    <row r="218" ht="15.75" customHeight="1" s="194"/>
    <row r="219" ht="15.75" customHeight="1" s="194"/>
    <row r="220" ht="15.75" customHeight="1" s="194"/>
    <row r="221" ht="15.75" customHeight="1" s="194"/>
    <row r="222" ht="15.75" customHeight="1" s="194"/>
    <row r="223" ht="15.75" customHeight="1" s="194"/>
    <row r="224" ht="15.75" customHeight="1" s="194"/>
    <row r="225" ht="15.75" customHeight="1" s="194"/>
    <row r="226" ht="15.75" customHeight="1" s="194"/>
    <row r="227" ht="15.75" customHeight="1" s="194"/>
    <row r="228" ht="15.75" customHeight="1" s="194"/>
    <row r="229" ht="15.75" customHeight="1" s="194"/>
    <row r="230" ht="15.75" customHeight="1" s="194"/>
    <row r="231" ht="15.75" customHeight="1" s="194"/>
    <row r="232" ht="15.75" customHeight="1" s="194"/>
    <row r="233" ht="15.75" customHeight="1" s="194"/>
    <row r="234" ht="15.75" customHeight="1" s="194"/>
    <row r="235" ht="15.75" customHeight="1" s="194"/>
    <row r="236" ht="15.75" customHeight="1" s="194"/>
    <row r="237" ht="15.75" customHeight="1" s="194"/>
    <row r="238" ht="15.75" customHeight="1" s="194"/>
    <row r="239" ht="15.75" customHeight="1" s="194"/>
    <row r="240" ht="15.75" customHeight="1" s="194"/>
    <row r="241" ht="15.75" customHeight="1" s="194"/>
    <row r="242" ht="15.75" customHeight="1" s="194"/>
    <row r="243" ht="15.75" customHeight="1" s="194"/>
    <row r="244" ht="15.75" customHeight="1" s="194"/>
    <row r="245" ht="15.75" customHeight="1" s="194"/>
    <row r="246" ht="15.75" customHeight="1" s="194"/>
    <row r="247" ht="15.75" customHeight="1" s="194"/>
    <row r="248" ht="15.75" customHeight="1" s="194"/>
    <row r="249" ht="15.75" customHeight="1" s="194"/>
    <row r="250" ht="15.75" customHeight="1" s="194"/>
    <row r="251" ht="15.75" customHeight="1" s="194"/>
    <row r="252" ht="15.75" customHeight="1" s="194"/>
    <row r="253" ht="15.75" customHeight="1" s="194"/>
    <row r="254" ht="15.75" customHeight="1" s="194"/>
    <row r="255" ht="15.75" customHeight="1" s="194"/>
    <row r="256" ht="15.75" customHeight="1" s="194"/>
    <row r="257" ht="15.75" customHeight="1" s="194"/>
    <row r="258" ht="15.75" customHeight="1" s="194"/>
    <row r="259" ht="15.75" customHeight="1" s="194"/>
    <row r="260" ht="15.75" customHeight="1" s="194"/>
    <row r="261" ht="15.75" customHeight="1" s="194"/>
    <row r="262" ht="15.75" customHeight="1" s="194"/>
    <row r="263" ht="15.75" customHeight="1" s="194"/>
    <row r="264" ht="15.75" customHeight="1" s="194"/>
    <row r="265" ht="15.75" customHeight="1" s="194"/>
    <row r="266" ht="15.75" customHeight="1" s="194"/>
    <row r="267" ht="15.75" customHeight="1" s="194"/>
    <row r="268" ht="15.75" customHeight="1" s="194"/>
    <row r="269" ht="15.75" customHeight="1" s="194"/>
    <row r="270" ht="15.75" customHeight="1" s="194"/>
    <row r="271" ht="15.75" customHeight="1" s="194"/>
    <row r="272" ht="15.75" customHeight="1" s="194"/>
    <row r="273" ht="15.75" customHeight="1" s="194"/>
    <row r="274" ht="15.75" customHeight="1" s="194"/>
    <row r="275" ht="15.75" customHeight="1" s="194"/>
    <row r="276" ht="15.75" customHeight="1" s="194"/>
    <row r="277" ht="15.75" customHeight="1" s="194"/>
    <row r="278" ht="15.75" customHeight="1" s="194"/>
    <row r="279" ht="15.75" customHeight="1" s="194"/>
    <row r="280" ht="15.75" customHeight="1" s="194"/>
    <row r="281" ht="15.75" customHeight="1" s="194"/>
    <row r="282" ht="15.75" customHeight="1" s="194"/>
    <row r="283" ht="15.75" customHeight="1" s="194"/>
    <row r="284" ht="15.75" customHeight="1" s="194"/>
    <row r="285" ht="15.75" customHeight="1" s="194"/>
    <row r="286" ht="15.75" customHeight="1" s="194"/>
    <row r="287" ht="15.75" customHeight="1" s="194"/>
    <row r="288" ht="15.75" customHeight="1" s="194"/>
    <row r="289" ht="15.75" customHeight="1" s="194"/>
    <row r="290" ht="15.75" customHeight="1" s="194"/>
    <row r="291" ht="15.75" customHeight="1" s="194"/>
    <row r="292" ht="15.75" customHeight="1" s="194"/>
    <row r="293" ht="15.75" customHeight="1" s="194"/>
    <row r="294" ht="15.75" customHeight="1" s="194"/>
    <row r="295" ht="15.75" customHeight="1" s="194"/>
    <row r="296" ht="15.75" customHeight="1" s="194"/>
    <row r="297" ht="15.75" customHeight="1" s="194"/>
    <row r="298" ht="15.75" customHeight="1" s="194"/>
    <row r="299" ht="15.75" customHeight="1" s="194"/>
    <row r="300" ht="15.75" customHeight="1" s="194"/>
    <row r="301" ht="15.75" customHeight="1" s="194"/>
    <row r="302" ht="15.75" customHeight="1" s="194"/>
    <row r="303" ht="15.75" customHeight="1" s="194"/>
    <row r="304" ht="15.75" customHeight="1" s="194"/>
    <row r="305" ht="15.75" customHeight="1" s="194"/>
    <row r="306" ht="15.75" customHeight="1" s="194"/>
    <row r="307" ht="15.75" customHeight="1" s="194"/>
    <row r="308" ht="15.75" customHeight="1" s="194"/>
    <row r="309" ht="15.75" customHeight="1" s="194"/>
    <row r="310" ht="15.75" customHeight="1" s="194"/>
    <row r="311" ht="15.75" customHeight="1" s="194"/>
    <row r="312" ht="15.75" customHeight="1" s="194"/>
    <row r="313" ht="15.75" customHeight="1" s="194"/>
    <row r="314" ht="15.75" customHeight="1" s="194"/>
    <row r="315" ht="15.75" customHeight="1" s="194"/>
    <row r="316" ht="15.75" customHeight="1" s="194"/>
    <row r="317" ht="15.75" customHeight="1" s="194"/>
    <row r="318" ht="15.75" customHeight="1" s="194"/>
    <row r="319" ht="15.75" customHeight="1" s="194"/>
    <row r="320" ht="15.75" customHeight="1" s="194"/>
    <row r="321" ht="15.75" customHeight="1" s="194"/>
    <row r="322" ht="15.75" customHeight="1" s="194"/>
    <row r="323" ht="15.75" customHeight="1" s="194"/>
    <row r="324" ht="15.75" customHeight="1" s="194"/>
    <row r="325" ht="15.75" customHeight="1" s="194"/>
    <row r="326" ht="15.75" customHeight="1" s="194"/>
    <row r="327" ht="15.75" customHeight="1" s="194"/>
    <row r="328" ht="15.75" customHeight="1" s="194"/>
    <row r="329" ht="15.75" customHeight="1" s="194"/>
    <row r="330" ht="15.75" customHeight="1" s="194"/>
    <row r="331" ht="15.75" customHeight="1" s="194"/>
    <row r="332" ht="15.75" customHeight="1" s="194"/>
    <row r="333" ht="15.75" customHeight="1" s="194"/>
    <row r="334" ht="15.75" customHeight="1" s="194"/>
    <row r="335" ht="15.75" customHeight="1" s="194"/>
    <row r="336" ht="15.75" customHeight="1" s="194"/>
    <row r="337" ht="15.75" customHeight="1" s="194"/>
    <row r="338" ht="15.75" customHeight="1" s="194"/>
    <row r="339" ht="15.75" customHeight="1" s="194"/>
    <row r="340" ht="15.75" customHeight="1" s="194"/>
    <row r="341" ht="15.75" customHeight="1" s="194"/>
    <row r="342" ht="15.75" customHeight="1" s="194"/>
    <row r="343" ht="15.75" customHeight="1" s="194"/>
    <row r="344" ht="15.75" customHeight="1" s="194"/>
    <row r="345" ht="15.75" customHeight="1" s="194"/>
    <row r="346" ht="15.75" customHeight="1" s="194"/>
    <row r="347" ht="15.75" customHeight="1" s="194"/>
    <row r="348" ht="15.75" customHeight="1" s="194"/>
    <row r="349" ht="15.75" customHeight="1" s="194"/>
    <row r="350" ht="15.75" customHeight="1" s="194"/>
    <row r="351" ht="15.75" customHeight="1" s="194"/>
    <row r="352" ht="15.75" customHeight="1" s="194"/>
    <row r="353" ht="15.75" customHeight="1" s="194"/>
    <row r="354" ht="15.75" customHeight="1" s="194"/>
    <row r="355" ht="15.75" customHeight="1" s="194"/>
    <row r="356" ht="15.75" customHeight="1" s="194"/>
    <row r="357" ht="15.75" customHeight="1" s="194"/>
    <row r="358" ht="15.75" customHeight="1" s="194"/>
    <row r="359" ht="15.75" customHeight="1" s="194"/>
    <row r="360" ht="15.75" customHeight="1" s="194"/>
    <row r="361" ht="15.75" customHeight="1" s="194"/>
    <row r="362" ht="15.75" customHeight="1" s="194"/>
    <row r="363" ht="15.75" customHeight="1" s="194"/>
    <row r="364" ht="15.75" customHeight="1" s="194"/>
    <row r="365" ht="15.75" customHeight="1" s="194"/>
    <row r="366" ht="15.75" customHeight="1" s="194"/>
    <row r="367" ht="15.75" customHeight="1" s="194"/>
    <row r="368" ht="15.75" customHeight="1" s="194"/>
    <row r="369" ht="15.75" customHeight="1" s="194"/>
    <row r="370" ht="15.75" customHeight="1" s="194"/>
    <row r="371" ht="15.75" customHeight="1" s="194"/>
    <row r="372" ht="15.75" customHeight="1" s="194"/>
    <row r="373" ht="15.75" customHeight="1" s="194"/>
    <row r="374" ht="15.75" customHeight="1" s="194"/>
    <row r="375" ht="15.75" customHeight="1" s="194"/>
    <row r="376" ht="15.75" customHeight="1" s="194"/>
    <row r="377" ht="15.75" customHeight="1" s="194"/>
    <row r="378" ht="15.75" customHeight="1" s="194"/>
    <row r="379" ht="15.75" customHeight="1" s="194"/>
    <row r="380" ht="15.75" customHeight="1" s="194"/>
    <row r="381" ht="15.75" customHeight="1" s="194"/>
    <row r="382" ht="15.75" customHeight="1" s="194"/>
    <row r="383" ht="15.75" customHeight="1" s="194"/>
    <row r="384" ht="15.75" customHeight="1" s="194"/>
    <row r="385" ht="15.75" customHeight="1" s="194"/>
    <row r="386" ht="15.75" customHeight="1" s="194"/>
    <row r="387" ht="15.75" customHeight="1" s="194"/>
    <row r="388" ht="15.75" customHeight="1" s="194"/>
    <row r="389" ht="15.75" customHeight="1" s="194"/>
    <row r="390" ht="15.75" customHeight="1" s="194"/>
    <row r="391" ht="15.75" customHeight="1" s="194"/>
    <row r="392" ht="15.75" customHeight="1" s="194"/>
    <row r="393" ht="15.75" customHeight="1" s="194"/>
    <row r="394" ht="15.75" customHeight="1" s="194"/>
    <row r="395" ht="15.75" customHeight="1" s="194"/>
    <row r="396" ht="15.75" customHeight="1" s="194"/>
    <row r="397" ht="15.75" customHeight="1" s="194"/>
    <row r="398" ht="15.75" customHeight="1" s="194"/>
    <row r="399" ht="15.75" customHeight="1" s="194"/>
    <row r="400" ht="15.75" customHeight="1" s="194"/>
    <row r="401" ht="15.75" customHeight="1" s="194"/>
    <row r="402" ht="15.75" customHeight="1" s="194"/>
    <row r="403" ht="15.75" customHeight="1" s="194"/>
    <row r="404" ht="15.75" customHeight="1" s="194"/>
    <row r="405" ht="15.75" customHeight="1" s="194"/>
    <row r="406" ht="15.75" customHeight="1" s="194"/>
    <row r="407" ht="15.75" customHeight="1" s="194"/>
    <row r="408" ht="15.75" customHeight="1" s="194"/>
    <row r="409" ht="15.75" customHeight="1" s="194"/>
    <row r="410" ht="15.75" customHeight="1" s="194"/>
    <row r="411" ht="15.75" customHeight="1" s="194"/>
    <row r="412" ht="15.75" customHeight="1" s="194"/>
    <row r="413" ht="15.75" customHeight="1" s="194"/>
    <row r="414" ht="15.75" customHeight="1" s="194"/>
    <row r="415" ht="15.75" customHeight="1" s="194"/>
    <row r="416" ht="15.75" customHeight="1" s="194"/>
    <row r="417" ht="15.75" customHeight="1" s="194"/>
    <row r="418" ht="15.75" customHeight="1" s="194"/>
    <row r="419" ht="15.75" customHeight="1" s="194"/>
    <row r="420" ht="15.75" customHeight="1" s="194"/>
    <row r="421" ht="15.75" customHeight="1" s="194"/>
    <row r="422" ht="15.75" customHeight="1" s="194"/>
    <row r="423" ht="15.75" customHeight="1" s="194"/>
    <row r="424" ht="15.75" customHeight="1" s="194"/>
    <row r="425" ht="15.75" customHeight="1" s="194"/>
    <row r="426" ht="15.75" customHeight="1" s="194"/>
    <row r="427" ht="15.75" customHeight="1" s="194"/>
    <row r="428" ht="15.75" customHeight="1" s="194"/>
    <row r="429" ht="15.75" customHeight="1" s="194"/>
    <row r="430" ht="15.75" customHeight="1" s="194"/>
    <row r="431" ht="15.75" customHeight="1" s="194"/>
    <row r="432" ht="15.75" customHeight="1" s="194"/>
    <row r="433" ht="15.75" customHeight="1" s="194"/>
    <row r="434" ht="15.75" customHeight="1" s="194"/>
    <row r="435" ht="15.75" customHeight="1" s="194"/>
    <row r="436" ht="15.75" customHeight="1" s="194"/>
    <row r="437" ht="15.75" customHeight="1" s="194"/>
    <row r="438" ht="15.75" customHeight="1" s="194"/>
    <row r="439" ht="15.75" customHeight="1" s="194"/>
    <row r="440" ht="15.75" customHeight="1" s="194"/>
    <row r="441" ht="15.75" customHeight="1" s="194"/>
    <row r="442" ht="15.75" customHeight="1" s="194"/>
    <row r="443" ht="15.75" customHeight="1" s="194"/>
    <row r="444" ht="15.75" customHeight="1" s="194"/>
    <row r="445" ht="15.75" customHeight="1" s="194"/>
    <row r="446" ht="15.75" customHeight="1" s="194"/>
    <row r="447" ht="15.75" customHeight="1" s="194"/>
    <row r="448" ht="15.75" customHeight="1" s="194"/>
    <row r="449" ht="15.75" customHeight="1" s="194"/>
    <row r="450" ht="15.75" customHeight="1" s="194"/>
    <row r="451" ht="15.75" customHeight="1" s="194"/>
    <row r="452" ht="15.75" customHeight="1" s="194"/>
    <row r="453" ht="15.75" customHeight="1" s="194"/>
    <row r="454" ht="15.75" customHeight="1" s="194"/>
    <row r="455" ht="15.75" customHeight="1" s="194"/>
    <row r="456" ht="15.75" customHeight="1" s="194"/>
    <row r="457" ht="15.75" customHeight="1" s="194"/>
    <row r="458" ht="15.75" customHeight="1" s="194"/>
    <row r="459" ht="15.75" customHeight="1" s="194"/>
    <row r="460" ht="15.75" customHeight="1" s="194"/>
    <row r="461" ht="15.75" customHeight="1" s="194"/>
    <row r="462" ht="15.75" customHeight="1" s="194"/>
    <row r="463" ht="15.75" customHeight="1" s="194"/>
    <row r="464" ht="15.75" customHeight="1" s="194"/>
    <row r="465" ht="15.75" customHeight="1" s="194"/>
    <row r="466" ht="15.75" customHeight="1" s="194"/>
    <row r="467" ht="15.75" customHeight="1" s="194"/>
    <row r="468" ht="15.75" customHeight="1" s="194"/>
    <row r="469" ht="15.75" customHeight="1" s="194"/>
    <row r="470" ht="15.75" customHeight="1" s="194"/>
    <row r="471" ht="15.75" customHeight="1" s="194"/>
    <row r="472" ht="15.75" customHeight="1" s="194"/>
    <row r="473" ht="15.75" customHeight="1" s="194"/>
    <row r="474" ht="15.75" customHeight="1" s="194"/>
    <row r="475" ht="15.75" customHeight="1" s="194"/>
    <row r="476" ht="15.75" customHeight="1" s="194"/>
    <row r="477" ht="15.75" customHeight="1" s="194"/>
    <row r="478" ht="15.75" customHeight="1" s="194"/>
    <row r="479" ht="15.75" customHeight="1" s="194"/>
    <row r="480" ht="15.75" customHeight="1" s="194"/>
    <row r="481" ht="15.75" customHeight="1" s="194"/>
    <row r="482" ht="15.75" customHeight="1" s="194"/>
    <row r="483" ht="15.75" customHeight="1" s="194"/>
    <row r="484" ht="15.75" customHeight="1" s="194"/>
    <row r="485" ht="15.75" customHeight="1" s="194"/>
    <row r="486" ht="15.75" customHeight="1" s="194"/>
    <row r="487" ht="15.75" customHeight="1" s="194"/>
    <row r="488" ht="15.75" customHeight="1" s="194"/>
    <row r="489" ht="15.75" customHeight="1" s="194"/>
    <row r="490" ht="15.75" customHeight="1" s="194"/>
    <row r="491" ht="15.75" customHeight="1" s="194"/>
    <row r="492" ht="15.75" customHeight="1" s="194"/>
    <row r="493" ht="15.75" customHeight="1" s="194"/>
    <row r="494" ht="15.75" customHeight="1" s="194"/>
    <row r="495" ht="15.75" customHeight="1" s="194"/>
    <row r="496" ht="15.75" customHeight="1" s="194"/>
    <row r="497" ht="15.75" customHeight="1" s="194"/>
    <row r="498" ht="15.75" customHeight="1" s="194"/>
    <row r="499" ht="15.75" customHeight="1" s="194"/>
    <row r="500" ht="15.75" customHeight="1" s="194"/>
    <row r="501" ht="15.75" customHeight="1" s="194"/>
    <row r="502" ht="15.75" customHeight="1" s="194"/>
    <row r="503" ht="15.75" customHeight="1" s="194"/>
    <row r="504" ht="15.75" customHeight="1" s="194"/>
    <row r="505" ht="15.75" customHeight="1" s="194"/>
    <row r="506" ht="15.75" customHeight="1" s="194"/>
    <row r="507" ht="15.75" customHeight="1" s="194"/>
    <row r="508" ht="15.75" customHeight="1" s="194"/>
    <row r="509" ht="15.75" customHeight="1" s="194"/>
    <row r="510" ht="15.75" customHeight="1" s="194"/>
    <row r="511" ht="15.75" customHeight="1" s="194"/>
    <row r="512" ht="15.75" customHeight="1" s="194"/>
    <row r="513" ht="15.75" customHeight="1" s="194"/>
    <row r="514" ht="15.75" customHeight="1" s="194"/>
    <row r="515" ht="15.75" customHeight="1" s="194"/>
    <row r="516" ht="15.75" customHeight="1" s="194"/>
    <row r="517" ht="15.75" customHeight="1" s="194"/>
    <row r="518" ht="15.75" customHeight="1" s="194"/>
    <row r="519" ht="15.75" customHeight="1" s="194"/>
    <row r="520" ht="15.75" customHeight="1" s="194"/>
    <row r="521" ht="15.75" customHeight="1" s="194"/>
    <row r="522" ht="15.75" customHeight="1" s="194"/>
    <row r="523" ht="15.75" customHeight="1" s="194"/>
    <row r="524" ht="15.75" customHeight="1" s="194"/>
    <row r="525" ht="15.75" customHeight="1" s="194"/>
    <row r="526" ht="15.75" customHeight="1" s="194"/>
    <row r="527" ht="15.75" customHeight="1" s="194"/>
    <row r="528" ht="15.75" customHeight="1" s="194"/>
    <row r="529" ht="15.75" customHeight="1" s="194"/>
    <row r="530" ht="15.75" customHeight="1" s="194"/>
    <row r="531" ht="15.75" customHeight="1" s="194"/>
    <row r="532" ht="15.75" customHeight="1" s="194"/>
    <row r="533" ht="15.75" customHeight="1" s="194"/>
    <row r="534" ht="15.75" customHeight="1" s="194"/>
    <row r="535" ht="15.75" customHeight="1" s="194"/>
    <row r="536" ht="15.75" customHeight="1" s="194"/>
    <row r="537" ht="15.75" customHeight="1" s="194"/>
    <row r="538" ht="15.75" customHeight="1" s="194"/>
    <row r="539" ht="15.75" customHeight="1" s="194"/>
    <row r="540" ht="15.75" customHeight="1" s="194"/>
    <row r="541" ht="15.75" customHeight="1" s="194"/>
    <row r="542" ht="15.75" customHeight="1" s="194"/>
    <row r="543" ht="15.75" customHeight="1" s="194"/>
    <row r="544" ht="15.75" customHeight="1" s="194"/>
    <row r="545" ht="15.75" customHeight="1" s="194"/>
    <row r="546" ht="15.75" customHeight="1" s="194"/>
    <row r="547" ht="15.75" customHeight="1" s="194"/>
    <row r="548" ht="15.75" customHeight="1" s="194"/>
    <row r="549" ht="15.75" customHeight="1" s="194"/>
    <row r="550" ht="15.75" customHeight="1" s="194"/>
    <row r="551" ht="15.75" customHeight="1" s="194"/>
    <row r="552" ht="15.75" customHeight="1" s="194"/>
    <row r="553" ht="15.75" customHeight="1" s="194"/>
    <row r="554" ht="15.75" customHeight="1" s="194"/>
    <row r="555" ht="15.75" customHeight="1" s="194"/>
    <row r="556" ht="15.75" customHeight="1" s="194"/>
    <row r="557" ht="15.75" customHeight="1" s="194"/>
    <row r="558" ht="15.75" customHeight="1" s="194"/>
    <row r="559" ht="15.75" customHeight="1" s="194"/>
    <row r="560" ht="15.75" customHeight="1" s="194"/>
    <row r="561" ht="15.75" customHeight="1" s="194"/>
    <row r="562" ht="15.75" customHeight="1" s="194"/>
    <row r="563" ht="15.75" customHeight="1" s="194"/>
    <row r="564" ht="15.75" customHeight="1" s="194"/>
    <row r="565" ht="15.75" customHeight="1" s="194"/>
    <row r="566" ht="15.75" customHeight="1" s="194"/>
    <row r="567" ht="15.75" customHeight="1" s="194"/>
    <row r="568" ht="15.75" customHeight="1" s="194"/>
    <row r="569" ht="15.75" customHeight="1" s="194"/>
    <row r="570" ht="15.75" customHeight="1" s="194"/>
    <row r="571" ht="15.75" customHeight="1" s="194"/>
    <row r="572" ht="15.75" customHeight="1" s="194"/>
    <row r="573" ht="15.75" customHeight="1" s="194"/>
    <row r="574" ht="15.75" customHeight="1" s="194"/>
    <row r="575" ht="15.75" customHeight="1" s="194"/>
    <row r="576" ht="15.75" customHeight="1" s="194"/>
    <row r="577" ht="15.75" customHeight="1" s="194"/>
    <row r="578" ht="15.75" customHeight="1" s="194"/>
    <row r="579" ht="15.75" customHeight="1" s="194"/>
    <row r="580" ht="15.75" customHeight="1" s="194"/>
    <row r="581" ht="15.75" customHeight="1" s="194"/>
    <row r="582" ht="15.75" customHeight="1" s="194"/>
    <row r="583" ht="15.75" customHeight="1" s="194"/>
    <row r="584" ht="15.75" customHeight="1" s="194"/>
    <row r="585" ht="15.75" customHeight="1" s="194"/>
    <row r="586" ht="15.75" customHeight="1" s="194"/>
    <row r="587" ht="15.75" customHeight="1" s="194"/>
    <row r="588" ht="15.75" customHeight="1" s="194"/>
    <row r="589" ht="15.75" customHeight="1" s="194"/>
    <row r="590" ht="15.75" customHeight="1" s="194"/>
    <row r="591" ht="15.75" customHeight="1" s="194"/>
    <row r="592" ht="15.75" customHeight="1" s="194"/>
    <row r="593" ht="15.75" customHeight="1" s="194"/>
    <row r="594" ht="15.75" customHeight="1" s="194"/>
    <row r="595" ht="15.75" customHeight="1" s="194"/>
    <row r="596" ht="15.75" customHeight="1" s="194"/>
    <row r="597" ht="15.75" customHeight="1" s="194"/>
    <row r="598" ht="15.75" customHeight="1" s="194"/>
    <row r="599" ht="15.75" customHeight="1" s="194"/>
    <row r="600" ht="15.75" customHeight="1" s="194"/>
    <row r="601" ht="15.75" customHeight="1" s="194"/>
    <row r="602" ht="15.75" customHeight="1" s="194"/>
    <row r="603" ht="15.75" customHeight="1" s="194"/>
    <row r="604" ht="15.75" customHeight="1" s="194"/>
    <row r="605" ht="15.75" customHeight="1" s="194"/>
    <row r="606" ht="15.75" customHeight="1" s="194"/>
    <row r="607" ht="15.75" customHeight="1" s="194"/>
    <row r="608" ht="15.75" customHeight="1" s="194"/>
    <row r="609" ht="15.75" customHeight="1" s="194"/>
    <row r="610" ht="15.75" customHeight="1" s="194"/>
    <row r="611" ht="15.75" customHeight="1" s="194"/>
    <row r="612" ht="15.75" customHeight="1" s="194"/>
    <row r="613" ht="15.75" customHeight="1" s="194"/>
    <row r="614" ht="15.75" customHeight="1" s="194"/>
    <row r="615" ht="15.75" customHeight="1" s="194"/>
    <row r="616" ht="15.75" customHeight="1" s="194"/>
    <row r="617" ht="15.75" customHeight="1" s="194"/>
    <row r="618" ht="15.75" customHeight="1" s="194"/>
    <row r="619" ht="15.75" customHeight="1" s="194"/>
    <row r="620" ht="15.75" customHeight="1" s="194"/>
    <row r="621" ht="15.75" customHeight="1" s="194"/>
    <row r="622" ht="15.75" customHeight="1" s="194"/>
    <row r="623" ht="15.75" customHeight="1" s="194"/>
    <row r="624" ht="15.75" customHeight="1" s="194"/>
    <row r="625" ht="15.75" customHeight="1" s="194"/>
    <row r="626" ht="15.75" customHeight="1" s="194"/>
    <row r="627" ht="15.75" customHeight="1" s="194"/>
    <row r="628" ht="15.75" customHeight="1" s="194"/>
    <row r="629" ht="15.75" customHeight="1" s="194"/>
    <row r="630" ht="15.75" customHeight="1" s="194"/>
    <row r="631" ht="15.75" customHeight="1" s="194"/>
    <row r="632" ht="15.75" customHeight="1" s="194"/>
    <row r="633" ht="15.75" customHeight="1" s="194"/>
    <row r="634" ht="15.75" customHeight="1" s="194"/>
    <row r="635" ht="15.75" customHeight="1" s="194"/>
    <row r="636" ht="15.75" customHeight="1" s="194"/>
    <row r="637" ht="15.75" customHeight="1" s="194"/>
    <row r="638" ht="15.75" customHeight="1" s="194"/>
    <row r="639" ht="15.75" customHeight="1" s="194"/>
    <row r="640" ht="15.75" customHeight="1" s="194"/>
    <row r="641" ht="15.75" customHeight="1" s="194"/>
    <row r="642" ht="15.75" customHeight="1" s="194"/>
    <row r="643" ht="15.75" customHeight="1" s="194"/>
    <row r="644" ht="15.75" customHeight="1" s="194"/>
    <row r="645" ht="15.75" customHeight="1" s="194"/>
    <row r="646" ht="15.75" customHeight="1" s="194"/>
    <row r="647" ht="15.75" customHeight="1" s="194"/>
    <row r="648" ht="15.75" customHeight="1" s="194"/>
    <row r="649" ht="15.75" customHeight="1" s="194"/>
    <row r="650" ht="15.75" customHeight="1" s="194"/>
    <row r="651" ht="15.75" customHeight="1" s="194"/>
    <row r="652" ht="15.75" customHeight="1" s="194"/>
    <row r="653" ht="15.75" customHeight="1" s="194"/>
    <row r="654" ht="15.75" customHeight="1" s="194"/>
    <row r="655" ht="15.75" customHeight="1" s="194"/>
    <row r="656" ht="15.75" customHeight="1" s="194"/>
    <row r="657" ht="15.75" customHeight="1" s="194"/>
    <row r="658" ht="15.75" customHeight="1" s="194"/>
    <row r="659" ht="15.75" customHeight="1" s="194"/>
    <row r="660" ht="15.75" customHeight="1" s="194"/>
    <row r="661" ht="15.75" customHeight="1" s="194"/>
    <row r="662" ht="15.75" customHeight="1" s="194"/>
    <row r="663" ht="15.75" customHeight="1" s="194"/>
    <row r="664" ht="15.75" customHeight="1" s="194"/>
    <row r="665" ht="15.75" customHeight="1" s="194"/>
    <row r="666" ht="15.75" customHeight="1" s="194"/>
    <row r="667" ht="15.75" customHeight="1" s="194"/>
    <row r="668" ht="15.75" customHeight="1" s="194"/>
    <row r="669" ht="15.75" customHeight="1" s="194"/>
    <row r="670" ht="15.75" customHeight="1" s="194"/>
    <row r="671" ht="15.75" customHeight="1" s="194"/>
    <row r="672" ht="15.75" customHeight="1" s="194"/>
    <row r="673" ht="15.75" customHeight="1" s="194"/>
    <row r="674" ht="15.75" customHeight="1" s="194"/>
    <row r="675" ht="15.75" customHeight="1" s="194"/>
    <row r="676" ht="15.75" customHeight="1" s="194"/>
    <row r="677" ht="15.75" customHeight="1" s="194"/>
    <row r="678" ht="15.75" customHeight="1" s="194"/>
    <row r="679" ht="15.75" customHeight="1" s="194"/>
    <row r="680" ht="15.75" customHeight="1" s="194"/>
    <row r="681" ht="15.75" customHeight="1" s="194"/>
    <row r="682" ht="15.75" customHeight="1" s="194"/>
    <row r="683" ht="15.75" customHeight="1" s="194"/>
    <row r="684" ht="15.75" customHeight="1" s="194"/>
    <row r="685" ht="15.75" customHeight="1" s="194"/>
    <row r="686" ht="15.75" customHeight="1" s="194"/>
    <row r="687" ht="15.75" customHeight="1" s="194"/>
    <row r="688" ht="15.75" customHeight="1" s="194"/>
    <row r="689" ht="15.75" customHeight="1" s="194"/>
    <row r="690" ht="15.75" customHeight="1" s="194"/>
    <row r="691" ht="15.75" customHeight="1" s="194"/>
    <row r="692" ht="15.75" customHeight="1" s="194"/>
    <row r="693" ht="15.75" customHeight="1" s="194"/>
    <row r="694" ht="15.75" customHeight="1" s="194"/>
    <row r="695" ht="15.75" customHeight="1" s="194"/>
    <row r="696" ht="15.75" customHeight="1" s="194"/>
    <row r="697" ht="15.75" customHeight="1" s="194"/>
    <row r="698" ht="15.75" customHeight="1" s="194"/>
    <row r="699" ht="15.75" customHeight="1" s="194"/>
    <row r="700" ht="15.75" customHeight="1" s="194"/>
    <row r="701" ht="15.75" customHeight="1" s="194"/>
    <row r="702" ht="15.75" customHeight="1" s="194"/>
    <row r="703" ht="15.75" customHeight="1" s="194"/>
    <row r="704" ht="15.75" customHeight="1" s="194"/>
    <row r="705" ht="15.75" customHeight="1" s="194"/>
    <row r="706" ht="15.75" customHeight="1" s="194"/>
    <row r="707" ht="15.75" customHeight="1" s="194"/>
    <row r="708" ht="15.75" customHeight="1" s="194"/>
    <row r="709" ht="15.75" customHeight="1" s="194"/>
    <row r="710" ht="15.75" customHeight="1" s="194"/>
    <row r="711" ht="15.75" customHeight="1" s="194"/>
    <row r="712" ht="15.75" customHeight="1" s="194"/>
    <row r="713" ht="15.75" customHeight="1" s="194"/>
    <row r="714" ht="15.75" customHeight="1" s="194"/>
    <row r="715" ht="15.75" customHeight="1" s="194"/>
    <row r="716" ht="15.75" customHeight="1" s="194"/>
    <row r="717" ht="15.75" customHeight="1" s="194"/>
    <row r="718" ht="15.75" customHeight="1" s="194"/>
    <row r="719" ht="15.75" customHeight="1" s="194"/>
    <row r="720" ht="15.75" customHeight="1" s="194"/>
    <row r="721" ht="15.75" customHeight="1" s="194"/>
    <row r="722" ht="15.75" customHeight="1" s="194"/>
    <row r="723" ht="15.75" customHeight="1" s="194"/>
    <row r="724" ht="15.75" customHeight="1" s="194"/>
    <row r="725" ht="15.75" customHeight="1" s="194"/>
    <row r="726" ht="15.75" customHeight="1" s="194"/>
    <row r="727" ht="15.75" customHeight="1" s="194"/>
    <row r="728" ht="15.75" customHeight="1" s="194"/>
    <row r="729" ht="15.75" customHeight="1" s="194"/>
    <row r="730" ht="15.75" customHeight="1" s="194"/>
    <row r="731" ht="15.75" customHeight="1" s="194"/>
    <row r="732" ht="15.75" customHeight="1" s="194"/>
    <row r="733" ht="15.75" customHeight="1" s="194"/>
    <row r="734" ht="15.75" customHeight="1" s="194"/>
    <row r="735" ht="15.75" customHeight="1" s="194"/>
    <row r="736" ht="15.75" customHeight="1" s="194"/>
    <row r="737" ht="15.75" customHeight="1" s="194"/>
    <row r="738" ht="15.75" customHeight="1" s="194"/>
    <row r="739" ht="15.75" customHeight="1" s="194"/>
    <row r="740" ht="15.75" customHeight="1" s="194"/>
    <row r="741" ht="15.75" customHeight="1" s="194"/>
    <row r="742" ht="15.75" customHeight="1" s="194"/>
    <row r="743" ht="15.75" customHeight="1" s="194"/>
    <row r="744" ht="15.75" customHeight="1" s="194"/>
    <row r="745" ht="15.75" customHeight="1" s="194"/>
    <row r="746" ht="15.75" customHeight="1" s="194"/>
    <row r="747" ht="15.75" customHeight="1" s="194"/>
    <row r="748" ht="15.75" customHeight="1" s="194"/>
    <row r="749" ht="15.75" customHeight="1" s="194"/>
    <row r="750" ht="15.75" customHeight="1" s="194"/>
    <row r="751" ht="15.75" customHeight="1" s="194"/>
    <row r="752" ht="15.75" customHeight="1" s="194"/>
    <row r="753" ht="15.75" customHeight="1" s="194"/>
    <row r="754" ht="15.75" customHeight="1" s="194"/>
    <row r="755" ht="15.75" customHeight="1" s="194"/>
    <row r="756" ht="15.75" customHeight="1" s="194"/>
    <row r="757" ht="15.75" customHeight="1" s="194"/>
    <row r="758" ht="15.75" customHeight="1" s="194"/>
    <row r="759" ht="15.75" customHeight="1" s="194"/>
    <row r="760" ht="15.75" customHeight="1" s="194"/>
    <row r="761" ht="15.75" customHeight="1" s="194"/>
    <row r="762" ht="15.75" customHeight="1" s="194"/>
    <row r="763" ht="15.75" customHeight="1" s="194"/>
    <row r="764" ht="15.75" customHeight="1" s="194"/>
    <row r="765" ht="15.75" customHeight="1" s="194"/>
    <row r="766" ht="15.75" customHeight="1" s="194"/>
    <row r="767" ht="15.75" customHeight="1" s="194"/>
    <row r="768" ht="15.75" customHeight="1" s="194"/>
    <row r="769" ht="15.75" customHeight="1" s="194"/>
    <row r="770" ht="15.75" customHeight="1" s="194"/>
    <row r="771" ht="15.75" customHeight="1" s="194"/>
    <row r="772" ht="15.75" customHeight="1" s="194"/>
    <row r="773" ht="15.75" customHeight="1" s="194"/>
    <row r="774" ht="15.75" customHeight="1" s="194"/>
    <row r="775" ht="15.75" customHeight="1" s="194"/>
    <row r="776" ht="15.75" customHeight="1" s="194"/>
    <row r="777" ht="15.75" customHeight="1" s="194"/>
    <row r="778" ht="15.75" customHeight="1" s="194"/>
    <row r="779" ht="15.75" customHeight="1" s="194"/>
    <row r="780" ht="15.75" customHeight="1" s="194"/>
    <row r="781" ht="15.75" customHeight="1" s="194"/>
    <row r="782" ht="15.75" customHeight="1" s="194"/>
    <row r="783" ht="15.75" customHeight="1" s="194"/>
    <row r="784" ht="15.75" customHeight="1" s="194"/>
    <row r="785" ht="15.75" customHeight="1" s="194"/>
    <row r="786" ht="15.75" customHeight="1" s="194"/>
    <row r="787" ht="15.75" customHeight="1" s="194"/>
    <row r="788" ht="15.75" customHeight="1" s="194"/>
    <row r="789" ht="15.75" customHeight="1" s="194"/>
    <row r="790" ht="15.75" customHeight="1" s="194"/>
    <row r="791" ht="15.75" customHeight="1" s="194"/>
    <row r="792" ht="15.75" customHeight="1" s="194"/>
    <row r="793" ht="15.75" customHeight="1" s="194"/>
    <row r="794" ht="15.75" customHeight="1" s="194"/>
    <row r="795" ht="15.75" customHeight="1" s="194"/>
    <row r="796" ht="15.75" customHeight="1" s="194"/>
    <row r="797" ht="15.75" customHeight="1" s="194"/>
    <row r="798" ht="15.75" customHeight="1" s="194"/>
    <row r="799" ht="15.75" customHeight="1" s="194"/>
    <row r="800" ht="15.75" customHeight="1" s="194"/>
    <row r="801" ht="15.75" customHeight="1" s="194"/>
    <row r="802" ht="15.75" customHeight="1" s="194"/>
    <row r="803" ht="15.75" customHeight="1" s="194"/>
    <row r="804" ht="15.75" customHeight="1" s="194"/>
    <row r="805" ht="15.75" customHeight="1" s="194"/>
    <row r="806" ht="15.75" customHeight="1" s="194"/>
    <row r="807" ht="15.75" customHeight="1" s="194"/>
    <row r="808" ht="15.75" customHeight="1" s="194"/>
    <row r="809" ht="15.75" customHeight="1" s="194"/>
    <row r="810" ht="15.75" customHeight="1" s="194"/>
    <row r="811" ht="15.75" customHeight="1" s="194"/>
    <row r="812" ht="15.75" customHeight="1" s="194"/>
    <row r="813" ht="15.75" customHeight="1" s="194"/>
    <row r="814" ht="15.75" customHeight="1" s="194"/>
    <row r="815" ht="15.75" customHeight="1" s="194"/>
    <row r="816" ht="15.75" customHeight="1" s="194"/>
    <row r="817" ht="15.75" customHeight="1" s="194"/>
    <row r="818" ht="15.75" customHeight="1" s="194"/>
    <row r="819" ht="15.75" customHeight="1" s="194"/>
    <row r="820" ht="15.75" customHeight="1" s="194"/>
    <row r="821" ht="15.75" customHeight="1" s="194"/>
    <row r="822" ht="15.75" customHeight="1" s="194"/>
    <row r="823" ht="15.75" customHeight="1" s="194"/>
    <row r="824" ht="15.75" customHeight="1" s="194"/>
    <row r="825" ht="15.75" customHeight="1" s="194"/>
    <row r="826" ht="15.75" customHeight="1" s="194"/>
    <row r="827" ht="15.75" customHeight="1" s="194"/>
    <row r="828" ht="15.75" customHeight="1" s="194"/>
    <row r="829" ht="15.75" customHeight="1" s="194"/>
    <row r="830" ht="15.75" customHeight="1" s="194"/>
    <row r="831" ht="15.75" customHeight="1" s="194"/>
    <row r="832" ht="15.75" customHeight="1" s="194"/>
    <row r="833" ht="15.75" customHeight="1" s="194"/>
    <row r="834" ht="15.75" customHeight="1" s="194"/>
    <row r="835" ht="15.75" customHeight="1" s="194"/>
    <row r="836" ht="15.75" customHeight="1" s="194"/>
    <row r="837" ht="15.75" customHeight="1" s="194"/>
    <row r="838" ht="15.75" customHeight="1" s="194"/>
    <row r="839" ht="15.75" customHeight="1" s="194"/>
    <row r="840" ht="15.75" customHeight="1" s="194"/>
    <row r="841" ht="15.75" customHeight="1" s="194"/>
    <row r="842" ht="15.75" customHeight="1" s="194"/>
    <row r="843" ht="15.75" customHeight="1" s="194"/>
    <row r="844" ht="15.75" customHeight="1" s="194"/>
    <row r="845" ht="15.75" customHeight="1" s="194"/>
    <row r="846" ht="15.75" customHeight="1" s="194"/>
    <row r="847" ht="15.75" customHeight="1" s="194"/>
    <row r="848" ht="15.75" customHeight="1" s="194"/>
    <row r="849" ht="15.75" customHeight="1" s="194"/>
    <row r="850" ht="15.75" customHeight="1" s="194"/>
    <row r="851" ht="15.75" customHeight="1" s="194"/>
    <row r="852" ht="15.75" customHeight="1" s="194"/>
    <row r="853" ht="15.75" customHeight="1" s="194"/>
    <row r="854" ht="15.75" customHeight="1" s="194"/>
    <row r="855" ht="15.75" customHeight="1" s="194"/>
    <row r="856" ht="15.75" customHeight="1" s="194"/>
    <row r="857" ht="15.75" customHeight="1" s="194"/>
    <row r="858" ht="15.75" customHeight="1" s="194"/>
    <row r="859" ht="15.75" customHeight="1" s="194"/>
    <row r="860" ht="15.75" customHeight="1" s="194"/>
    <row r="861" ht="15.75" customHeight="1" s="194"/>
    <row r="862" ht="15.75" customHeight="1" s="194"/>
    <row r="863" ht="15.75" customHeight="1" s="194"/>
    <row r="864" ht="15.75" customHeight="1" s="194"/>
    <row r="865" ht="15.75" customHeight="1" s="194"/>
    <row r="866" ht="15.75" customHeight="1" s="194"/>
    <row r="867" ht="15.75" customHeight="1" s="194"/>
    <row r="868" ht="15.75" customHeight="1" s="194"/>
    <row r="869" ht="15.75" customHeight="1" s="194"/>
    <row r="870" ht="15.75" customHeight="1" s="194"/>
    <row r="871" ht="15.75" customHeight="1" s="194"/>
    <row r="872" ht="15.75" customHeight="1" s="194"/>
    <row r="873" ht="15.75" customHeight="1" s="194"/>
    <row r="874" ht="15.75" customHeight="1" s="194"/>
    <row r="875" ht="15.75" customHeight="1" s="194"/>
    <row r="876" ht="15.75" customHeight="1" s="194"/>
    <row r="877" ht="15.75" customHeight="1" s="194"/>
    <row r="878" ht="15.75" customHeight="1" s="194"/>
    <row r="879" ht="15.75" customHeight="1" s="194"/>
    <row r="880" ht="15.75" customHeight="1" s="194"/>
    <row r="881" ht="15.75" customHeight="1" s="194"/>
    <row r="882" ht="15.75" customHeight="1" s="194"/>
    <row r="883" ht="15.75" customHeight="1" s="194"/>
    <row r="884" ht="15.75" customHeight="1" s="194"/>
    <row r="885" ht="15.75" customHeight="1" s="194"/>
    <row r="886" ht="15.75" customHeight="1" s="194"/>
    <row r="887" ht="15.75" customHeight="1" s="194"/>
    <row r="888" ht="15.75" customHeight="1" s="194"/>
    <row r="889" ht="15.75" customHeight="1" s="194"/>
    <row r="890" ht="15.75" customHeight="1" s="194"/>
    <row r="891" ht="15.75" customHeight="1" s="194"/>
    <row r="892" ht="15.75" customHeight="1" s="194"/>
    <row r="893" ht="15.75" customHeight="1" s="194"/>
    <row r="894" ht="15.75" customHeight="1" s="194"/>
    <row r="895" ht="15.75" customHeight="1" s="194"/>
    <row r="896" ht="15.75" customHeight="1" s="194"/>
    <row r="897" ht="15.75" customHeight="1" s="194"/>
    <row r="898" ht="15.75" customHeight="1" s="194"/>
    <row r="899" ht="15.75" customHeight="1" s="194"/>
    <row r="900" ht="15.75" customHeight="1" s="194"/>
    <row r="901" ht="15.75" customHeight="1" s="194"/>
    <row r="902" ht="15.75" customHeight="1" s="194"/>
    <row r="903" ht="15.75" customHeight="1" s="194"/>
    <row r="904" ht="15.75" customHeight="1" s="194"/>
    <row r="905" ht="15.75" customHeight="1" s="194"/>
    <row r="906" ht="15.75" customHeight="1" s="194"/>
    <row r="907" ht="15.75" customHeight="1" s="194"/>
    <row r="908" ht="15.75" customHeight="1" s="194"/>
    <row r="909" ht="15.75" customHeight="1" s="194"/>
    <row r="910" ht="15.75" customHeight="1" s="194"/>
    <row r="911" ht="15.75" customHeight="1" s="194"/>
    <row r="912" ht="15.75" customHeight="1" s="194"/>
    <row r="913" ht="15.75" customHeight="1" s="194"/>
    <row r="914" ht="15.75" customHeight="1" s="194"/>
    <row r="915" ht="15.75" customHeight="1" s="194"/>
    <row r="916" ht="15.75" customHeight="1" s="194"/>
    <row r="917" ht="15.75" customHeight="1" s="194"/>
    <row r="918" ht="15.75" customHeight="1" s="194"/>
    <row r="919" ht="15.75" customHeight="1" s="194"/>
    <row r="920" ht="15.75" customHeight="1" s="194"/>
    <row r="921" ht="15.75" customHeight="1" s="194"/>
    <row r="922" ht="15.75" customHeight="1" s="194"/>
    <row r="923" ht="15.75" customHeight="1" s="194"/>
    <row r="924" ht="15.75" customHeight="1" s="194"/>
    <row r="925" ht="15.75" customHeight="1" s="194"/>
    <row r="926" ht="15.75" customHeight="1" s="194"/>
    <row r="927" ht="15.75" customHeight="1" s="194"/>
    <row r="928" ht="15.75" customHeight="1" s="194"/>
    <row r="929" ht="15.75" customHeight="1" s="194"/>
    <row r="930" ht="15.75" customHeight="1" s="194"/>
    <row r="931" ht="15.75" customHeight="1" s="194"/>
    <row r="932" ht="15.75" customHeight="1" s="194"/>
    <row r="933" ht="15.75" customHeight="1" s="194"/>
    <row r="934" ht="15.75" customHeight="1" s="194"/>
    <row r="935" ht="15.75" customHeight="1" s="194"/>
    <row r="936" ht="15.75" customHeight="1" s="194"/>
    <row r="937" ht="15.75" customHeight="1" s="194"/>
    <row r="938" ht="15.75" customHeight="1" s="194"/>
    <row r="939" ht="15.75" customHeight="1" s="194"/>
    <row r="940" ht="15.75" customHeight="1" s="194"/>
    <row r="941" ht="15.75" customHeight="1" s="194"/>
    <row r="942" ht="15.75" customHeight="1" s="194"/>
    <row r="943" ht="15.75" customHeight="1" s="194"/>
    <row r="944" ht="15.75" customHeight="1" s="194"/>
    <row r="945" ht="15.75" customHeight="1" s="194"/>
    <row r="946" ht="15.75" customHeight="1" s="194"/>
    <row r="947" ht="15.75" customHeight="1" s="194"/>
    <row r="948" ht="15.75" customHeight="1" s="194"/>
    <row r="949" ht="15.75" customHeight="1" s="194"/>
    <row r="950" ht="15.75" customHeight="1" s="194"/>
    <row r="951" ht="15.75" customHeight="1" s="194"/>
    <row r="952" ht="15.75" customHeight="1" s="194"/>
    <row r="953" ht="15.75" customHeight="1" s="194"/>
    <row r="954" ht="15.75" customHeight="1" s="194"/>
    <row r="955" ht="15.75" customHeight="1" s="194"/>
    <row r="956" ht="15.75" customHeight="1" s="194"/>
    <row r="957" ht="15.75" customHeight="1" s="194"/>
    <row r="958" ht="15.75" customHeight="1" s="194"/>
    <row r="959" ht="15.75" customHeight="1" s="194"/>
    <row r="960" ht="15.75" customHeight="1" s="194"/>
    <row r="961" ht="15.75" customHeight="1" s="194"/>
    <row r="962" ht="15.75" customHeight="1" s="194"/>
    <row r="963" ht="15.75" customHeight="1" s="194"/>
    <row r="964" ht="15.75" customHeight="1" s="194"/>
    <row r="965" ht="15.75" customHeight="1" s="194"/>
    <row r="966" ht="15.75" customHeight="1" s="194"/>
    <row r="967" ht="15.75" customHeight="1" s="194"/>
    <row r="968" ht="15.75" customHeight="1" s="194"/>
    <row r="969" ht="15.75" customHeight="1" s="194"/>
    <row r="970" ht="15.75" customHeight="1" s="194"/>
    <row r="971" ht="15.75" customHeight="1" s="194"/>
    <row r="972" ht="15.75" customHeight="1" s="194"/>
    <row r="973" ht="15.75" customHeight="1" s="194"/>
    <row r="974" ht="15.75" customHeight="1" s="194"/>
    <row r="975" ht="15.75" customHeight="1" s="194"/>
    <row r="976" ht="15.75" customHeight="1" s="194"/>
    <row r="977" ht="15.75" customHeight="1" s="194"/>
    <row r="978" ht="15.75" customHeight="1" s="194"/>
    <row r="979" ht="15.75" customHeight="1" s="194"/>
    <row r="980" ht="15.75" customHeight="1" s="194"/>
    <row r="981" ht="15.75" customHeight="1" s="194"/>
    <row r="982" ht="15.75" customHeight="1" s="194"/>
    <row r="983" ht="15.75" customHeight="1" s="194"/>
    <row r="984" ht="15.75" customHeight="1" s="194"/>
    <row r="985" ht="15.75" customHeight="1" s="194"/>
    <row r="986" ht="15.75" customHeight="1" s="194"/>
    <row r="987" ht="15.75" customHeight="1" s="194"/>
    <row r="988" ht="15.75" customHeight="1" s="194"/>
    <row r="989" ht="15.75" customHeight="1" s="194"/>
    <row r="990" ht="15.75" customHeight="1" s="194"/>
    <row r="991" ht="15.75" customHeight="1" s="194"/>
    <row r="992" ht="15.75" customHeight="1" s="194"/>
    <row r="993" ht="15.75" customHeight="1" s="194"/>
    <row r="994" ht="15.75" customHeight="1" s="194"/>
    <row r="995" ht="15.75" customHeight="1" s="194"/>
    <row r="996" ht="15.75" customHeight="1" s="194"/>
    <row r="997" ht="15.75" customHeight="1" s="194"/>
    <row r="998" ht="15.75" customHeight="1" s="194"/>
    <row r="999" ht="15.75" customHeight="1" s="194"/>
    <row r="1000" ht="15.75" customHeight="1" s="194"/>
  </sheetData>
  <mergeCells count="3">
    <mergeCell ref="C4:C5"/>
    <mergeCell ref="D4:D5"/>
    <mergeCell ref="B4:B5"/>
  </mergeCells>
  <pageMargins left="0.75" right="0.75" top="1" bottom="1" header="0" footer="0"/>
  <pageSetup orientation="landscape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1:BY30"/>
  <sheetViews>
    <sheetView showGridLines="0" workbookViewId="0">
      <pane xSplit="11" ySplit="5" topLeftCell="L6" activePane="bottomRight" state="frozen"/>
      <selection pane="topRight" activeCell="L1" sqref="L1"/>
      <selection pane="bottomLeft" activeCell="A6" sqref="A6"/>
      <selection pane="bottomRight" activeCell="L6" sqref="L6"/>
    </sheetView>
  </sheetViews>
  <sheetFormatPr baseColWidth="8" defaultColWidth="14.43" defaultRowHeight="15" customHeight="1" outlineLevelRow="1"/>
  <cols>
    <col width="5" customWidth="1" style="194" min="1" max="1"/>
    <col width="44" customWidth="1" style="194" min="2" max="2"/>
    <col width="11" customWidth="1" style="194" min="3" max="3"/>
    <col width="46" customWidth="1" style="194" min="4" max="4"/>
    <col width="15" customWidth="1" style="194" min="5" max="9"/>
    <col width="16" customWidth="1" style="194" min="10" max="10"/>
    <col width="3" customWidth="1" style="194" min="11" max="11"/>
    <col width="13" customWidth="1" style="194" min="12" max="71"/>
    <col hidden="1" width="13" customWidth="1" style="194" min="72" max="77"/>
  </cols>
  <sheetData>
    <row r="1">
      <c r="B1" s="1" t="inlineStr">
        <is>
          <t>Деньги: склад, займ, CAPEX, налоги</t>
        </is>
      </c>
    </row>
    <row r="2">
      <c r="B2" s="2" t="inlineStr">
        <is>
          <t>Расшифровка к «Результату». Здесь живёт всё, из-за чего денежный поток не равен EBITDA.</t>
        </is>
      </c>
    </row>
    <row r="4" ht="25.5" customHeight="1" s="194">
      <c r="B4" s="4" t="inlineStr">
        <is>
          <t>Показатель</t>
        </is>
      </c>
      <c r="C4" s="4" t="inlineStr">
        <is>
          <t>Ед.</t>
        </is>
      </c>
      <c r="D4" s="4" t="inlineStr">
        <is>
          <t>Как считается</t>
        </is>
      </c>
      <c r="E4" s="4" t="inlineStr">
        <is>
          <t>Год 1</t>
        </is>
      </c>
      <c r="F4" s="4" t="inlineStr">
        <is>
          <t>Год 2</t>
        </is>
      </c>
      <c r="G4" s="4" t="inlineStr">
        <is>
          <t>Год 3</t>
        </is>
      </c>
      <c r="H4" s="4" t="inlineStr">
        <is>
          <t>Год 4</t>
        </is>
      </c>
      <c r="I4" s="4" t="inlineStr">
        <is>
          <t>Год 5</t>
        </is>
      </c>
      <c r="J4" s="4" t="inlineStr">
        <is>
          <t>Итого 5 лет</t>
        </is>
      </c>
      <c r="K4" s="4" t="n"/>
      <c r="L4" s="4" t="inlineStr">
        <is>
          <t>М1</t>
        </is>
      </c>
      <c r="M4" s="4" t="inlineStr">
        <is>
          <t>М2</t>
        </is>
      </c>
      <c r="N4" s="4" t="inlineStr">
        <is>
          <t>М3</t>
        </is>
      </c>
      <c r="O4" s="4" t="inlineStr">
        <is>
          <t>М4</t>
        </is>
      </c>
      <c r="P4" s="4" t="inlineStr">
        <is>
          <t>М5</t>
        </is>
      </c>
      <c r="Q4" s="4" t="inlineStr">
        <is>
          <t>М6</t>
        </is>
      </c>
      <c r="R4" s="4" t="inlineStr">
        <is>
          <t>М7</t>
        </is>
      </c>
      <c r="S4" s="4" t="inlineStr">
        <is>
          <t>М8</t>
        </is>
      </c>
      <c r="T4" s="4" t="inlineStr">
        <is>
          <t>М9</t>
        </is>
      </c>
      <c r="U4" s="4" t="inlineStr">
        <is>
          <t>М10</t>
        </is>
      </c>
      <c r="V4" s="4" t="inlineStr">
        <is>
          <t>М11</t>
        </is>
      </c>
      <c r="W4" s="4" t="inlineStr">
        <is>
          <t>М12</t>
        </is>
      </c>
      <c r="X4" s="4" t="inlineStr">
        <is>
          <t>М13</t>
        </is>
      </c>
      <c r="Y4" s="4" t="inlineStr">
        <is>
          <t>М14</t>
        </is>
      </c>
      <c r="Z4" s="4" t="inlineStr">
        <is>
          <t>М15</t>
        </is>
      </c>
      <c r="AA4" s="4" t="inlineStr">
        <is>
          <t>М16</t>
        </is>
      </c>
      <c r="AB4" s="4" t="inlineStr">
        <is>
          <t>М17</t>
        </is>
      </c>
      <c r="AC4" s="4" t="inlineStr">
        <is>
          <t>М18</t>
        </is>
      </c>
      <c r="AD4" s="4" t="inlineStr">
        <is>
          <t>М19</t>
        </is>
      </c>
      <c r="AE4" s="4" t="inlineStr">
        <is>
          <t>М20</t>
        </is>
      </c>
      <c r="AF4" s="4" t="inlineStr">
        <is>
          <t>М21</t>
        </is>
      </c>
      <c r="AG4" s="4" t="inlineStr">
        <is>
          <t>М22</t>
        </is>
      </c>
      <c r="AH4" s="4" t="inlineStr">
        <is>
          <t>М23</t>
        </is>
      </c>
      <c r="AI4" s="4" t="inlineStr">
        <is>
          <t>М24</t>
        </is>
      </c>
      <c r="AJ4" s="4" t="inlineStr">
        <is>
          <t>М25</t>
        </is>
      </c>
      <c r="AK4" s="4" t="inlineStr">
        <is>
          <t>М26</t>
        </is>
      </c>
      <c r="AL4" s="4" t="inlineStr">
        <is>
          <t>М27</t>
        </is>
      </c>
      <c r="AM4" s="4" t="inlineStr">
        <is>
          <t>М28</t>
        </is>
      </c>
      <c r="AN4" s="4" t="inlineStr">
        <is>
          <t>М29</t>
        </is>
      </c>
      <c r="AO4" s="4" t="inlineStr">
        <is>
          <t>М30</t>
        </is>
      </c>
      <c r="AP4" s="4" t="inlineStr">
        <is>
          <t>М31</t>
        </is>
      </c>
      <c r="AQ4" s="4" t="inlineStr">
        <is>
          <t>М32</t>
        </is>
      </c>
      <c r="AR4" s="4" t="inlineStr">
        <is>
          <t>М33</t>
        </is>
      </c>
      <c r="AS4" s="4" t="inlineStr">
        <is>
          <t>М34</t>
        </is>
      </c>
      <c r="AT4" s="4" t="inlineStr">
        <is>
          <t>М35</t>
        </is>
      </c>
      <c r="AU4" s="4" t="inlineStr">
        <is>
          <t>М36</t>
        </is>
      </c>
      <c r="AV4" s="4" t="inlineStr">
        <is>
          <t>М37</t>
        </is>
      </c>
      <c r="AW4" s="4" t="inlineStr">
        <is>
          <t>М38</t>
        </is>
      </c>
      <c r="AX4" s="4" t="inlineStr">
        <is>
          <t>М39</t>
        </is>
      </c>
      <c r="AY4" s="4" t="inlineStr">
        <is>
          <t>М40</t>
        </is>
      </c>
      <c r="AZ4" s="4" t="inlineStr">
        <is>
          <t>М41</t>
        </is>
      </c>
      <c r="BA4" s="4" t="inlineStr">
        <is>
          <t>М42</t>
        </is>
      </c>
      <c r="BB4" s="4" t="inlineStr">
        <is>
          <t>М43</t>
        </is>
      </c>
      <c r="BC4" s="4" t="inlineStr">
        <is>
          <t>М44</t>
        </is>
      </c>
      <c r="BD4" s="4" t="inlineStr">
        <is>
          <t>М45</t>
        </is>
      </c>
      <c r="BE4" s="4" t="inlineStr">
        <is>
          <t>М46</t>
        </is>
      </c>
      <c r="BF4" s="4" t="inlineStr">
        <is>
          <t>М47</t>
        </is>
      </c>
      <c r="BG4" s="4" t="inlineStr">
        <is>
          <t>М48</t>
        </is>
      </c>
      <c r="BH4" s="4" t="inlineStr">
        <is>
          <t>М49</t>
        </is>
      </c>
      <c r="BI4" s="4" t="inlineStr">
        <is>
          <t>М50</t>
        </is>
      </c>
      <c r="BJ4" s="4" t="inlineStr">
        <is>
          <t>М51</t>
        </is>
      </c>
      <c r="BK4" s="4" t="inlineStr">
        <is>
          <t>М52</t>
        </is>
      </c>
      <c r="BL4" s="4" t="inlineStr">
        <is>
          <t>М53</t>
        </is>
      </c>
      <c r="BM4" s="4" t="inlineStr">
        <is>
          <t>М54</t>
        </is>
      </c>
      <c r="BN4" s="4" t="inlineStr">
        <is>
          <t>М55</t>
        </is>
      </c>
      <c r="BO4" s="4" t="inlineStr">
        <is>
          <t>М56</t>
        </is>
      </c>
      <c r="BP4" s="4" t="inlineStr">
        <is>
          <t>М57</t>
        </is>
      </c>
      <c r="BQ4" s="4" t="inlineStr">
        <is>
          <t>М58</t>
        </is>
      </c>
      <c r="BR4" s="4" t="inlineStr">
        <is>
          <t>М59</t>
        </is>
      </c>
      <c r="BS4" s="4" t="inlineStr">
        <is>
          <t>М60</t>
        </is>
      </c>
      <c r="BT4" s="4" t="inlineStr">
        <is>
          <t>тех. 1</t>
        </is>
      </c>
      <c r="BU4" s="4" t="inlineStr">
        <is>
          <t>тех. 2</t>
        </is>
      </c>
      <c r="BV4" s="4" t="inlineStr">
        <is>
          <t>тех. 3</t>
        </is>
      </c>
      <c r="BW4" s="4" t="inlineStr">
        <is>
          <t>тех. 4</t>
        </is>
      </c>
      <c r="BX4" s="4" t="inlineStr">
        <is>
          <t>тех. 5</t>
        </is>
      </c>
      <c r="BY4" s="4" t="inlineStr">
        <is>
          <t>тех. 6</t>
        </is>
      </c>
    </row>
    <row r="5" ht="15.75" customHeight="1" s="194">
      <c r="E5" s="4">
        <f>TEXT(MONTH(DATE(YEAR(СтартМодели),MONTH(СтартМодели)+0,1)),"00")&amp;"."&amp;YEAR(DATE(YEAR(СтартМодели),MONTH(СтартМодели)+0,1))&amp;" – "&amp;TEXT(MONTH(DATE(YEAR(СтартМодели),MONTH(СтартМодели)+11,1)),"00")&amp;"."&amp;YEAR(DATE(YEAR(СтартМодели),MONTH(СтартМодели)+11,1))</f>
        <v/>
      </c>
      <c r="F5" s="4">
        <f>TEXT(MONTH(DATE(YEAR(СтартМодели),MONTH(СтартМодели)+12,1)),"00")&amp;"."&amp;YEAR(DATE(YEAR(СтартМодели),MONTH(СтартМодели)+12,1))&amp;" – "&amp;TEXT(MONTH(DATE(YEAR(СтартМодели),MONTH(СтартМодели)+23,1)),"00")&amp;"."&amp;YEAR(DATE(YEAR(СтартМодели),MONTH(СтартМодели)+23,1))</f>
        <v/>
      </c>
      <c r="G5" s="4">
        <f>TEXT(MONTH(DATE(YEAR(СтартМодели),MONTH(СтартМодели)+24,1)),"00")&amp;"."&amp;YEAR(DATE(YEAR(СтартМодели),MONTH(СтартМодели)+24,1))&amp;" – "&amp;TEXT(MONTH(DATE(YEAR(СтартМодели),MONTH(СтартМодели)+35,1)),"00")&amp;"."&amp;YEAR(DATE(YEAR(СтартМодели),MONTH(СтартМодели)+35,1))</f>
        <v/>
      </c>
      <c r="H5" s="4">
        <f>TEXT(MONTH(DATE(YEAR(СтартМодели),MONTH(СтартМодели)+36,1)),"00")&amp;"."&amp;YEAR(DATE(YEAR(СтартМодели),MONTH(СтартМодели)+36,1))&amp;" – "&amp;TEXT(MONTH(DATE(YEAR(СтартМодели),MONTH(СтартМодели)+47,1)),"00")&amp;"."&amp;YEAR(DATE(YEAR(СтартМодели),MONTH(СтартМодели)+47,1))</f>
        <v/>
      </c>
      <c r="I5" s="4">
        <f>TEXT(MONTH(DATE(YEAR(СтартМодели),MONTH(СтартМодели)+48,1)),"00")&amp;"."&amp;YEAR(DATE(YEAR(СтартМодели),MONTH(СтартМодели)+48,1))&amp;" – "&amp;TEXT(MONTH(DATE(YEAR(СтартМодели),MONTH(СтартМодели)+59,1)),"00")&amp;"."&amp;YEAR(DATE(YEAR(СтартМодели),MONTH(СтартМодели)+59,1))</f>
        <v/>
      </c>
      <c r="J5" s="4">
        <f>TEXT(MONTH(DATE(YEAR(СтартМодели),MONTH(СтартМодели)+0,1)),"00")&amp;"."&amp;YEAR(DATE(YEAR(СтартМодели),MONTH(СтартМодели)+0,1))&amp;" – "&amp;TEXT(MONTH(DATE(YEAR(СтартМодели),MONTH(СтартМодели)+59,1)),"00")&amp;"."&amp;YEAR(DATE(YEAR(СтартМодели),MONTH(СтартМодели)+59,1))</f>
        <v/>
      </c>
      <c r="K5" s="4" t="n"/>
      <c r="L5" s="32">
        <f>DATE(YEAR(СтартМодели),MONTH(СтартМодели)+1-1,1)</f>
        <v/>
      </c>
      <c r="M5" s="32">
        <f>DATE(YEAR(СтартМодели),MONTH(СтартМодели)+2-1,1)</f>
        <v/>
      </c>
      <c r="N5" s="32">
        <f>DATE(YEAR(СтартМодели),MONTH(СтартМодели)+3-1,1)</f>
        <v/>
      </c>
      <c r="O5" s="32">
        <f>DATE(YEAR(СтартМодели),MONTH(СтартМодели)+4-1,1)</f>
        <v/>
      </c>
      <c r="P5" s="32">
        <f>DATE(YEAR(СтартМодели),MONTH(СтартМодели)+5-1,1)</f>
        <v/>
      </c>
      <c r="Q5" s="32">
        <f>DATE(YEAR(СтартМодели),MONTH(СтартМодели)+6-1,1)</f>
        <v/>
      </c>
      <c r="R5" s="32">
        <f>DATE(YEAR(СтартМодели),MONTH(СтартМодели)+7-1,1)</f>
        <v/>
      </c>
      <c r="S5" s="32">
        <f>DATE(YEAR(СтартМодели),MONTH(СтартМодели)+8-1,1)</f>
        <v/>
      </c>
      <c r="T5" s="32">
        <f>DATE(YEAR(СтартМодели),MONTH(СтартМодели)+9-1,1)</f>
        <v/>
      </c>
      <c r="U5" s="32">
        <f>DATE(YEAR(СтартМодели),MONTH(СтартМодели)+10-1,1)</f>
        <v/>
      </c>
      <c r="V5" s="32">
        <f>DATE(YEAR(СтартМодели),MONTH(СтартМодели)+11-1,1)</f>
        <v/>
      </c>
      <c r="W5" s="32">
        <f>DATE(YEAR(СтартМодели),MONTH(СтартМодели)+12-1,1)</f>
        <v/>
      </c>
      <c r="X5" s="32">
        <f>DATE(YEAR(СтартМодели),MONTH(СтартМодели)+13-1,1)</f>
        <v/>
      </c>
      <c r="Y5" s="32">
        <f>DATE(YEAR(СтартМодели),MONTH(СтартМодели)+14-1,1)</f>
        <v/>
      </c>
      <c r="Z5" s="32">
        <f>DATE(YEAR(СтартМодели),MONTH(СтартМодели)+15-1,1)</f>
        <v/>
      </c>
      <c r="AA5" s="32">
        <f>DATE(YEAR(СтартМодели),MONTH(СтартМодели)+16-1,1)</f>
        <v/>
      </c>
      <c r="AB5" s="32">
        <f>DATE(YEAR(СтартМодели),MONTH(СтартМодели)+17-1,1)</f>
        <v/>
      </c>
      <c r="AC5" s="32">
        <f>DATE(YEAR(СтартМодели),MONTH(СтартМодели)+18-1,1)</f>
        <v/>
      </c>
      <c r="AD5" s="32">
        <f>DATE(YEAR(СтартМодели),MONTH(СтартМодели)+19-1,1)</f>
        <v/>
      </c>
      <c r="AE5" s="32">
        <f>DATE(YEAR(СтартМодели),MONTH(СтартМодели)+20-1,1)</f>
        <v/>
      </c>
      <c r="AF5" s="32">
        <f>DATE(YEAR(СтартМодели),MONTH(СтартМодели)+21-1,1)</f>
        <v/>
      </c>
      <c r="AG5" s="32">
        <f>DATE(YEAR(СтартМодели),MONTH(СтартМодели)+22-1,1)</f>
        <v/>
      </c>
      <c r="AH5" s="32">
        <f>DATE(YEAR(СтартМодели),MONTH(СтартМодели)+23-1,1)</f>
        <v/>
      </c>
      <c r="AI5" s="32">
        <f>DATE(YEAR(СтартМодели),MONTH(СтартМодели)+24-1,1)</f>
        <v/>
      </c>
      <c r="AJ5" s="32">
        <f>DATE(YEAR(СтартМодели),MONTH(СтартМодели)+25-1,1)</f>
        <v/>
      </c>
      <c r="AK5" s="32">
        <f>DATE(YEAR(СтартМодели),MONTH(СтартМодели)+26-1,1)</f>
        <v/>
      </c>
      <c r="AL5" s="32">
        <f>DATE(YEAR(СтартМодели),MONTH(СтартМодели)+27-1,1)</f>
        <v/>
      </c>
      <c r="AM5" s="32">
        <f>DATE(YEAR(СтартМодели),MONTH(СтартМодели)+28-1,1)</f>
        <v/>
      </c>
      <c r="AN5" s="32">
        <f>DATE(YEAR(СтартМодели),MONTH(СтартМодели)+29-1,1)</f>
        <v/>
      </c>
      <c r="AO5" s="32">
        <f>DATE(YEAR(СтартМодели),MONTH(СтартМодели)+30-1,1)</f>
        <v/>
      </c>
      <c r="AP5" s="32">
        <f>DATE(YEAR(СтартМодели),MONTH(СтартМодели)+31-1,1)</f>
        <v/>
      </c>
      <c r="AQ5" s="32">
        <f>DATE(YEAR(СтартМодели),MONTH(СтартМодели)+32-1,1)</f>
        <v/>
      </c>
      <c r="AR5" s="32">
        <f>DATE(YEAR(СтартМодели),MONTH(СтартМодели)+33-1,1)</f>
        <v/>
      </c>
      <c r="AS5" s="32">
        <f>DATE(YEAR(СтартМодели),MONTH(СтартМодели)+34-1,1)</f>
        <v/>
      </c>
      <c r="AT5" s="32">
        <f>DATE(YEAR(СтартМодели),MONTH(СтартМодели)+35-1,1)</f>
        <v/>
      </c>
      <c r="AU5" s="32">
        <f>DATE(YEAR(СтартМодели),MONTH(СтартМодели)+36-1,1)</f>
        <v/>
      </c>
      <c r="AV5" s="32">
        <f>DATE(YEAR(СтартМодели),MONTH(СтартМодели)+37-1,1)</f>
        <v/>
      </c>
      <c r="AW5" s="32">
        <f>DATE(YEAR(СтартМодели),MONTH(СтартМодели)+38-1,1)</f>
        <v/>
      </c>
      <c r="AX5" s="32">
        <f>DATE(YEAR(СтартМодели),MONTH(СтартМодели)+39-1,1)</f>
        <v/>
      </c>
      <c r="AY5" s="32">
        <f>DATE(YEAR(СтартМодели),MONTH(СтартМодели)+40-1,1)</f>
        <v/>
      </c>
      <c r="AZ5" s="32">
        <f>DATE(YEAR(СтартМодели),MONTH(СтартМодели)+41-1,1)</f>
        <v/>
      </c>
      <c r="BA5" s="32">
        <f>DATE(YEAR(СтартМодели),MONTH(СтартМодели)+42-1,1)</f>
        <v/>
      </c>
      <c r="BB5" s="32">
        <f>DATE(YEAR(СтартМодели),MONTH(СтартМодели)+43-1,1)</f>
        <v/>
      </c>
      <c r="BC5" s="32">
        <f>DATE(YEAR(СтартМодели),MONTH(СтартМодели)+44-1,1)</f>
        <v/>
      </c>
      <c r="BD5" s="32">
        <f>DATE(YEAR(СтартМодели),MONTH(СтартМодели)+45-1,1)</f>
        <v/>
      </c>
      <c r="BE5" s="32">
        <f>DATE(YEAR(СтартМодели),MONTH(СтартМодели)+46-1,1)</f>
        <v/>
      </c>
      <c r="BF5" s="32">
        <f>DATE(YEAR(СтартМодели),MONTH(СтартМодели)+47-1,1)</f>
        <v/>
      </c>
      <c r="BG5" s="32">
        <f>DATE(YEAR(СтартМодели),MONTH(СтартМодели)+48-1,1)</f>
        <v/>
      </c>
      <c r="BH5" s="32">
        <f>DATE(YEAR(СтартМодели),MONTH(СтартМодели)+49-1,1)</f>
        <v/>
      </c>
      <c r="BI5" s="32">
        <f>DATE(YEAR(СтартМодели),MONTH(СтартМодели)+50-1,1)</f>
        <v/>
      </c>
      <c r="BJ5" s="32">
        <f>DATE(YEAR(СтартМодели),MONTH(СтартМодели)+51-1,1)</f>
        <v/>
      </c>
      <c r="BK5" s="32">
        <f>DATE(YEAR(СтартМодели),MONTH(СтартМодели)+52-1,1)</f>
        <v/>
      </c>
      <c r="BL5" s="32">
        <f>DATE(YEAR(СтартМодели),MONTH(СтартМодели)+53-1,1)</f>
        <v/>
      </c>
      <c r="BM5" s="32">
        <f>DATE(YEAR(СтартМодели),MONTH(СтартМодели)+54-1,1)</f>
        <v/>
      </c>
      <c r="BN5" s="32">
        <f>DATE(YEAR(СтартМодели),MONTH(СтартМодели)+55-1,1)</f>
        <v/>
      </c>
      <c r="BO5" s="32">
        <f>DATE(YEAR(СтартМодели),MONTH(СтартМодели)+56-1,1)</f>
        <v/>
      </c>
      <c r="BP5" s="32">
        <f>DATE(YEAR(СтартМодели),MONTH(СтартМодели)+57-1,1)</f>
        <v/>
      </c>
      <c r="BQ5" s="32">
        <f>DATE(YEAR(СтартМодели),MONTH(СтартМодели)+58-1,1)</f>
        <v/>
      </c>
      <c r="BR5" s="32">
        <f>DATE(YEAR(СтартМодели),MONTH(СтартМодели)+59-1,1)</f>
        <v/>
      </c>
      <c r="BS5" s="32">
        <f>DATE(YEAR(СтартМодели),MONTH(СтартМодели)+60-1,1)</f>
        <v/>
      </c>
      <c r="BT5" s="32">
        <f>DATE(YEAR(СтартМодели),MONTH(СтартМодели)+61-1,1)</f>
        <v/>
      </c>
      <c r="BU5" s="32">
        <f>DATE(YEAR(СтартМодели),MONTH(СтартМодели)+62-1,1)</f>
        <v/>
      </c>
      <c r="BV5" s="32">
        <f>DATE(YEAR(СтартМодели),MONTH(СтартМодели)+63-1,1)</f>
        <v/>
      </c>
      <c r="BW5" s="32">
        <f>DATE(YEAR(СтартМодели),MONTH(СтартМодели)+64-1,1)</f>
        <v/>
      </c>
      <c r="BX5" s="32">
        <f>DATE(YEAR(СтартМодели),MONTH(СтартМодели)+65-1,1)</f>
        <v/>
      </c>
      <c r="BY5" s="32">
        <f>DATE(YEAR(СтартМодели),MONTH(СтартМодели)+66-1,1)</f>
        <v/>
      </c>
    </row>
    <row r="6">
      <c r="B6" s="54" t="inlineStr">
        <is>
          <t>Товарный запас</t>
        </is>
      </c>
      <c r="C6" s="55" t="n"/>
      <c r="D6" s="55" t="n"/>
      <c r="E6" s="55" t="n"/>
      <c r="F6" s="55" t="n"/>
      <c r="G6" s="55" t="n"/>
      <c r="H6" s="55" t="n"/>
      <c r="I6" s="55" t="n"/>
      <c r="J6" s="55" t="n"/>
      <c r="K6" s="55" t="n"/>
      <c r="L6" s="55" t="n"/>
      <c r="M6" s="55" t="n"/>
      <c r="N6" s="55" t="n"/>
      <c r="O6" s="55" t="n"/>
      <c r="P6" s="55" t="n"/>
      <c r="Q6" s="55" t="n"/>
      <c r="R6" s="55" t="n"/>
      <c r="S6" s="55" t="n"/>
      <c r="T6" s="55" t="n"/>
      <c r="U6" s="55" t="n"/>
      <c r="V6" s="55" t="n"/>
      <c r="W6" s="55" t="n"/>
      <c r="X6" s="55" t="n"/>
      <c r="Y6" s="55" t="n"/>
      <c r="Z6" s="55" t="n"/>
      <c r="AA6" s="55" t="n"/>
      <c r="AB6" s="55" t="n"/>
      <c r="AC6" s="55" t="n"/>
      <c r="AD6" s="55" t="n"/>
      <c r="AE6" s="55" t="n"/>
      <c r="AF6" s="55" t="n"/>
      <c r="AG6" s="55" t="n"/>
      <c r="AH6" s="55" t="n"/>
      <c r="AI6" s="55" t="n"/>
      <c r="AJ6" s="55" t="n"/>
      <c r="AK6" s="55" t="n"/>
      <c r="AL6" s="55" t="n"/>
      <c r="AM6" s="55" t="n"/>
      <c r="AN6" s="55" t="n"/>
      <c r="AO6" s="55" t="n"/>
      <c r="AP6" s="55" t="n"/>
      <c r="AQ6" s="55" t="n"/>
      <c r="AR6" s="55" t="n"/>
      <c r="AS6" s="55" t="n"/>
      <c r="AT6" s="55" t="n"/>
      <c r="AU6" s="55" t="n"/>
      <c r="AV6" s="55" t="n"/>
      <c r="AW6" s="55" t="n"/>
      <c r="AX6" s="55" t="n"/>
      <c r="AY6" s="55" t="n"/>
      <c r="AZ6" s="55" t="n"/>
      <c r="BA6" s="55" t="n"/>
      <c r="BB6" s="55" t="n"/>
      <c r="BC6" s="55" t="n"/>
      <c r="BD6" s="55" t="n"/>
      <c r="BE6" s="55" t="n"/>
      <c r="BF6" s="55" t="n"/>
      <c r="BG6" s="55" t="n"/>
      <c r="BH6" s="55" t="n"/>
      <c r="BI6" s="55" t="n"/>
      <c r="BJ6" s="55" t="n"/>
      <c r="BK6" s="55" t="n"/>
      <c r="BL6" s="55" t="n"/>
      <c r="BM6" s="55" t="n"/>
      <c r="BN6" s="55" t="n"/>
      <c r="BO6" s="55" t="n"/>
      <c r="BP6" s="55" t="n"/>
      <c r="BQ6" s="55" t="n"/>
      <c r="BR6" s="55" t="n"/>
      <c r="BS6" s="55" t="n"/>
      <c r="BT6" s="55" t="n"/>
      <c r="BU6" s="55" t="n"/>
      <c r="BV6" s="55" t="n"/>
      <c r="BW6" s="55" t="n"/>
      <c r="BX6" s="55" t="n"/>
      <c r="BY6" s="55" t="n"/>
    </row>
    <row r="7">
      <c r="B7" s="56" t="inlineStr">
        <is>
          <t>Склад на начало</t>
        </is>
      </c>
      <c r="C7" s="56" t="inlineStr">
        <is>
          <t>₽</t>
        </is>
      </c>
      <c r="D7" s="57" t="inlineStr">
        <is>
          <t>Остаток предыдущего месяца В колонках лет — значение на конец года, в «Итого» — на конец пятого года. Это остаток, а не сумма.</t>
        </is>
      </c>
      <c r="E7" s="85">
        <f>W7</f>
        <v/>
      </c>
      <c r="F7" s="85">
        <f>AI7</f>
        <v/>
      </c>
      <c r="G7" s="85">
        <f>AU7</f>
        <v/>
      </c>
      <c r="H7" s="85">
        <f>BG7</f>
        <v/>
      </c>
      <c r="I7" s="85">
        <f>BS7</f>
        <v/>
      </c>
      <c r="J7" s="86">
        <f>BS7</f>
        <v/>
      </c>
      <c r="L7" s="87">
        <f>СкладСтарт</f>
        <v/>
      </c>
      <c r="M7" s="87">
        <f>L11</f>
        <v/>
      </c>
      <c r="N7" s="87">
        <f>M11</f>
        <v/>
      </c>
      <c r="O7" s="87">
        <f>N11</f>
        <v/>
      </c>
      <c r="P7" s="87">
        <f>O11</f>
        <v/>
      </c>
      <c r="Q7" s="87">
        <f>P11</f>
        <v/>
      </c>
      <c r="R7" s="87">
        <f>Q11</f>
        <v/>
      </c>
      <c r="S7" s="87">
        <f>R11</f>
        <v/>
      </c>
      <c r="T7" s="87">
        <f>S11</f>
        <v/>
      </c>
      <c r="U7" s="87">
        <f>T11</f>
        <v/>
      </c>
      <c r="V7" s="87">
        <f>U11</f>
        <v/>
      </c>
      <c r="W7" s="87">
        <f>V11</f>
        <v/>
      </c>
      <c r="X7" s="87">
        <f>W11</f>
        <v/>
      </c>
      <c r="Y7" s="87">
        <f>X11</f>
        <v/>
      </c>
      <c r="Z7" s="87">
        <f>Y11</f>
        <v/>
      </c>
      <c r="AA7" s="87">
        <f>Z11</f>
        <v/>
      </c>
      <c r="AB7" s="87">
        <f>AA11</f>
        <v/>
      </c>
      <c r="AC7" s="87">
        <f>AB11</f>
        <v/>
      </c>
      <c r="AD7" s="87">
        <f>AC11</f>
        <v/>
      </c>
      <c r="AE7" s="87">
        <f>AD11</f>
        <v/>
      </c>
      <c r="AF7" s="87">
        <f>AE11</f>
        <v/>
      </c>
      <c r="AG7" s="87">
        <f>AF11</f>
        <v/>
      </c>
      <c r="AH7" s="87">
        <f>AG11</f>
        <v/>
      </c>
      <c r="AI7" s="87">
        <f>AH11</f>
        <v/>
      </c>
      <c r="AJ7" s="87">
        <f>AI11</f>
        <v/>
      </c>
      <c r="AK7" s="87">
        <f>AJ11</f>
        <v/>
      </c>
      <c r="AL7" s="87">
        <f>AK11</f>
        <v/>
      </c>
      <c r="AM7" s="87">
        <f>AL11</f>
        <v/>
      </c>
      <c r="AN7" s="87">
        <f>AM11</f>
        <v/>
      </c>
      <c r="AO7" s="87">
        <f>AN11</f>
        <v/>
      </c>
      <c r="AP7" s="87">
        <f>AO11</f>
        <v/>
      </c>
      <c r="AQ7" s="87">
        <f>AP11</f>
        <v/>
      </c>
      <c r="AR7" s="87">
        <f>AQ11</f>
        <v/>
      </c>
      <c r="AS7" s="87">
        <f>AR11</f>
        <v/>
      </c>
      <c r="AT7" s="87">
        <f>AS11</f>
        <v/>
      </c>
      <c r="AU7" s="87">
        <f>AT11</f>
        <v/>
      </c>
      <c r="AV7" s="87">
        <f>AU11</f>
        <v/>
      </c>
      <c r="AW7" s="87">
        <f>AV11</f>
        <v/>
      </c>
      <c r="AX7" s="87">
        <f>AW11</f>
        <v/>
      </c>
      <c r="AY7" s="87">
        <f>AX11</f>
        <v/>
      </c>
      <c r="AZ7" s="87">
        <f>AY11</f>
        <v/>
      </c>
      <c r="BA7" s="87">
        <f>AZ11</f>
        <v/>
      </c>
      <c r="BB7" s="87">
        <f>BA11</f>
        <v/>
      </c>
      <c r="BC7" s="87">
        <f>BB11</f>
        <v/>
      </c>
      <c r="BD7" s="87">
        <f>BC11</f>
        <v/>
      </c>
      <c r="BE7" s="87">
        <f>BD11</f>
        <v/>
      </c>
      <c r="BF7" s="87">
        <f>BE11</f>
        <v/>
      </c>
      <c r="BG7" s="87">
        <f>BF11</f>
        <v/>
      </c>
      <c r="BH7" s="87">
        <f>BG11</f>
        <v/>
      </c>
      <c r="BI7" s="87">
        <f>BH11</f>
        <v/>
      </c>
      <c r="BJ7" s="87">
        <f>BI11</f>
        <v/>
      </c>
      <c r="BK7" s="87">
        <f>BJ11</f>
        <v/>
      </c>
      <c r="BL7" s="87">
        <f>BK11</f>
        <v/>
      </c>
      <c r="BM7" s="87">
        <f>BL11</f>
        <v/>
      </c>
      <c r="BN7" s="87">
        <f>BM11</f>
        <v/>
      </c>
      <c r="BO7" s="87">
        <f>BN11</f>
        <v/>
      </c>
      <c r="BP7" s="87">
        <f>BO11</f>
        <v/>
      </c>
      <c r="BQ7" s="87">
        <f>BP11</f>
        <v/>
      </c>
      <c r="BR7" s="87">
        <f>BQ11</f>
        <v/>
      </c>
      <c r="BS7" s="87">
        <f>BR11</f>
        <v/>
      </c>
      <c r="BT7" s="87">
        <f>BS11</f>
        <v/>
      </c>
      <c r="BU7" s="87">
        <f>BT11</f>
        <v/>
      </c>
      <c r="BV7" s="87">
        <f>BU11</f>
        <v/>
      </c>
      <c r="BW7" s="87">
        <f>BV11</f>
        <v/>
      </c>
      <c r="BX7" s="87">
        <f>BW11</f>
        <v/>
      </c>
      <c r="BY7" s="87">
        <f>BX11</f>
        <v/>
      </c>
    </row>
    <row r="8">
      <c r="B8" s="56" t="inlineStr">
        <is>
          <t>Списание по себестоимости</t>
        </is>
      </c>
      <c r="C8" s="56" t="inlineStr">
        <is>
          <t>₽</t>
        </is>
      </c>
      <c r="D8" s="57" t="inlineStr">
        <is>
          <t>COGS проданного мерча</t>
        </is>
      </c>
      <c r="E8" s="85">
        <f>SUM(L8:W8)</f>
        <v/>
      </c>
      <c r="F8" s="85">
        <f>SUM(X8:AI8)</f>
        <v/>
      </c>
      <c r="G8" s="85">
        <f>SUM(AJ8:AU8)</f>
        <v/>
      </c>
      <c r="H8" s="85">
        <f>SUM(AV8:BG8)</f>
        <v/>
      </c>
      <c r="I8" s="85">
        <f>SUM(BH8:BS8)</f>
        <v/>
      </c>
      <c r="J8" s="86">
        <f>SUM(L8:BS8)</f>
        <v/>
      </c>
      <c r="L8" s="87">
        <f>'04_Доходы'!L133</f>
        <v/>
      </c>
      <c r="M8" s="87">
        <f>'04_Доходы'!M133</f>
        <v/>
      </c>
      <c r="N8" s="87">
        <f>'04_Доходы'!N133</f>
        <v/>
      </c>
      <c r="O8" s="87">
        <f>'04_Доходы'!O133</f>
        <v/>
      </c>
      <c r="P8" s="87">
        <f>'04_Доходы'!P133</f>
        <v/>
      </c>
      <c r="Q8" s="87">
        <f>'04_Доходы'!Q133</f>
        <v/>
      </c>
      <c r="R8" s="87">
        <f>'04_Доходы'!R133</f>
        <v/>
      </c>
      <c r="S8" s="87">
        <f>'04_Доходы'!S133</f>
        <v/>
      </c>
      <c r="T8" s="87">
        <f>'04_Доходы'!T133</f>
        <v/>
      </c>
      <c r="U8" s="87">
        <f>'04_Доходы'!U133</f>
        <v/>
      </c>
      <c r="V8" s="87">
        <f>'04_Доходы'!V133</f>
        <v/>
      </c>
      <c r="W8" s="87">
        <f>'04_Доходы'!W133</f>
        <v/>
      </c>
      <c r="X8" s="87">
        <f>'04_Доходы'!X133</f>
        <v/>
      </c>
      <c r="Y8" s="87">
        <f>'04_Доходы'!Y133</f>
        <v/>
      </c>
      <c r="Z8" s="87">
        <f>'04_Доходы'!Z133</f>
        <v/>
      </c>
      <c r="AA8" s="87">
        <f>'04_Доходы'!AA133</f>
        <v/>
      </c>
      <c r="AB8" s="87">
        <f>'04_Доходы'!AB133</f>
        <v/>
      </c>
      <c r="AC8" s="87">
        <f>'04_Доходы'!AC133</f>
        <v/>
      </c>
      <c r="AD8" s="87">
        <f>'04_Доходы'!AD133</f>
        <v/>
      </c>
      <c r="AE8" s="87">
        <f>'04_Доходы'!AE133</f>
        <v/>
      </c>
      <c r="AF8" s="87">
        <f>'04_Доходы'!AF133</f>
        <v/>
      </c>
      <c r="AG8" s="87">
        <f>'04_Доходы'!AG133</f>
        <v/>
      </c>
      <c r="AH8" s="87">
        <f>'04_Доходы'!AH133</f>
        <v/>
      </c>
      <c r="AI8" s="87">
        <f>'04_Доходы'!AI133</f>
        <v/>
      </c>
      <c r="AJ8" s="87">
        <f>'04_Доходы'!AJ133</f>
        <v/>
      </c>
      <c r="AK8" s="87">
        <f>'04_Доходы'!AK133</f>
        <v/>
      </c>
      <c r="AL8" s="87">
        <f>'04_Доходы'!AL133</f>
        <v/>
      </c>
      <c r="AM8" s="87">
        <f>'04_Доходы'!AM133</f>
        <v/>
      </c>
      <c r="AN8" s="87">
        <f>'04_Доходы'!AN133</f>
        <v/>
      </c>
      <c r="AO8" s="87">
        <f>'04_Доходы'!AO133</f>
        <v/>
      </c>
      <c r="AP8" s="87">
        <f>'04_Доходы'!AP133</f>
        <v/>
      </c>
      <c r="AQ8" s="87">
        <f>'04_Доходы'!AQ133</f>
        <v/>
      </c>
      <c r="AR8" s="87">
        <f>'04_Доходы'!AR133</f>
        <v/>
      </c>
      <c r="AS8" s="87">
        <f>'04_Доходы'!AS133</f>
        <v/>
      </c>
      <c r="AT8" s="87">
        <f>'04_Доходы'!AT133</f>
        <v/>
      </c>
      <c r="AU8" s="87">
        <f>'04_Доходы'!AU133</f>
        <v/>
      </c>
      <c r="AV8" s="87">
        <f>'04_Доходы'!AV133</f>
        <v/>
      </c>
      <c r="AW8" s="87">
        <f>'04_Доходы'!AW133</f>
        <v/>
      </c>
      <c r="AX8" s="87">
        <f>'04_Доходы'!AX133</f>
        <v/>
      </c>
      <c r="AY8" s="87">
        <f>'04_Доходы'!AY133</f>
        <v/>
      </c>
      <c r="AZ8" s="87">
        <f>'04_Доходы'!AZ133</f>
        <v/>
      </c>
      <c r="BA8" s="87">
        <f>'04_Доходы'!BA133</f>
        <v/>
      </c>
      <c r="BB8" s="87">
        <f>'04_Доходы'!BB133</f>
        <v/>
      </c>
      <c r="BC8" s="87">
        <f>'04_Доходы'!BC133</f>
        <v/>
      </c>
      <c r="BD8" s="87">
        <f>'04_Доходы'!BD133</f>
        <v/>
      </c>
      <c r="BE8" s="87">
        <f>'04_Доходы'!BE133</f>
        <v/>
      </c>
      <c r="BF8" s="87">
        <f>'04_Доходы'!BF133</f>
        <v/>
      </c>
      <c r="BG8" s="87">
        <f>'04_Доходы'!BG133</f>
        <v/>
      </c>
      <c r="BH8" s="87">
        <f>'04_Доходы'!BH133</f>
        <v/>
      </c>
      <c r="BI8" s="87">
        <f>'04_Доходы'!BI133</f>
        <v/>
      </c>
      <c r="BJ8" s="87">
        <f>'04_Доходы'!BJ133</f>
        <v/>
      </c>
      <c r="BK8" s="87">
        <f>'04_Доходы'!BK133</f>
        <v/>
      </c>
      <c r="BL8" s="87">
        <f>'04_Доходы'!BL133</f>
        <v/>
      </c>
      <c r="BM8" s="87">
        <f>'04_Доходы'!BM133</f>
        <v/>
      </c>
      <c r="BN8" s="87">
        <f>'04_Доходы'!BN133</f>
        <v/>
      </c>
      <c r="BO8" s="87">
        <f>'04_Доходы'!BO133</f>
        <v/>
      </c>
      <c r="BP8" s="87">
        <f>'04_Доходы'!BP133</f>
        <v/>
      </c>
      <c r="BQ8" s="87">
        <f>'04_Доходы'!BQ133</f>
        <v/>
      </c>
      <c r="BR8" s="87">
        <f>'04_Доходы'!BR133</f>
        <v/>
      </c>
      <c r="BS8" s="87">
        <f>'04_Доходы'!BS133</f>
        <v/>
      </c>
      <c r="BT8" s="87">
        <f>'04_Доходы'!BT133</f>
        <v/>
      </c>
      <c r="BU8" s="87">
        <f>'04_Доходы'!BU133</f>
        <v/>
      </c>
      <c r="BV8" s="87">
        <f>'04_Доходы'!BV133</f>
        <v/>
      </c>
      <c r="BW8" s="87">
        <f>'04_Доходы'!BW133</f>
        <v/>
      </c>
      <c r="BX8" s="87">
        <f>'04_Доходы'!BX133</f>
        <v/>
      </c>
      <c r="BY8" s="87">
        <f>'04_Доходы'!BY133</f>
        <v/>
      </c>
    </row>
    <row r="9">
      <c r="B9" s="56" t="inlineStr">
        <is>
          <t>Целевой запас будущих продаж</t>
        </is>
      </c>
      <c r="C9" s="56" t="inlineStr">
        <is>
          <t>₽</t>
        </is>
      </c>
      <c r="D9" s="57" t="inlineStr">
        <is>
          <t>Себестоимость продаж на ближайшие месяцы вперёд В колонках лет — значение на конец года, в «Итого» — на конец пятого года. Это остаток, а не сумма.</t>
        </is>
      </c>
      <c r="E9" s="85">
        <f>W9</f>
        <v/>
      </c>
      <c r="F9" s="85">
        <f>AI9</f>
        <v/>
      </c>
      <c r="G9" s="85">
        <f>AU9</f>
        <v/>
      </c>
      <c r="H9" s="85">
        <f>BG9</f>
        <v/>
      </c>
      <c r="I9" s="85">
        <f>BS9</f>
        <v/>
      </c>
      <c r="J9" s="86">
        <f>BS9</f>
        <v/>
      </c>
      <c r="L9" s="87">
        <f>SUM(IF(ЗапасМес&gt;=1,'04_Доходы'!M133,0),IF(ЗапасМес&gt;=2,'04_Доходы'!N133,0),IF(ЗапасМес&gt;=3,'04_Доходы'!O133,0),IF(ЗапасМес&gt;=4,'04_Доходы'!P133,0),IF(ЗапасМес&gt;=5,'04_Доходы'!Q133,0),IF(ЗапасМес&gt;=6,'04_Доходы'!R133,0))</f>
        <v/>
      </c>
      <c r="M9" s="87">
        <f>SUM(IF(ЗапасМес&gt;=1,'04_Доходы'!N133,0),IF(ЗапасМес&gt;=2,'04_Доходы'!O133,0),IF(ЗапасМес&gt;=3,'04_Доходы'!P133,0),IF(ЗапасМес&gt;=4,'04_Доходы'!Q133,0),IF(ЗапасМес&gt;=5,'04_Доходы'!R133,0),IF(ЗапасМес&gt;=6,'04_Доходы'!S133,0))</f>
        <v/>
      </c>
      <c r="N9" s="87">
        <f>SUM(IF(ЗапасМес&gt;=1,'04_Доходы'!O133,0),IF(ЗапасМес&gt;=2,'04_Доходы'!P133,0),IF(ЗапасМес&gt;=3,'04_Доходы'!Q133,0),IF(ЗапасМес&gt;=4,'04_Доходы'!R133,0),IF(ЗапасМес&gt;=5,'04_Доходы'!S133,0),IF(ЗапасМес&gt;=6,'04_Доходы'!T133,0))</f>
        <v/>
      </c>
      <c r="O9" s="87">
        <f>SUM(IF(ЗапасМес&gt;=1,'04_Доходы'!P133,0),IF(ЗапасМес&gt;=2,'04_Доходы'!Q133,0),IF(ЗапасМес&gt;=3,'04_Доходы'!R133,0),IF(ЗапасМес&gt;=4,'04_Доходы'!S133,0),IF(ЗапасМес&gt;=5,'04_Доходы'!T133,0),IF(ЗапасМес&gt;=6,'04_Доходы'!U133,0))</f>
        <v/>
      </c>
      <c r="P9" s="87">
        <f>SUM(IF(ЗапасМес&gt;=1,'04_Доходы'!Q133,0),IF(ЗапасМес&gt;=2,'04_Доходы'!R133,0),IF(ЗапасМес&gt;=3,'04_Доходы'!S133,0),IF(ЗапасМес&gt;=4,'04_Доходы'!T133,0),IF(ЗапасМес&gt;=5,'04_Доходы'!U133,0),IF(ЗапасМес&gt;=6,'04_Доходы'!V133,0))</f>
        <v/>
      </c>
      <c r="Q9" s="87">
        <f>SUM(IF(ЗапасМес&gt;=1,'04_Доходы'!R133,0),IF(ЗапасМес&gt;=2,'04_Доходы'!S133,0),IF(ЗапасМес&gt;=3,'04_Доходы'!T133,0),IF(ЗапасМес&gt;=4,'04_Доходы'!U133,0),IF(ЗапасМес&gt;=5,'04_Доходы'!V133,0),IF(ЗапасМес&gt;=6,'04_Доходы'!W133,0))</f>
        <v/>
      </c>
      <c r="R9" s="87">
        <f>SUM(IF(ЗапасМес&gt;=1,'04_Доходы'!S133,0),IF(ЗапасМес&gt;=2,'04_Доходы'!T133,0),IF(ЗапасМес&gt;=3,'04_Доходы'!U133,0),IF(ЗапасМес&gt;=4,'04_Доходы'!V133,0),IF(ЗапасМес&gt;=5,'04_Доходы'!W133,0),IF(ЗапасМес&gt;=6,'04_Доходы'!X133,0))</f>
        <v/>
      </c>
      <c r="S9" s="87">
        <f>SUM(IF(ЗапасМес&gt;=1,'04_Доходы'!T133,0),IF(ЗапасМес&gt;=2,'04_Доходы'!U133,0),IF(ЗапасМес&gt;=3,'04_Доходы'!V133,0),IF(ЗапасМес&gt;=4,'04_Доходы'!W133,0),IF(ЗапасМес&gt;=5,'04_Доходы'!X133,0),IF(ЗапасМес&gt;=6,'04_Доходы'!Y133,0))</f>
        <v/>
      </c>
      <c r="T9" s="87">
        <f>SUM(IF(ЗапасМес&gt;=1,'04_Доходы'!U133,0),IF(ЗапасМес&gt;=2,'04_Доходы'!V133,0),IF(ЗапасМес&gt;=3,'04_Доходы'!W133,0),IF(ЗапасМес&gt;=4,'04_Доходы'!X133,0),IF(ЗапасМес&gt;=5,'04_Доходы'!Y133,0),IF(ЗапасМес&gt;=6,'04_Доходы'!Z133,0))</f>
        <v/>
      </c>
      <c r="U9" s="87">
        <f>SUM(IF(ЗапасМес&gt;=1,'04_Доходы'!V133,0),IF(ЗапасМес&gt;=2,'04_Доходы'!W133,0),IF(ЗапасМес&gt;=3,'04_Доходы'!X133,0),IF(ЗапасМес&gt;=4,'04_Доходы'!Y133,0),IF(ЗапасМес&gt;=5,'04_Доходы'!Z133,0),IF(ЗапасМес&gt;=6,'04_Доходы'!AA133,0))</f>
        <v/>
      </c>
      <c r="V9" s="87">
        <f>SUM(IF(ЗапасМес&gt;=1,'04_Доходы'!W133,0),IF(ЗапасМес&gt;=2,'04_Доходы'!X133,0),IF(ЗапасМес&gt;=3,'04_Доходы'!Y133,0),IF(ЗапасМес&gt;=4,'04_Доходы'!Z133,0),IF(ЗапасМес&gt;=5,'04_Доходы'!AA133,0),IF(ЗапасМес&gt;=6,'04_Доходы'!AB133,0))</f>
        <v/>
      </c>
      <c r="W9" s="87">
        <f>SUM(IF(ЗапасМес&gt;=1,'04_Доходы'!X133,0),IF(ЗапасМес&gt;=2,'04_Доходы'!Y133,0),IF(ЗапасМес&gt;=3,'04_Доходы'!Z133,0),IF(ЗапасМес&gt;=4,'04_Доходы'!AA133,0),IF(ЗапасМес&gt;=5,'04_Доходы'!AB133,0),IF(ЗапасМес&gt;=6,'04_Доходы'!AC133,0))</f>
        <v/>
      </c>
      <c r="X9" s="87">
        <f>SUM(IF(ЗапасМес&gt;=1,'04_Доходы'!Y133,0),IF(ЗапасМес&gt;=2,'04_Доходы'!Z133,0),IF(ЗапасМес&gt;=3,'04_Доходы'!AA133,0),IF(ЗапасМес&gt;=4,'04_Доходы'!AB133,0),IF(ЗапасМес&gt;=5,'04_Доходы'!AC133,0),IF(ЗапасМес&gt;=6,'04_Доходы'!AD133,0))</f>
        <v/>
      </c>
      <c r="Y9" s="87">
        <f>SUM(IF(ЗапасМес&gt;=1,'04_Доходы'!Z133,0),IF(ЗапасМес&gt;=2,'04_Доходы'!AA133,0),IF(ЗапасМес&gt;=3,'04_Доходы'!AB133,0),IF(ЗапасМес&gt;=4,'04_Доходы'!AC133,0),IF(ЗапасМес&gt;=5,'04_Доходы'!AD133,0),IF(ЗапасМес&gt;=6,'04_Доходы'!AE133,0))</f>
        <v/>
      </c>
      <c r="Z9" s="87">
        <f>SUM(IF(ЗапасМес&gt;=1,'04_Доходы'!AA133,0),IF(ЗапасМес&gt;=2,'04_Доходы'!AB133,0),IF(ЗапасМес&gt;=3,'04_Доходы'!AC133,0),IF(ЗапасМес&gt;=4,'04_Доходы'!AD133,0),IF(ЗапасМес&gt;=5,'04_Доходы'!AE133,0),IF(ЗапасМес&gt;=6,'04_Доходы'!AF133,0))</f>
        <v/>
      </c>
      <c r="AA9" s="87">
        <f>SUM(IF(ЗапасМес&gt;=1,'04_Доходы'!AB133,0),IF(ЗапасМес&gt;=2,'04_Доходы'!AC133,0),IF(ЗапасМес&gt;=3,'04_Доходы'!AD133,0),IF(ЗапасМес&gt;=4,'04_Доходы'!AE133,0),IF(ЗапасМес&gt;=5,'04_Доходы'!AF133,0),IF(ЗапасМес&gt;=6,'04_Доходы'!AG133,0))</f>
        <v/>
      </c>
      <c r="AB9" s="87">
        <f>SUM(IF(ЗапасМес&gt;=1,'04_Доходы'!AC133,0),IF(ЗапасМес&gt;=2,'04_Доходы'!AD133,0),IF(ЗапасМес&gt;=3,'04_Доходы'!AE133,0),IF(ЗапасМес&gt;=4,'04_Доходы'!AF133,0),IF(ЗапасМес&gt;=5,'04_Доходы'!AG133,0),IF(ЗапасМес&gt;=6,'04_Доходы'!AH133,0))</f>
        <v/>
      </c>
      <c r="AC9" s="87">
        <f>SUM(IF(ЗапасМес&gt;=1,'04_Доходы'!AD133,0),IF(ЗапасМес&gt;=2,'04_Доходы'!AE133,0),IF(ЗапасМес&gt;=3,'04_Доходы'!AF133,0),IF(ЗапасМес&gt;=4,'04_Доходы'!AG133,0),IF(ЗапасМес&gt;=5,'04_Доходы'!AH133,0),IF(ЗапасМес&gt;=6,'04_Доходы'!AI133,0))</f>
        <v/>
      </c>
      <c r="AD9" s="87">
        <f>SUM(IF(ЗапасМес&gt;=1,'04_Доходы'!AE133,0),IF(ЗапасМес&gt;=2,'04_Доходы'!AF133,0),IF(ЗапасМес&gt;=3,'04_Доходы'!AG133,0),IF(ЗапасМес&gt;=4,'04_Доходы'!AH133,0),IF(ЗапасМес&gt;=5,'04_Доходы'!AI133,0),IF(ЗапасМес&gt;=6,'04_Доходы'!AJ133,0))</f>
        <v/>
      </c>
      <c r="AE9" s="87">
        <f>SUM(IF(ЗапасМес&gt;=1,'04_Доходы'!AF133,0),IF(ЗапасМес&gt;=2,'04_Доходы'!AG133,0),IF(ЗапасМес&gt;=3,'04_Доходы'!AH133,0),IF(ЗапасМес&gt;=4,'04_Доходы'!AI133,0),IF(ЗапасМес&gt;=5,'04_Доходы'!AJ133,0),IF(ЗапасМес&gt;=6,'04_Доходы'!AK133,0))</f>
        <v/>
      </c>
      <c r="AF9" s="87">
        <f>SUM(IF(ЗапасМес&gt;=1,'04_Доходы'!AG133,0),IF(ЗапасМес&gt;=2,'04_Доходы'!AH133,0),IF(ЗапасМес&gt;=3,'04_Доходы'!AI133,0),IF(ЗапасМес&gt;=4,'04_Доходы'!AJ133,0),IF(ЗапасМес&gt;=5,'04_Доходы'!AK133,0),IF(ЗапасМес&gt;=6,'04_Доходы'!AL133,0))</f>
        <v/>
      </c>
      <c r="AG9" s="87">
        <f>SUM(IF(ЗапасМес&gt;=1,'04_Доходы'!AH133,0),IF(ЗапасМес&gt;=2,'04_Доходы'!AI133,0),IF(ЗапасМес&gt;=3,'04_Доходы'!AJ133,0),IF(ЗапасМес&gt;=4,'04_Доходы'!AK133,0),IF(ЗапасМес&gt;=5,'04_Доходы'!AL133,0),IF(ЗапасМес&gt;=6,'04_Доходы'!AM133,0))</f>
        <v/>
      </c>
      <c r="AH9" s="87">
        <f>SUM(IF(ЗапасМес&gt;=1,'04_Доходы'!AI133,0),IF(ЗапасМес&gt;=2,'04_Доходы'!AJ133,0),IF(ЗапасМес&gt;=3,'04_Доходы'!AK133,0),IF(ЗапасМес&gt;=4,'04_Доходы'!AL133,0),IF(ЗапасМес&gt;=5,'04_Доходы'!AM133,0),IF(ЗапасМес&gt;=6,'04_Доходы'!AN133,0))</f>
        <v/>
      </c>
      <c r="AI9" s="87">
        <f>SUM(IF(ЗапасМес&gt;=1,'04_Доходы'!AJ133,0),IF(ЗапасМес&gt;=2,'04_Доходы'!AK133,0),IF(ЗапасМес&gt;=3,'04_Доходы'!AL133,0),IF(ЗапасМес&gt;=4,'04_Доходы'!AM133,0),IF(ЗапасМес&gt;=5,'04_Доходы'!AN133,0),IF(ЗапасМес&gt;=6,'04_Доходы'!AO133,0))</f>
        <v/>
      </c>
      <c r="AJ9" s="87">
        <f>SUM(IF(ЗапасМес&gt;=1,'04_Доходы'!AK133,0),IF(ЗапасМес&gt;=2,'04_Доходы'!AL133,0),IF(ЗапасМес&gt;=3,'04_Доходы'!AM133,0),IF(ЗапасМес&gt;=4,'04_Доходы'!AN133,0),IF(ЗапасМес&gt;=5,'04_Доходы'!AO133,0),IF(ЗапасМес&gt;=6,'04_Доходы'!AP133,0))</f>
        <v/>
      </c>
      <c r="AK9" s="87">
        <f>SUM(IF(ЗапасМес&gt;=1,'04_Доходы'!AL133,0),IF(ЗапасМес&gt;=2,'04_Доходы'!AM133,0),IF(ЗапасМес&gt;=3,'04_Доходы'!AN133,0),IF(ЗапасМес&gt;=4,'04_Доходы'!AO133,0),IF(ЗапасМес&gt;=5,'04_Доходы'!AP133,0),IF(ЗапасМес&gt;=6,'04_Доходы'!AQ133,0))</f>
        <v/>
      </c>
      <c r="AL9" s="87">
        <f>SUM(IF(ЗапасМес&gt;=1,'04_Доходы'!AM133,0),IF(ЗапасМес&gt;=2,'04_Доходы'!AN133,0),IF(ЗапасМес&gt;=3,'04_Доходы'!AO133,0),IF(ЗапасМес&gt;=4,'04_Доходы'!AP133,0),IF(ЗапасМес&gt;=5,'04_Доходы'!AQ133,0),IF(ЗапасМес&gt;=6,'04_Доходы'!AR133,0))</f>
        <v/>
      </c>
      <c r="AM9" s="87">
        <f>SUM(IF(ЗапасМес&gt;=1,'04_Доходы'!AN133,0),IF(ЗапасМес&gt;=2,'04_Доходы'!AO133,0),IF(ЗапасМес&gt;=3,'04_Доходы'!AP133,0),IF(ЗапасМес&gt;=4,'04_Доходы'!AQ133,0),IF(ЗапасМес&gt;=5,'04_Доходы'!AR133,0),IF(ЗапасМес&gt;=6,'04_Доходы'!AS133,0))</f>
        <v/>
      </c>
      <c r="AN9" s="87">
        <f>SUM(IF(ЗапасМес&gt;=1,'04_Доходы'!AO133,0),IF(ЗапасМес&gt;=2,'04_Доходы'!AP133,0),IF(ЗапасМес&gt;=3,'04_Доходы'!AQ133,0),IF(ЗапасМес&gt;=4,'04_Доходы'!AR133,0),IF(ЗапасМес&gt;=5,'04_Доходы'!AS133,0),IF(ЗапасМес&gt;=6,'04_Доходы'!AT133,0))</f>
        <v/>
      </c>
      <c r="AO9" s="87">
        <f>SUM(IF(ЗапасМес&gt;=1,'04_Доходы'!AP133,0),IF(ЗапасМес&gt;=2,'04_Доходы'!AQ133,0),IF(ЗапасМес&gt;=3,'04_Доходы'!AR133,0),IF(ЗапасМес&gt;=4,'04_Доходы'!AS133,0),IF(ЗапасМес&gt;=5,'04_Доходы'!AT133,0),IF(ЗапасМес&gt;=6,'04_Доходы'!AU133,0))</f>
        <v/>
      </c>
      <c r="AP9" s="87">
        <f>SUM(IF(ЗапасМес&gt;=1,'04_Доходы'!AQ133,0),IF(ЗапасМес&gt;=2,'04_Доходы'!AR133,0),IF(ЗапасМес&gt;=3,'04_Доходы'!AS133,0),IF(ЗапасМес&gt;=4,'04_Доходы'!AT133,0),IF(ЗапасМес&gt;=5,'04_Доходы'!AU133,0),IF(ЗапасМес&gt;=6,'04_Доходы'!AV133,0))</f>
        <v/>
      </c>
      <c r="AQ9" s="87">
        <f>SUM(IF(ЗапасМес&gt;=1,'04_Доходы'!AR133,0),IF(ЗапасМес&gt;=2,'04_Доходы'!AS133,0),IF(ЗапасМес&gt;=3,'04_Доходы'!AT133,0),IF(ЗапасМес&gt;=4,'04_Доходы'!AU133,0),IF(ЗапасМес&gt;=5,'04_Доходы'!AV133,0),IF(ЗапасМес&gt;=6,'04_Доходы'!AW133,0))</f>
        <v/>
      </c>
      <c r="AR9" s="87">
        <f>SUM(IF(ЗапасМес&gt;=1,'04_Доходы'!AS133,0),IF(ЗапасМес&gt;=2,'04_Доходы'!AT133,0),IF(ЗапасМес&gt;=3,'04_Доходы'!AU133,0),IF(ЗапасМес&gt;=4,'04_Доходы'!AV133,0),IF(ЗапасМес&gt;=5,'04_Доходы'!AW133,0),IF(ЗапасМес&gt;=6,'04_Доходы'!AX133,0))</f>
        <v/>
      </c>
      <c r="AS9" s="87">
        <f>SUM(IF(ЗапасМес&gt;=1,'04_Доходы'!AT133,0),IF(ЗапасМес&gt;=2,'04_Доходы'!AU133,0),IF(ЗапасМес&gt;=3,'04_Доходы'!AV133,0),IF(ЗапасМес&gt;=4,'04_Доходы'!AW133,0),IF(ЗапасМес&gt;=5,'04_Доходы'!AX133,0),IF(ЗапасМес&gt;=6,'04_Доходы'!AY133,0))</f>
        <v/>
      </c>
      <c r="AT9" s="87">
        <f>SUM(IF(ЗапасМес&gt;=1,'04_Доходы'!AU133,0),IF(ЗапасМес&gt;=2,'04_Доходы'!AV133,0),IF(ЗапасМес&gt;=3,'04_Доходы'!AW133,0),IF(ЗапасМес&gt;=4,'04_Доходы'!AX133,0),IF(ЗапасМес&gt;=5,'04_Доходы'!AY133,0),IF(ЗапасМес&gt;=6,'04_Доходы'!AZ133,0))</f>
        <v/>
      </c>
      <c r="AU9" s="87">
        <f>SUM(IF(ЗапасМес&gt;=1,'04_Доходы'!AV133,0),IF(ЗапасМес&gt;=2,'04_Доходы'!AW133,0),IF(ЗапасМес&gt;=3,'04_Доходы'!AX133,0),IF(ЗапасМес&gt;=4,'04_Доходы'!AY133,0),IF(ЗапасМес&gt;=5,'04_Доходы'!AZ133,0),IF(ЗапасМес&gt;=6,'04_Доходы'!BA133,0))</f>
        <v/>
      </c>
      <c r="AV9" s="87">
        <f>SUM(IF(ЗапасМес&gt;=1,'04_Доходы'!AW133,0),IF(ЗапасМес&gt;=2,'04_Доходы'!AX133,0),IF(ЗапасМес&gt;=3,'04_Доходы'!AY133,0),IF(ЗапасМес&gt;=4,'04_Доходы'!AZ133,0),IF(ЗапасМес&gt;=5,'04_Доходы'!BA133,0),IF(ЗапасМес&gt;=6,'04_Доходы'!BB133,0))</f>
        <v/>
      </c>
      <c r="AW9" s="87">
        <f>SUM(IF(ЗапасМес&gt;=1,'04_Доходы'!AX133,0),IF(ЗапасМес&gt;=2,'04_Доходы'!AY133,0),IF(ЗапасМес&gt;=3,'04_Доходы'!AZ133,0),IF(ЗапасМес&gt;=4,'04_Доходы'!BA133,0),IF(ЗапасМес&gt;=5,'04_Доходы'!BB133,0),IF(ЗапасМес&gt;=6,'04_Доходы'!BC133,0))</f>
        <v/>
      </c>
      <c r="AX9" s="87">
        <f>SUM(IF(ЗапасМес&gt;=1,'04_Доходы'!AY133,0),IF(ЗапасМес&gt;=2,'04_Доходы'!AZ133,0),IF(ЗапасМес&gt;=3,'04_Доходы'!BA133,0),IF(ЗапасМес&gt;=4,'04_Доходы'!BB133,0),IF(ЗапасМес&gt;=5,'04_Доходы'!BC133,0),IF(ЗапасМес&gt;=6,'04_Доходы'!BD133,0))</f>
        <v/>
      </c>
      <c r="AY9" s="87">
        <f>SUM(IF(ЗапасМес&gt;=1,'04_Доходы'!AZ133,0),IF(ЗапасМес&gt;=2,'04_Доходы'!BA133,0),IF(ЗапасМес&gt;=3,'04_Доходы'!BB133,0),IF(ЗапасМес&gt;=4,'04_Доходы'!BC133,0),IF(ЗапасМес&gt;=5,'04_Доходы'!BD133,0),IF(ЗапасМес&gt;=6,'04_Доходы'!BE133,0))</f>
        <v/>
      </c>
      <c r="AZ9" s="87">
        <f>SUM(IF(ЗапасМес&gt;=1,'04_Доходы'!BA133,0),IF(ЗапасМес&gt;=2,'04_Доходы'!BB133,0),IF(ЗапасМес&gt;=3,'04_Доходы'!BC133,0),IF(ЗапасМес&gt;=4,'04_Доходы'!BD133,0),IF(ЗапасМес&gt;=5,'04_Доходы'!BE133,0),IF(ЗапасМес&gt;=6,'04_Доходы'!BF133,0))</f>
        <v/>
      </c>
      <c r="BA9" s="87">
        <f>SUM(IF(ЗапасМес&gt;=1,'04_Доходы'!BB133,0),IF(ЗапасМес&gt;=2,'04_Доходы'!BC133,0),IF(ЗапасМес&gt;=3,'04_Доходы'!BD133,0),IF(ЗапасМес&gt;=4,'04_Доходы'!BE133,0),IF(ЗапасМес&gt;=5,'04_Доходы'!BF133,0),IF(ЗапасМес&gt;=6,'04_Доходы'!BG133,0))</f>
        <v/>
      </c>
      <c r="BB9" s="87">
        <f>SUM(IF(ЗапасМес&gt;=1,'04_Доходы'!BC133,0),IF(ЗапасМес&gt;=2,'04_Доходы'!BD133,0),IF(ЗапасМес&gt;=3,'04_Доходы'!BE133,0),IF(ЗапасМес&gt;=4,'04_Доходы'!BF133,0),IF(ЗапасМес&gt;=5,'04_Доходы'!BG133,0),IF(ЗапасМес&gt;=6,'04_Доходы'!BH133,0))</f>
        <v/>
      </c>
      <c r="BC9" s="87">
        <f>SUM(IF(ЗапасМес&gt;=1,'04_Доходы'!BD133,0),IF(ЗапасМес&gt;=2,'04_Доходы'!BE133,0),IF(ЗапасМес&gt;=3,'04_Доходы'!BF133,0),IF(ЗапасМес&gt;=4,'04_Доходы'!BG133,0),IF(ЗапасМес&gt;=5,'04_Доходы'!BH133,0),IF(ЗапасМес&gt;=6,'04_Доходы'!BI133,0))</f>
        <v/>
      </c>
      <c r="BD9" s="87">
        <f>SUM(IF(ЗапасМес&gt;=1,'04_Доходы'!BE133,0),IF(ЗапасМес&gt;=2,'04_Доходы'!BF133,0),IF(ЗапасМес&gt;=3,'04_Доходы'!BG133,0),IF(ЗапасМес&gt;=4,'04_Доходы'!BH133,0),IF(ЗапасМес&gt;=5,'04_Доходы'!BI133,0),IF(ЗапасМес&gt;=6,'04_Доходы'!BJ133,0))</f>
        <v/>
      </c>
      <c r="BE9" s="87">
        <f>SUM(IF(ЗапасМес&gt;=1,'04_Доходы'!BF133,0),IF(ЗапасМес&gt;=2,'04_Доходы'!BG133,0),IF(ЗапасМес&gt;=3,'04_Доходы'!BH133,0),IF(ЗапасМес&gt;=4,'04_Доходы'!BI133,0),IF(ЗапасМес&gt;=5,'04_Доходы'!BJ133,0),IF(ЗапасМес&gt;=6,'04_Доходы'!BK133,0))</f>
        <v/>
      </c>
      <c r="BF9" s="87">
        <f>SUM(IF(ЗапасМес&gt;=1,'04_Доходы'!BG133,0),IF(ЗапасМес&gt;=2,'04_Доходы'!BH133,0),IF(ЗапасМес&gt;=3,'04_Доходы'!BI133,0),IF(ЗапасМес&gt;=4,'04_Доходы'!BJ133,0),IF(ЗапасМес&gt;=5,'04_Доходы'!BK133,0),IF(ЗапасМес&gt;=6,'04_Доходы'!BL133,0))</f>
        <v/>
      </c>
      <c r="BG9" s="87">
        <f>SUM(IF(ЗапасМес&gt;=1,'04_Доходы'!BH133,0),IF(ЗапасМес&gt;=2,'04_Доходы'!BI133,0),IF(ЗапасМес&gt;=3,'04_Доходы'!BJ133,0),IF(ЗапасМес&gt;=4,'04_Доходы'!BK133,0),IF(ЗапасМес&gt;=5,'04_Доходы'!BL133,0),IF(ЗапасМес&gt;=6,'04_Доходы'!BM133,0))</f>
        <v/>
      </c>
      <c r="BH9" s="87">
        <f>SUM(IF(ЗапасМес&gt;=1,'04_Доходы'!BI133,0),IF(ЗапасМес&gt;=2,'04_Доходы'!BJ133,0),IF(ЗапасМес&gt;=3,'04_Доходы'!BK133,0),IF(ЗапасМес&gt;=4,'04_Доходы'!BL133,0),IF(ЗапасМес&gt;=5,'04_Доходы'!BM133,0),IF(ЗапасМес&gt;=6,'04_Доходы'!BN133,0))</f>
        <v/>
      </c>
      <c r="BI9" s="87">
        <f>SUM(IF(ЗапасМес&gt;=1,'04_Доходы'!BJ133,0),IF(ЗапасМес&gt;=2,'04_Доходы'!BK133,0),IF(ЗапасМес&gt;=3,'04_Доходы'!BL133,0),IF(ЗапасМес&gt;=4,'04_Доходы'!BM133,0),IF(ЗапасМес&gt;=5,'04_Доходы'!BN133,0),IF(ЗапасМес&gt;=6,'04_Доходы'!BO133,0))</f>
        <v/>
      </c>
      <c r="BJ9" s="87">
        <f>SUM(IF(ЗапасМес&gt;=1,'04_Доходы'!BK133,0),IF(ЗапасМес&gt;=2,'04_Доходы'!BL133,0),IF(ЗапасМес&gt;=3,'04_Доходы'!BM133,0),IF(ЗапасМес&gt;=4,'04_Доходы'!BN133,0),IF(ЗапасМес&gt;=5,'04_Доходы'!BO133,0),IF(ЗапасМес&gt;=6,'04_Доходы'!BP133,0))</f>
        <v/>
      </c>
      <c r="BK9" s="87">
        <f>SUM(IF(ЗапасМес&gt;=1,'04_Доходы'!BL133,0),IF(ЗапасМес&gt;=2,'04_Доходы'!BM133,0),IF(ЗапасМес&gt;=3,'04_Доходы'!BN133,0),IF(ЗапасМес&gt;=4,'04_Доходы'!BO133,0),IF(ЗапасМес&gt;=5,'04_Доходы'!BP133,0),IF(ЗапасМес&gt;=6,'04_Доходы'!BQ133,0))</f>
        <v/>
      </c>
      <c r="BL9" s="87">
        <f>SUM(IF(ЗапасМес&gt;=1,'04_Доходы'!BM133,0),IF(ЗапасМес&gt;=2,'04_Доходы'!BN133,0),IF(ЗапасМес&gt;=3,'04_Доходы'!BO133,0),IF(ЗапасМес&gt;=4,'04_Доходы'!BP133,0),IF(ЗапасМес&gt;=5,'04_Доходы'!BQ133,0),IF(ЗапасМес&gt;=6,'04_Доходы'!BR133,0))</f>
        <v/>
      </c>
      <c r="BM9" s="87">
        <f>SUM(IF(ЗапасМес&gt;=1,'04_Доходы'!BN133,0),IF(ЗапасМес&gt;=2,'04_Доходы'!BO133,0),IF(ЗапасМес&gt;=3,'04_Доходы'!BP133,0),IF(ЗапасМес&gt;=4,'04_Доходы'!BQ133,0),IF(ЗапасМес&gt;=5,'04_Доходы'!BR133,0),IF(ЗапасМес&gt;=6,'04_Доходы'!BS133,0))</f>
        <v/>
      </c>
      <c r="BN9" s="87">
        <f>SUM(IF(ЗапасМес&gt;=1,'04_Доходы'!BO133,0),IF(ЗапасМес&gt;=2,'04_Доходы'!BP133,0),IF(ЗапасМес&gt;=3,'04_Доходы'!BQ133,0),IF(ЗапасМес&gt;=4,'04_Доходы'!BR133,0),IF(ЗапасМес&gt;=5,'04_Доходы'!BS133,0),IF(ЗапасМес&gt;=6,'04_Доходы'!BT133,0))</f>
        <v/>
      </c>
      <c r="BO9" s="87">
        <f>SUM(IF(ЗапасМес&gt;=1,'04_Доходы'!BP133,0),IF(ЗапасМес&gt;=2,'04_Доходы'!BQ133,0),IF(ЗапасМес&gt;=3,'04_Доходы'!BR133,0),IF(ЗапасМес&gt;=4,'04_Доходы'!BS133,0),IF(ЗапасМес&gt;=5,'04_Доходы'!BT133,0),IF(ЗапасМес&gt;=6,'04_Доходы'!BU133,0))</f>
        <v/>
      </c>
      <c r="BP9" s="87">
        <f>SUM(IF(ЗапасМес&gt;=1,'04_Доходы'!BQ133,0),IF(ЗапасМес&gt;=2,'04_Доходы'!BR133,0),IF(ЗапасМес&gt;=3,'04_Доходы'!BS133,0),IF(ЗапасМес&gt;=4,'04_Доходы'!BT133,0),IF(ЗапасМес&gt;=5,'04_Доходы'!BU133,0),IF(ЗапасМес&gt;=6,'04_Доходы'!BV133,0))</f>
        <v/>
      </c>
      <c r="BQ9" s="87">
        <f>SUM(IF(ЗапасМес&gt;=1,'04_Доходы'!BR133,0),IF(ЗапасМес&gt;=2,'04_Доходы'!BS133,0),IF(ЗапасМес&gt;=3,'04_Доходы'!BT133,0),IF(ЗапасМес&gt;=4,'04_Доходы'!BU133,0),IF(ЗапасМес&gt;=5,'04_Доходы'!BV133,0),IF(ЗапасМес&gt;=6,'04_Доходы'!BW133,0))</f>
        <v/>
      </c>
      <c r="BR9" s="87">
        <f>SUM(IF(ЗапасМес&gt;=1,'04_Доходы'!BS133,0),IF(ЗапасМес&gt;=2,'04_Доходы'!BT133,0),IF(ЗапасМес&gt;=3,'04_Доходы'!BU133,0),IF(ЗапасМес&gt;=4,'04_Доходы'!BV133,0),IF(ЗапасМес&gt;=5,'04_Доходы'!BW133,0),IF(ЗапасМес&gt;=6,'04_Доходы'!BX133,0))</f>
        <v/>
      </c>
      <c r="BS9" s="87">
        <f>SUM(IF(ЗапасМес&gt;=1,'04_Доходы'!BT133,0),IF(ЗапасМес&gt;=2,'04_Доходы'!BU133,0),IF(ЗапасМес&gt;=3,'04_Доходы'!BV133,0),IF(ЗапасМес&gt;=4,'04_Доходы'!BW133,0),IF(ЗапасМес&gt;=5,'04_Доходы'!BX133,0),IF(ЗапасМес&gt;=6,'04_Доходы'!BY133,0))</f>
        <v/>
      </c>
      <c r="BT9" s="87">
        <f>SUM(IF(ЗапасМес&gt;=1,'04_Доходы'!BU133,0),IF(ЗапасМес&gt;=2,'04_Доходы'!BV133,0),IF(ЗапасМес&gt;=3,'04_Доходы'!BW133,0),IF(ЗапасМес&gt;=4,'04_Доходы'!BX133,0),IF(ЗапасМес&gt;=5,'04_Доходы'!BY133,0),IF(ЗапасМес&gt;=6,'04_Доходы'!BY133,0))</f>
        <v/>
      </c>
      <c r="BU9" s="87">
        <f>SUM(IF(ЗапасМес&gt;=1,'04_Доходы'!BV133,0),IF(ЗапасМес&gt;=2,'04_Доходы'!BW133,0),IF(ЗапасМес&gt;=3,'04_Доходы'!BX133,0),IF(ЗапасМес&gt;=4,'04_Доходы'!BY133,0),IF(ЗапасМес&gt;=5,'04_Доходы'!BY133,0),IF(ЗапасМес&gt;=6,'04_Доходы'!BY133,0))</f>
        <v/>
      </c>
      <c r="BV9" s="87">
        <f>SUM(IF(ЗапасМес&gt;=1,'04_Доходы'!BW133,0),IF(ЗапасМес&gt;=2,'04_Доходы'!BX133,0),IF(ЗапасМес&gt;=3,'04_Доходы'!BY133,0),IF(ЗапасМес&gt;=4,'04_Доходы'!BY133,0),IF(ЗапасМес&gt;=5,'04_Доходы'!BY133,0),IF(ЗапасМес&gt;=6,'04_Доходы'!BY133,0))</f>
        <v/>
      </c>
      <c r="BW9" s="87">
        <f>SUM(IF(ЗапасМес&gt;=1,'04_Доходы'!BX133,0),IF(ЗапасМес&gt;=2,'04_Доходы'!BY133,0),IF(ЗапасМес&gt;=3,'04_Доходы'!BY133,0),IF(ЗапасМес&gt;=4,'04_Доходы'!BY133,0),IF(ЗапасМес&gt;=5,'04_Доходы'!BY133,0),IF(ЗапасМес&gt;=6,'04_Доходы'!BY133,0))</f>
        <v/>
      </c>
      <c r="BX9" s="87">
        <f>SUM(IF(ЗапасМес&gt;=1,'04_Доходы'!BY133,0),IF(ЗапасМес&gt;=2,'04_Доходы'!BY133,0),IF(ЗапасМес&gt;=3,'04_Доходы'!BY133,0),IF(ЗапасМес&gt;=4,'04_Доходы'!BY133,0),IF(ЗапасМес&gt;=5,'04_Доходы'!BY133,0),IF(ЗапасМес&gt;=6,'04_Доходы'!BY133,0))</f>
        <v/>
      </c>
      <c r="BY9" s="87">
        <f>SUM(IF(ЗапасМес&gt;=1,'04_Доходы'!BY133,0),IF(ЗапасМес&gt;=2,'04_Доходы'!BY133,0),IF(ЗапасМес&gt;=3,'04_Доходы'!BY133,0),IF(ЗапасМес&gt;=4,'04_Доходы'!BY133,0),IF(ЗапасМес&gt;=5,'04_Доходы'!BY133,0),IF(ЗапасМес&gt;=6,'04_Доходы'!BY133,0))</f>
        <v/>
      </c>
    </row>
    <row r="10">
      <c r="B10" s="56" t="inlineStr">
        <is>
          <t>Закупка на склад</t>
        </is>
      </c>
      <c r="C10" s="56" t="inlineStr">
        <is>
          <t>₽</t>
        </is>
      </c>
      <c r="D10" s="57" t="inlineStr">
        <is>
          <t>Закупаем четыре раза в год, доводя склад до цели</t>
        </is>
      </c>
      <c r="E10" s="85">
        <f>SUM(L10:W10)</f>
        <v/>
      </c>
      <c r="F10" s="85">
        <f>SUM(X10:AI10)</f>
        <v/>
      </c>
      <c r="G10" s="85">
        <f>SUM(AJ10:AU10)</f>
        <v/>
      </c>
      <c r="H10" s="85">
        <f>SUM(AV10:BG10)</f>
        <v/>
      </c>
      <c r="I10" s="85">
        <f>SUM(BH10:BS10)</f>
        <v/>
      </c>
      <c r="J10" s="86">
        <f>SUM(L10:BS10)</f>
        <v/>
      </c>
      <c r="L10" s="87">
        <f>IF(AND('03_Сеть'!L7&gt;=СтартПополнения,OR(MONTH('03_Сеть'!L7)=МесяцЗакупки1,MONTH('03_Сеть'!L7)=МесяцЗакупки2,MONTH('03_Сеть'!L7)=МесяцЗакупки3,MONTH('03_Сеть'!L7)=МесяцЗакупки4)),MAX(0,L9-(L7-L8)),0)</f>
        <v/>
      </c>
      <c r="M10" s="87">
        <f>IF(AND('03_Сеть'!M7&gt;=СтартПополнения,OR(MONTH('03_Сеть'!M7)=МесяцЗакупки1,MONTH('03_Сеть'!M7)=МесяцЗакупки2,MONTH('03_Сеть'!M7)=МесяцЗакупки3,MONTH('03_Сеть'!M7)=МесяцЗакупки4)),MAX(0,M9-(M7-M8)),0)</f>
        <v/>
      </c>
      <c r="N10" s="87">
        <f>IF(AND('03_Сеть'!N7&gt;=СтартПополнения,OR(MONTH('03_Сеть'!N7)=МесяцЗакупки1,MONTH('03_Сеть'!N7)=МесяцЗакупки2,MONTH('03_Сеть'!N7)=МесяцЗакупки3,MONTH('03_Сеть'!N7)=МесяцЗакупки4)),MAX(0,N9-(N7-N8)),0)</f>
        <v/>
      </c>
      <c r="O10" s="87">
        <f>IF(AND('03_Сеть'!O7&gt;=СтартПополнения,OR(MONTH('03_Сеть'!O7)=МесяцЗакупки1,MONTH('03_Сеть'!O7)=МесяцЗакупки2,MONTH('03_Сеть'!O7)=МесяцЗакупки3,MONTH('03_Сеть'!O7)=МесяцЗакупки4)),MAX(0,O9-(O7-O8)),0)</f>
        <v/>
      </c>
      <c r="P10" s="87">
        <f>IF(AND('03_Сеть'!P7&gt;=СтартПополнения,OR(MONTH('03_Сеть'!P7)=МесяцЗакупки1,MONTH('03_Сеть'!P7)=МесяцЗакупки2,MONTH('03_Сеть'!P7)=МесяцЗакупки3,MONTH('03_Сеть'!P7)=МесяцЗакупки4)),MAX(0,P9-(P7-P8)),0)</f>
        <v/>
      </c>
      <c r="Q10" s="87">
        <f>IF(AND('03_Сеть'!Q7&gt;=СтартПополнения,OR(MONTH('03_Сеть'!Q7)=МесяцЗакупки1,MONTH('03_Сеть'!Q7)=МесяцЗакупки2,MONTH('03_Сеть'!Q7)=МесяцЗакупки3,MONTH('03_Сеть'!Q7)=МесяцЗакупки4)),MAX(0,Q9-(Q7-Q8)),0)</f>
        <v/>
      </c>
      <c r="R10" s="87">
        <f>IF(AND('03_Сеть'!R7&gt;=СтартПополнения,OR(MONTH('03_Сеть'!R7)=МесяцЗакупки1,MONTH('03_Сеть'!R7)=МесяцЗакупки2,MONTH('03_Сеть'!R7)=МесяцЗакупки3,MONTH('03_Сеть'!R7)=МесяцЗакупки4)),MAX(0,R9-(R7-R8)),0)</f>
        <v/>
      </c>
      <c r="S10" s="87">
        <f>IF(AND('03_Сеть'!S7&gt;=СтартПополнения,OR(MONTH('03_Сеть'!S7)=МесяцЗакупки1,MONTH('03_Сеть'!S7)=МесяцЗакупки2,MONTH('03_Сеть'!S7)=МесяцЗакупки3,MONTH('03_Сеть'!S7)=МесяцЗакупки4)),MAX(0,S9-(S7-S8)),0)</f>
        <v/>
      </c>
      <c r="T10" s="87">
        <f>IF(AND('03_Сеть'!T7&gt;=СтартПополнения,OR(MONTH('03_Сеть'!T7)=МесяцЗакупки1,MONTH('03_Сеть'!T7)=МесяцЗакупки2,MONTH('03_Сеть'!T7)=МесяцЗакупки3,MONTH('03_Сеть'!T7)=МесяцЗакупки4)),MAX(0,T9-(T7-T8)),0)</f>
        <v/>
      </c>
      <c r="U10" s="87">
        <f>IF(AND('03_Сеть'!U7&gt;=СтартПополнения,OR(MONTH('03_Сеть'!U7)=МесяцЗакупки1,MONTH('03_Сеть'!U7)=МесяцЗакупки2,MONTH('03_Сеть'!U7)=МесяцЗакупки3,MONTH('03_Сеть'!U7)=МесяцЗакупки4)),MAX(0,U9-(U7-U8)),0)</f>
        <v/>
      </c>
      <c r="V10" s="87">
        <f>IF(AND('03_Сеть'!V7&gt;=СтартПополнения,OR(MONTH('03_Сеть'!V7)=МесяцЗакупки1,MONTH('03_Сеть'!V7)=МесяцЗакупки2,MONTH('03_Сеть'!V7)=МесяцЗакупки3,MONTH('03_Сеть'!V7)=МесяцЗакупки4)),MAX(0,V9-(V7-V8)),0)</f>
        <v/>
      </c>
      <c r="W10" s="87">
        <f>IF(AND('03_Сеть'!W7&gt;=СтартПополнения,OR(MONTH('03_Сеть'!W7)=МесяцЗакупки1,MONTH('03_Сеть'!W7)=МесяцЗакупки2,MONTH('03_Сеть'!W7)=МесяцЗакупки3,MONTH('03_Сеть'!W7)=МесяцЗакупки4)),MAX(0,W9-(W7-W8)),0)</f>
        <v/>
      </c>
      <c r="X10" s="87">
        <f>IF(AND('03_Сеть'!X7&gt;=СтартПополнения,OR(MONTH('03_Сеть'!X7)=МесяцЗакупки1,MONTH('03_Сеть'!X7)=МесяцЗакупки2,MONTH('03_Сеть'!X7)=МесяцЗакупки3,MONTH('03_Сеть'!X7)=МесяцЗакупки4)),MAX(0,X9-(X7-X8)),0)</f>
        <v/>
      </c>
      <c r="Y10" s="87">
        <f>IF(AND('03_Сеть'!Y7&gt;=СтартПополнения,OR(MONTH('03_Сеть'!Y7)=МесяцЗакупки1,MONTH('03_Сеть'!Y7)=МесяцЗакупки2,MONTH('03_Сеть'!Y7)=МесяцЗакупки3,MONTH('03_Сеть'!Y7)=МесяцЗакупки4)),MAX(0,Y9-(Y7-Y8)),0)</f>
        <v/>
      </c>
      <c r="Z10" s="87">
        <f>IF(AND('03_Сеть'!Z7&gt;=СтартПополнения,OR(MONTH('03_Сеть'!Z7)=МесяцЗакупки1,MONTH('03_Сеть'!Z7)=МесяцЗакупки2,MONTH('03_Сеть'!Z7)=МесяцЗакупки3,MONTH('03_Сеть'!Z7)=МесяцЗакупки4)),MAX(0,Z9-(Z7-Z8)),0)</f>
        <v/>
      </c>
      <c r="AA10" s="87">
        <f>IF(AND('03_Сеть'!AA7&gt;=СтартПополнения,OR(MONTH('03_Сеть'!AA7)=МесяцЗакупки1,MONTH('03_Сеть'!AA7)=МесяцЗакупки2,MONTH('03_Сеть'!AA7)=МесяцЗакупки3,MONTH('03_Сеть'!AA7)=МесяцЗакупки4)),MAX(0,AA9-(AA7-AA8)),0)</f>
        <v/>
      </c>
      <c r="AB10" s="87">
        <f>IF(AND('03_Сеть'!AB7&gt;=СтартПополнения,OR(MONTH('03_Сеть'!AB7)=МесяцЗакупки1,MONTH('03_Сеть'!AB7)=МесяцЗакупки2,MONTH('03_Сеть'!AB7)=МесяцЗакупки3,MONTH('03_Сеть'!AB7)=МесяцЗакупки4)),MAX(0,AB9-(AB7-AB8)),0)</f>
        <v/>
      </c>
      <c r="AC10" s="87">
        <f>IF(AND('03_Сеть'!AC7&gt;=СтартПополнения,OR(MONTH('03_Сеть'!AC7)=МесяцЗакупки1,MONTH('03_Сеть'!AC7)=МесяцЗакупки2,MONTH('03_Сеть'!AC7)=МесяцЗакупки3,MONTH('03_Сеть'!AC7)=МесяцЗакупки4)),MAX(0,AC9-(AC7-AC8)),0)</f>
        <v/>
      </c>
      <c r="AD10" s="87">
        <f>IF(AND('03_Сеть'!AD7&gt;=СтартПополнения,OR(MONTH('03_Сеть'!AD7)=МесяцЗакупки1,MONTH('03_Сеть'!AD7)=МесяцЗакупки2,MONTH('03_Сеть'!AD7)=МесяцЗакупки3,MONTH('03_Сеть'!AD7)=МесяцЗакупки4)),MAX(0,AD9-(AD7-AD8)),0)</f>
        <v/>
      </c>
      <c r="AE10" s="87">
        <f>IF(AND('03_Сеть'!AE7&gt;=СтартПополнения,OR(MONTH('03_Сеть'!AE7)=МесяцЗакупки1,MONTH('03_Сеть'!AE7)=МесяцЗакупки2,MONTH('03_Сеть'!AE7)=МесяцЗакупки3,MONTH('03_Сеть'!AE7)=МесяцЗакупки4)),MAX(0,AE9-(AE7-AE8)),0)</f>
        <v/>
      </c>
      <c r="AF10" s="87">
        <f>IF(AND('03_Сеть'!AF7&gt;=СтартПополнения,OR(MONTH('03_Сеть'!AF7)=МесяцЗакупки1,MONTH('03_Сеть'!AF7)=МесяцЗакупки2,MONTH('03_Сеть'!AF7)=МесяцЗакупки3,MONTH('03_Сеть'!AF7)=МесяцЗакупки4)),MAX(0,AF9-(AF7-AF8)),0)</f>
        <v/>
      </c>
      <c r="AG10" s="87">
        <f>IF(AND('03_Сеть'!AG7&gt;=СтартПополнения,OR(MONTH('03_Сеть'!AG7)=МесяцЗакупки1,MONTH('03_Сеть'!AG7)=МесяцЗакупки2,MONTH('03_Сеть'!AG7)=МесяцЗакупки3,MONTH('03_Сеть'!AG7)=МесяцЗакупки4)),MAX(0,AG9-(AG7-AG8)),0)</f>
        <v/>
      </c>
      <c r="AH10" s="87">
        <f>IF(AND('03_Сеть'!AH7&gt;=СтартПополнения,OR(MONTH('03_Сеть'!AH7)=МесяцЗакупки1,MONTH('03_Сеть'!AH7)=МесяцЗакупки2,MONTH('03_Сеть'!AH7)=МесяцЗакупки3,MONTH('03_Сеть'!AH7)=МесяцЗакупки4)),MAX(0,AH9-(AH7-AH8)),0)</f>
        <v/>
      </c>
      <c r="AI10" s="87">
        <f>IF(AND('03_Сеть'!AI7&gt;=СтартПополнения,OR(MONTH('03_Сеть'!AI7)=МесяцЗакупки1,MONTH('03_Сеть'!AI7)=МесяцЗакупки2,MONTH('03_Сеть'!AI7)=МесяцЗакупки3,MONTH('03_Сеть'!AI7)=МесяцЗакупки4)),MAX(0,AI9-(AI7-AI8)),0)</f>
        <v/>
      </c>
      <c r="AJ10" s="87">
        <f>IF(AND('03_Сеть'!AJ7&gt;=СтартПополнения,OR(MONTH('03_Сеть'!AJ7)=МесяцЗакупки1,MONTH('03_Сеть'!AJ7)=МесяцЗакупки2,MONTH('03_Сеть'!AJ7)=МесяцЗакупки3,MONTH('03_Сеть'!AJ7)=МесяцЗакупки4)),MAX(0,AJ9-(AJ7-AJ8)),0)</f>
        <v/>
      </c>
      <c r="AK10" s="87">
        <f>IF(AND('03_Сеть'!AK7&gt;=СтартПополнения,OR(MONTH('03_Сеть'!AK7)=МесяцЗакупки1,MONTH('03_Сеть'!AK7)=МесяцЗакупки2,MONTH('03_Сеть'!AK7)=МесяцЗакупки3,MONTH('03_Сеть'!AK7)=МесяцЗакупки4)),MAX(0,AK9-(AK7-AK8)),0)</f>
        <v/>
      </c>
      <c r="AL10" s="87">
        <f>IF(AND('03_Сеть'!AL7&gt;=СтартПополнения,OR(MONTH('03_Сеть'!AL7)=МесяцЗакупки1,MONTH('03_Сеть'!AL7)=МесяцЗакупки2,MONTH('03_Сеть'!AL7)=МесяцЗакупки3,MONTH('03_Сеть'!AL7)=МесяцЗакупки4)),MAX(0,AL9-(AL7-AL8)),0)</f>
        <v/>
      </c>
      <c r="AM10" s="87">
        <f>IF(AND('03_Сеть'!AM7&gt;=СтартПополнения,OR(MONTH('03_Сеть'!AM7)=МесяцЗакупки1,MONTH('03_Сеть'!AM7)=МесяцЗакупки2,MONTH('03_Сеть'!AM7)=МесяцЗакупки3,MONTH('03_Сеть'!AM7)=МесяцЗакупки4)),MAX(0,AM9-(AM7-AM8)),0)</f>
        <v/>
      </c>
      <c r="AN10" s="87">
        <f>IF(AND('03_Сеть'!AN7&gt;=СтартПополнения,OR(MONTH('03_Сеть'!AN7)=МесяцЗакупки1,MONTH('03_Сеть'!AN7)=МесяцЗакупки2,MONTH('03_Сеть'!AN7)=МесяцЗакупки3,MONTH('03_Сеть'!AN7)=МесяцЗакупки4)),MAX(0,AN9-(AN7-AN8)),0)</f>
        <v/>
      </c>
      <c r="AO10" s="87">
        <f>IF(AND('03_Сеть'!AO7&gt;=СтартПополнения,OR(MONTH('03_Сеть'!AO7)=МесяцЗакупки1,MONTH('03_Сеть'!AO7)=МесяцЗакупки2,MONTH('03_Сеть'!AO7)=МесяцЗакупки3,MONTH('03_Сеть'!AO7)=МесяцЗакупки4)),MAX(0,AO9-(AO7-AO8)),0)</f>
        <v/>
      </c>
      <c r="AP10" s="87">
        <f>IF(AND('03_Сеть'!AP7&gt;=СтартПополнения,OR(MONTH('03_Сеть'!AP7)=МесяцЗакупки1,MONTH('03_Сеть'!AP7)=МесяцЗакупки2,MONTH('03_Сеть'!AP7)=МесяцЗакупки3,MONTH('03_Сеть'!AP7)=МесяцЗакупки4)),MAX(0,AP9-(AP7-AP8)),0)</f>
        <v/>
      </c>
      <c r="AQ10" s="87">
        <f>IF(AND('03_Сеть'!AQ7&gt;=СтартПополнения,OR(MONTH('03_Сеть'!AQ7)=МесяцЗакупки1,MONTH('03_Сеть'!AQ7)=МесяцЗакупки2,MONTH('03_Сеть'!AQ7)=МесяцЗакупки3,MONTH('03_Сеть'!AQ7)=МесяцЗакупки4)),MAX(0,AQ9-(AQ7-AQ8)),0)</f>
        <v/>
      </c>
      <c r="AR10" s="87">
        <f>IF(AND('03_Сеть'!AR7&gt;=СтартПополнения,OR(MONTH('03_Сеть'!AR7)=МесяцЗакупки1,MONTH('03_Сеть'!AR7)=МесяцЗакупки2,MONTH('03_Сеть'!AR7)=МесяцЗакупки3,MONTH('03_Сеть'!AR7)=МесяцЗакупки4)),MAX(0,AR9-(AR7-AR8)),0)</f>
        <v/>
      </c>
      <c r="AS10" s="87">
        <f>IF(AND('03_Сеть'!AS7&gt;=СтартПополнения,OR(MONTH('03_Сеть'!AS7)=МесяцЗакупки1,MONTH('03_Сеть'!AS7)=МесяцЗакупки2,MONTH('03_Сеть'!AS7)=МесяцЗакупки3,MONTH('03_Сеть'!AS7)=МесяцЗакупки4)),MAX(0,AS9-(AS7-AS8)),0)</f>
        <v/>
      </c>
      <c r="AT10" s="87">
        <f>IF(AND('03_Сеть'!AT7&gt;=СтартПополнения,OR(MONTH('03_Сеть'!AT7)=МесяцЗакупки1,MONTH('03_Сеть'!AT7)=МесяцЗакупки2,MONTH('03_Сеть'!AT7)=МесяцЗакупки3,MONTH('03_Сеть'!AT7)=МесяцЗакупки4)),MAX(0,AT9-(AT7-AT8)),0)</f>
        <v/>
      </c>
      <c r="AU10" s="87">
        <f>IF(AND('03_Сеть'!AU7&gt;=СтартПополнения,OR(MONTH('03_Сеть'!AU7)=МесяцЗакупки1,MONTH('03_Сеть'!AU7)=МесяцЗакупки2,MONTH('03_Сеть'!AU7)=МесяцЗакупки3,MONTH('03_Сеть'!AU7)=МесяцЗакупки4)),MAX(0,AU9-(AU7-AU8)),0)</f>
        <v/>
      </c>
      <c r="AV10" s="87">
        <f>IF(AND('03_Сеть'!AV7&gt;=СтартПополнения,OR(MONTH('03_Сеть'!AV7)=МесяцЗакупки1,MONTH('03_Сеть'!AV7)=МесяцЗакупки2,MONTH('03_Сеть'!AV7)=МесяцЗакупки3,MONTH('03_Сеть'!AV7)=МесяцЗакупки4)),MAX(0,AV9-(AV7-AV8)),0)</f>
        <v/>
      </c>
      <c r="AW10" s="87">
        <f>IF(AND('03_Сеть'!AW7&gt;=СтартПополнения,OR(MONTH('03_Сеть'!AW7)=МесяцЗакупки1,MONTH('03_Сеть'!AW7)=МесяцЗакупки2,MONTH('03_Сеть'!AW7)=МесяцЗакупки3,MONTH('03_Сеть'!AW7)=МесяцЗакупки4)),MAX(0,AW9-(AW7-AW8)),0)</f>
        <v/>
      </c>
      <c r="AX10" s="87">
        <f>IF(AND('03_Сеть'!AX7&gt;=СтартПополнения,OR(MONTH('03_Сеть'!AX7)=МесяцЗакупки1,MONTH('03_Сеть'!AX7)=МесяцЗакупки2,MONTH('03_Сеть'!AX7)=МесяцЗакупки3,MONTH('03_Сеть'!AX7)=МесяцЗакупки4)),MAX(0,AX9-(AX7-AX8)),0)</f>
        <v/>
      </c>
      <c r="AY10" s="87">
        <f>IF(AND('03_Сеть'!AY7&gt;=СтартПополнения,OR(MONTH('03_Сеть'!AY7)=МесяцЗакупки1,MONTH('03_Сеть'!AY7)=МесяцЗакупки2,MONTH('03_Сеть'!AY7)=МесяцЗакупки3,MONTH('03_Сеть'!AY7)=МесяцЗакупки4)),MAX(0,AY9-(AY7-AY8)),0)</f>
        <v/>
      </c>
      <c r="AZ10" s="87">
        <f>IF(AND('03_Сеть'!AZ7&gt;=СтартПополнения,OR(MONTH('03_Сеть'!AZ7)=МесяцЗакупки1,MONTH('03_Сеть'!AZ7)=МесяцЗакупки2,MONTH('03_Сеть'!AZ7)=МесяцЗакупки3,MONTH('03_Сеть'!AZ7)=МесяцЗакупки4)),MAX(0,AZ9-(AZ7-AZ8)),0)</f>
        <v/>
      </c>
      <c r="BA10" s="87">
        <f>IF(AND('03_Сеть'!BA7&gt;=СтартПополнения,OR(MONTH('03_Сеть'!BA7)=МесяцЗакупки1,MONTH('03_Сеть'!BA7)=МесяцЗакупки2,MONTH('03_Сеть'!BA7)=МесяцЗакупки3,MONTH('03_Сеть'!BA7)=МесяцЗакупки4)),MAX(0,BA9-(BA7-BA8)),0)</f>
        <v/>
      </c>
      <c r="BB10" s="87">
        <f>IF(AND('03_Сеть'!BB7&gt;=СтартПополнения,OR(MONTH('03_Сеть'!BB7)=МесяцЗакупки1,MONTH('03_Сеть'!BB7)=МесяцЗакупки2,MONTH('03_Сеть'!BB7)=МесяцЗакупки3,MONTH('03_Сеть'!BB7)=МесяцЗакупки4)),MAX(0,BB9-(BB7-BB8)),0)</f>
        <v/>
      </c>
      <c r="BC10" s="87">
        <f>IF(AND('03_Сеть'!BC7&gt;=СтартПополнения,OR(MONTH('03_Сеть'!BC7)=МесяцЗакупки1,MONTH('03_Сеть'!BC7)=МесяцЗакупки2,MONTH('03_Сеть'!BC7)=МесяцЗакупки3,MONTH('03_Сеть'!BC7)=МесяцЗакупки4)),MAX(0,BC9-(BC7-BC8)),0)</f>
        <v/>
      </c>
      <c r="BD10" s="87">
        <f>IF(AND('03_Сеть'!BD7&gt;=СтартПополнения,OR(MONTH('03_Сеть'!BD7)=МесяцЗакупки1,MONTH('03_Сеть'!BD7)=МесяцЗакупки2,MONTH('03_Сеть'!BD7)=МесяцЗакупки3,MONTH('03_Сеть'!BD7)=МесяцЗакупки4)),MAX(0,BD9-(BD7-BD8)),0)</f>
        <v/>
      </c>
      <c r="BE10" s="87">
        <f>IF(AND('03_Сеть'!BE7&gt;=СтартПополнения,OR(MONTH('03_Сеть'!BE7)=МесяцЗакупки1,MONTH('03_Сеть'!BE7)=МесяцЗакупки2,MONTH('03_Сеть'!BE7)=МесяцЗакупки3,MONTH('03_Сеть'!BE7)=МесяцЗакупки4)),MAX(0,BE9-(BE7-BE8)),0)</f>
        <v/>
      </c>
      <c r="BF10" s="87">
        <f>IF(AND('03_Сеть'!BF7&gt;=СтартПополнения,OR(MONTH('03_Сеть'!BF7)=МесяцЗакупки1,MONTH('03_Сеть'!BF7)=МесяцЗакупки2,MONTH('03_Сеть'!BF7)=МесяцЗакупки3,MONTH('03_Сеть'!BF7)=МесяцЗакупки4)),MAX(0,BF9-(BF7-BF8)),0)</f>
        <v/>
      </c>
      <c r="BG10" s="87">
        <f>IF(AND('03_Сеть'!BG7&gt;=СтартПополнения,OR(MONTH('03_Сеть'!BG7)=МесяцЗакупки1,MONTH('03_Сеть'!BG7)=МесяцЗакупки2,MONTH('03_Сеть'!BG7)=МесяцЗакупки3,MONTH('03_Сеть'!BG7)=МесяцЗакупки4)),MAX(0,BG9-(BG7-BG8)),0)</f>
        <v/>
      </c>
      <c r="BH10" s="87">
        <f>IF(AND('03_Сеть'!BH7&gt;=СтартПополнения,OR(MONTH('03_Сеть'!BH7)=МесяцЗакупки1,MONTH('03_Сеть'!BH7)=МесяцЗакупки2,MONTH('03_Сеть'!BH7)=МесяцЗакупки3,MONTH('03_Сеть'!BH7)=МесяцЗакупки4)),MAX(0,BH9-(BH7-BH8)),0)</f>
        <v/>
      </c>
      <c r="BI10" s="87">
        <f>IF(AND('03_Сеть'!BI7&gt;=СтартПополнения,OR(MONTH('03_Сеть'!BI7)=МесяцЗакупки1,MONTH('03_Сеть'!BI7)=МесяцЗакупки2,MONTH('03_Сеть'!BI7)=МесяцЗакупки3,MONTH('03_Сеть'!BI7)=МесяцЗакупки4)),MAX(0,BI9-(BI7-BI8)),0)</f>
        <v/>
      </c>
      <c r="BJ10" s="87">
        <f>IF(AND('03_Сеть'!BJ7&gt;=СтартПополнения,OR(MONTH('03_Сеть'!BJ7)=МесяцЗакупки1,MONTH('03_Сеть'!BJ7)=МесяцЗакупки2,MONTH('03_Сеть'!BJ7)=МесяцЗакупки3,MONTH('03_Сеть'!BJ7)=МесяцЗакупки4)),MAX(0,BJ9-(BJ7-BJ8)),0)</f>
        <v/>
      </c>
      <c r="BK10" s="87">
        <f>IF(AND('03_Сеть'!BK7&gt;=СтартПополнения,OR(MONTH('03_Сеть'!BK7)=МесяцЗакупки1,MONTH('03_Сеть'!BK7)=МесяцЗакупки2,MONTH('03_Сеть'!BK7)=МесяцЗакупки3,MONTH('03_Сеть'!BK7)=МесяцЗакупки4)),MAX(0,BK9-(BK7-BK8)),0)</f>
        <v/>
      </c>
      <c r="BL10" s="87">
        <f>IF(AND('03_Сеть'!BL7&gt;=СтартПополнения,OR(MONTH('03_Сеть'!BL7)=МесяцЗакупки1,MONTH('03_Сеть'!BL7)=МесяцЗакупки2,MONTH('03_Сеть'!BL7)=МесяцЗакупки3,MONTH('03_Сеть'!BL7)=МесяцЗакупки4)),MAX(0,BL9-(BL7-BL8)),0)</f>
        <v/>
      </c>
      <c r="BM10" s="87">
        <f>IF(AND('03_Сеть'!BM7&gt;=СтартПополнения,OR(MONTH('03_Сеть'!BM7)=МесяцЗакупки1,MONTH('03_Сеть'!BM7)=МесяцЗакупки2,MONTH('03_Сеть'!BM7)=МесяцЗакупки3,MONTH('03_Сеть'!BM7)=МесяцЗакупки4)),MAX(0,BM9-(BM7-BM8)),0)</f>
        <v/>
      </c>
      <c r="BN10" s="87">
        <f>IF(AND('03_Сеть'!BN7&gt;=СтартПополнения,OR(MONTH('03_Сеть'!BN7)=МесяцЗакупки1,MONTH('03_Сеть'!BN7)=МесяцЗакупки2,MONTH('03_Сеть'!BN7)=МесяцЗакупки3,MONTH('03_Сеть'!BN7)=МесяцЗакупки4)),MAX(0,BN9-(BN7-BN8)),0)</f>
        <v/>
      </c>
      <c r="BO10" s="87">
        <f>IF(AND('03_Сеть'!BO7&gt;=СтартПополнения,OR(MONTH('03_Сеть'!BO7)=МесяцЗакупки1,MONTH('03_Сеть'!BO7)=МесяцЗакупки2,MONTH('03_Сеть'!BO7)=МесяцЗакупки3,MONTH('03_Сеть'!BO7)=МесяцЗакупки4)),MAX(0,BO9-(BO7-BO8)),0)</f>
        <v/>
      </c>
      <c r="BP10" s="87">
        <f>IF(AND('03_Сеть'!BP7&gt;=СтартПополнения,OR(MONTH('03_Сеть'!BP7)=МесяцЗакупки1,MONTH('03_Сеть'!BP7)=МесяцЗакупки2,MONTH('03_Сеть'!BP7)=МесяцЗакупки3,MONTH('03_Сеть'!BP7)=МесяцЗакупки4)),MAX(0,BP9-(BP7-BP8)),0)</f>
        <v/>
      </c>
      <c r="BQ10" s="87">
        <f>IF(AND('03_Сеть'!BQ7&gt;=СтартПополнения,OR(MONTH('03_Сеть'!BQ7)=МесяцЗакупки1,MONTH('03_Сеть'!BQ7)=МесяцЗакупки2,MONTH('03_Сеть'!BQ7)=МесяцЗакупки3,MONTH('03_Сеть'!BQ7)=МесяцЗакупки4)),MAX(0,BQ9-(BQ7-BQ8)),0)</f>
        <v/>
      </c>
      <c r="BR10" s="87">
        <f>IF(AND('03_Сеть'!BR7&gt;=СтартПополнения,OR(MONTH('03_Сеть'!BR7)=МесяцЗакупки1,MONTH('03_Сеть'!BR7)=МесяцЗакупки2,MONTH('03_Сеть'!BR7)=МесяцЗакупки3,MONTH('03_Сеть'!BR7)=МесяцЗакупки4)),MAX(0,BR9-(BR7-BR8)),0)</f>
        <v/>
      </c>
      <c r="BS10" s="87">
        <f>IF(AND('03_Сеть'!BS7&gt;=СтартПополнения,OR(MONTH('03_Сеть'!BS7)=МесяцЗакупки1,MONTH('03_Сеть'!BS7)=МесяцЗакупки2,MONTH('03_Сеть'!BS7)=МесяцЗакупки3,MONTH('03_Сеть'!BS7)=МесяцЗакупки4)),MAX(0,BS9-(BS7-BS8)),0)</f>
        <v/>
      </c>
      <c r="BT10" s="87">
        <f>IF(AND('03_Сеть'!BT7&gt;=СтартПополнения,OR(MONTH('03_Сеть'!BT7)=МесяцЗакупки1,MONTH('03_Сеть'!BT7)=МесяцЗакупки2,MONTH('03_Сеть'!BT7)=МесяцЗакупки3,MONTH('03_Сеть'!BT7)=МесяцЗакупки4)),MAX(0,BT9-(BT7-BT8)),0)</f>
        <v/>
      </c>
      <c r="BU10" s="87">
        <f>IF(AND('03_Сеть'!BU7&gt;=СтартПополнения,OR(MONTH('03_Сеть'!BU7)=МесяцЗакупки1,MONTH('03_Сеть'!BU7)=МесяцЗакупки2,MONTH('03_Сеть'!BU7)=МесяцЗакупки3,MONTH('03_Сеть'!BU7)=МесяцЗакупки4)),MAX(0,BU9-(BU7-BU8)),0)</f>
        <v/>
      </c>
      <c r="BV10" s="87">
        <f>IF(AND('03_Сеть'!BV7&gt;=СтартПополнения,OR(MONTH('03_Сеть'!BV7)=МесяцЗакупки1,MONTH('03_Сеть'!BV7)=МесяцЗакупки2,MONTH('03_Сеть'!BV7)=МесяцЗакупки3,MONTH('03_Сеть'!BV7)=МесяцЗакупки4)),MAX(0,BV9-(BV7-BV8)),0)</f>
        <v/>
      </c>
      <c r="BW10" s="87">
        <f>IF(AND('03_Сеть'!BW7&gt;=СтартПополнения,OR(MONTH('03_Сеть'!BW7)=МесяцЗакупки1,MONTH('03_Сеть'!BW7)=МесяцЗакупки2,MONTH('03_Сеть'!BW7)=МесяцЗакупки3,MONTH('03_Сеть'!BW7)=МесяцЗакупки4)),MAX(0,BW9-(BW7-BW8)),0)</f>
        <v/>
      </c>
      <c r="BX10" s="87">
        <f>IF(AND('03_Сеть'!BX7&gt;=СтартПополнения,OR(MONTH('03_Сеть'!BX7)=МесяцЗакупки1,MONTH('03_Сеть'!BX7)=МесяцЗакупки2,MONTH('03_Сеть'!BX7)=МесяцЗакупки3,MONTH('03_Сеть'!BX7)=МесяцЗакупки4)),MAX(0,BX9-(BX7-BX8)),0)</f>
        <v/>
      </c>
      <c r="BY10" s="87">
        <f>IF(AND('03_Сеть'!BY7&gt;=СтартПополнения,OR(MONTH('03_Сеть'!BY7)=МесяцЗакупки1,MONTH('03_Сеть'!BY7)=МесяцЗакупки2,MONTH('03_Сеть'!BY7)=МесяцЗакупки3,MONTH('03_Сеть'!BY7)=МесяцЗакупки4)),MAX(0,BY9-(BY7-BY8)),0)</f>
        <v/>
      </c>
    </row>
    <row r="11">
      <c r="B11" s="130" t="inlineStr">
        <is>
          <t>Склад на конец</t>
        </is>
      </c>
      <c r="C11" s="130" t="inlineStr">
        <is>
          <t>₽</t>
        </is>
      </c>
      <c r="D11" s="156" t="inlineStr">
        <is>
          <t>Минус означает необеспеченный спрос В колонках лет — значение на конец года, в «Итого» — на конец пятого года. Это остаток, а не сумма.</t>
        </is>
      </c>
      <c r="E11" s="157">
        <f>W11</f>
        <v/>
      </c>
      <c r="F11" s="157">
        <f>AI11</f>
        <v/>
      </c>
      <c r="G11" s="157">
        <f>AU11</f>
        <v/>
      </c>
      <c r="H11" s="157">
        <f>BG11</f>
        <v/>
      </c>
      <c r="I11" s="157">
        <f>BS11</f>
        <v/>
      </c>
      <c r="J11" s="134">
        <f>BS11</f>
        <v/>
      </c>
      <c r="L11" s="133">
        <f>L7+L10-L8</f>
        <v/>
      </c>
      <c r="M11" s="133">
        <f>M7+M10-M8</f>
        <v/>
      </c>
      <c r="N11" s="133">
        <f>N7+N10-N8</f>
        <v/>
      </c>
      <c r="O11" s="133">
        <f>O7+O10-O8</f>
        <v/>
      </c>
      <c r="P11" s="133">
        <f>P7+P10-P8</f>
        <v/>
      </c>
      <c r="Q11" s="133">
        <f>Q7+Q10-Q8</f>
        <v/>
      </c>
      <c r="R11" s="133">
        <f>R7+R10-R8</f>
        <v/>
      </c>
      <c r="S11" s="133">
        <f>S7+S10-S8</f>
        <v/>
      </c>
      <c r="T11" s="133">
        <f>T7+T10-T8</f>
        <v/>
      </c>
      <c r="U11" s="133">
        <f>U7+U10-U8</f>
        <v/>
      </c>
      <c r="V11" s="133">
        <f>V7+V10-V8</f>
        <v/>
      </c>
      <c r="W11" s="133">
        <f>W7+W10-W8</f>
        <v/>
      </c>
      <c r="X11" s="133">
        <f>X7+X10-X8</f>
        <v/>
      </c>
      <c r="Y11" s="133">
        <f>Y7+Y10-Y8</f>
        <v/>
      </c>
      <c r="Z11" s="133">
        <f>Z7+Z10-Z8</f>
        <v/>
      </c>
      <c r="AA11" s="133">
        <f>AA7+AA10-AA8</f>
        <v/>
      </c>
      <c r="AB11" s="133">
        <f>AB7+AB10-AB8</f>
        <v/>
      </c>
      <c r="AC11" s="133">
        <f>AC7+AC10-AC8</f>
        <v/>
      </c>
      <c r="AD11" s="133">
        <f>AD7+AD10-AD8</f>
        <v/>
      </c>
      <c r="AE11" s="133">
        <f>AE7+AE10-AE8</f>
        <v/>
      </c>
      <c r="AF11" s="133">
        <f>AF7+AF10-AF8</f>
        <v/>
      </c>
      <c r="AG11" s="133">
        <f>AG7+AG10-AG8</f>
        <v/>
      </c>
      <c r="AH11" s="133">
        <f>AH7+AH10-AH8</f>
        <v/>
      </c>
      <c r="AI11" s="133">
        <f>AI7+AI10-AI8</f>
        <v/>
      </c>
      <c r="AJ11" s="133">
        <f>AJ7+AJ10-AJ8</f>
        <v/>
      </c>
      <c r="AK11" s="133">
        <f>AK7+AK10-AK8</f>
        <v/>
      </c>
      <c r="AL11" s="133">
        <f>AL7+AL10-AL8</f>
        <v/>
      </c>
      <c r="AM11" s="133">
        <f>AM7+AM10-AM8</f>
        <v/>
      </c>
      <c r="AN11" s="133">
        <f>AN7+AN10-AN8</f>
        <v/>
      </c>
      <c r="AO11" s="133">
        <f>AO7+AO10-AO8</f>
        <v/>
      </c>
      <c r="AP11" s="133">
        <f>AP7+AP10-AP8</f>
        <v/>
      </c>
      <c r="AQ11" s="133">
        <f>AQ7+AQ10-AQ8</f>
        <v/>
      </c>
      <c r="AR11" s="133">
        <f>AR7+AR10-AR8</f>
        <v/>
      </c>
      <c r="AS11" s="133">
        <f>AS7+AS10-AS8</f>
        <v/>
      </c>
      <c r="AT11" s="133">
        <f>AT7+AT10-AT8</f>
        <v/>
      </c>
      <c r="AU11" s="133">
        <f>AU7+AU10-AU8</f>
        <v/>
      </c>
      <c r="AV11" s="133">
        <f>AV7+AV10-AV8</f>
        <v/>
      </c>
      <c r="AW11" s="133">
        <f>AW7+AW10-AW8</f>
        <v/>
      </c>
      <c r="AX11" s="133">
        <f>AX7+AX10-AX8</f>
        <v/>
      </c>
      <c r="AY11" s="133">
        <f>AY7+AY10-AY8</f>
        <v/>
      </c>
      <c r="AZ11" s="133">
        <f>AZ7+AZ10-AZ8</f>
        <v/>
      </c>
      <c r="BA11" s="133">
        <f>BA7+BA10-BA8</f>
        <v/>
      </c>
      <c r="BB11" s="133">
        <f>BB7+BB10-BB8</f>
        <v/>
      </c>
      <c r="BC11" s="133">
        <f>BC7+BC10-BC8</f>
        <v/>
      </c>
      <c r="BD11" s="133">
        <f>BD7+BD10-BD8</f>
        <v/>
      </c>
      <c r="BE11" s="133">
        <f>BE7+BE10-BE8</f>
        <v/>
      </c>
      <c r="BF11" s="133">
        <f>BF7+BF10-BF8</f>
        <v/>
      </c>
      <c r="BG11" s="133">
        <f>BG7+BG10-BG8</f>
        <v/>
      </c>
      <c r="BH11" s="133">
        <f>BH7+BH10-BH8</f>
        <v/>
      </c>
      <c r="BI11" s="133">
        <f>BI7+BI10-BI8</f>
        <v/>
      </c>
      <c r="BJ11" s="133">
        <f>BJ7+BJ10-BJ8</f>
        <v/>
      </c>
      <c r="BK11" s="133">
        <f>BK7+BK10-BK8</f>
        <v/>
      </c>
      <c r="BL11" s="133">
        <f>BL7+BL10-BL8</f>
        <v/>
      </c>
      <c r="BM11" s="133">
        <f>BM7+BM10-BM8</f>
        <v/>
      </c>
      <c r="BN11" s="133">
        <f>BN7+BN10-BN8</f>
        <v/>
      </c>
      <c r="BO11" s="133">
        <f>BO7+BO10-BO8</f>
        <v/>
      </c>
      <c r="BP11" s="133">
        <f>BP7+BP10-BP8</f>
        <v/>
      </c>
      <c r="BQ11" s="133">
        <f>BQ7+BQ10-BQ8</f>
        <v/>
      </c>
      <c r="BR11" s="133">
        <f>BR7+BR10-BR8</f>
        <v/>
      </c>
      <c r="BS11" s="133">
        <f>BS7+BS10-BS8</f>
        <v/>
      </c>
      <c r="BT11" s="133">
        <f>BT7+BT10-BT8</f>
        <v/>
      </c>
      <c r="BU11" s="133">
        <f>BU7+BU10-BU8</f>
        <v/>
      </c>
      <c r="BV11" s="133">
        <f>BV7+BV10-BV8</f>
        <v/>
      </c>
      <c r="BW11" s="133">
        <f>BW7+BW10-BW8</f>
        <v/>
      </c>
      <c r="BX11" s="133">
        <f>BX7+BX10-BX8</f>
        <v/>
      </c>
      <c r="BY11" s="133">
        <f>BY7+BY10-BY8</f>
        <v/>
      </c>
    </row>
    <row r="12">
      <c r="B12" s="56" t="inlineStr">
        <is>
          <t>Минимальный запас для возврата займа</t>
        </is>
      </c>
      <c r="C12" s="56" t="inlineStr">
        <is>
          <t>₽</t>
        </is>
      </c>
      <c r="D12" s="57" t="inlineStr">
        <is>
          <t>Займ отдаём, только если склада хватает на столько месяцев вперёд. Это не то же, что целевой запас закупки В колонках лет — значение на конец года, в «Итого» — на конец пятого года. Это остаток, а не сумма.</t>
        </is>
      </c>
      <c r="E12" s="85">
        <f>W12</f>
        <v/>
      </c>
      <c r="F12" s="85">
        <f>AI12</f>
        <v/>
      </c>
      <c r="G12" s="85">
        <f>AU12</f>
        <v/>
      </c>
      <c r="H12" s="85">
        <f>BG12</f>
        <v/>
      </c>
      <c r="I12" s="85">
        <f>BS12</f>
        <v/>
      </c>
      <c r="J12" s="86">
        <f>BS12</f>
        <v/>
      </c>
      <c r="L12" s="87">
        <f>SUM(IF(ЗапасДляЗайма&gt;=1,'04_Доходы'!M133,0),IF(ЗапасДляЗайма&gt;=2,'04_Доходы'!N133,0),IF(ЗапасДляЗайма&gt;=3,'04_Доходы'!O133,0),IF(ЗапасДляЗайма&gt;=4,'04_Доходы'!P133,0),IF(ЗапасДляЗайма&gt;=5,'04_Доходы'!Q133,0),IF(ЗапасДляЗайма&gt;=6,'04_Доходы'!R133,0))</f>
        <v/>
      </c>
      <c r="M12" s="87">
        <f>SUM(IF(ЗапасДляЗайма&gt;=1,'04_Доходы'!N133,0),IF(ЗапасДляЗайма&gt;=2,'04_Доходы'!O133,0),IF(ЗапасДляЗайма&gt;=3,'04_Доходы'!P133,0),IF(ЗапасДляЗайма&gt;=4,'04_Доходы'!Q133,0),IF(ЗапасДляЗайма&gt;=5,'04_Доходы'!R133,0),IF(ЗапасДляЗайма&gt;=6,'04_Доходы'!S133,0))</f>
        <v/>
      </c>
      <c r="N12" s="87">
        <f>SUM(IF(ЗапасДляЗайма&gt;=1,'04_Доходы'!O133,0),IF(ЗапасДляЗайма&gt;=2,'04_Доходы'!P133,0),IF(ЗапасДляЗайма&gt;=3,'04_Доходы'!Q133,0),IF(ЗапасДляЗайма&gt;=4,'04_Доходы'!R133,0),IF(ЗапасДляЗайма&gt;=5,'04_Доходы'!S133,0),IF(ЗапасДляЗайма&gt;=6,'04_Доходы'!T133,0))</f>
        <v/>
      </c>
      <c r="O12" s="87">
        <f>SUM(IF(ЗапасДляЗайма&gt;=1,'04_Доходы'!P133,0),IF(ЗапасДляЗайма&gt;=2,'04_Доходы'!Q133,0),IF(ЗапасДляЗайма&gt;=3,'04_Доходы'!R133,0),IF(ЗапасДляЗайма&gt;=4,'04_Доходы'!S133,0),IF(ЗапасДляЗайма&gt;=5,'04_Доходы'!T133,0),IF(ЗапасДляЗайма&gt;=6,'04_Доходы'!U133,0))</f>
        <v/>
      </c>
      <c r="P12" s="87">
        <f>SUM(IF(ЗапасДляЗайма&gt;=1,'04_Доходы'!Q133,0),IF(ЗапасДляЗайма&gt;=2,'04_Доходы'!R133,0),IF(ЗапасДляЗайма&gt;=3,'04_Доходы'!S133,0),IF(ЗапасДляЗайма&gt;=4,'04_Доходы'!T133,0),IF(ЗапасДляЗайма&gt;=5,'04_Доходы'!U133,0),IF(ЗапасДляЗайма&gt;=6,'04_Доходы'!V133,0))</f>
        <v/>
      </c>
      <c r="Q12" s="87">
        <f>SUM(IF(ЗапасДляЗайма&gt;=1,'04_Доходы'!R133,0),IF(ЗапасДляЗайма&gt;=2,'04_Доходы'!S133,0),IF(ЗапасДляЗайма&gt;=3,'04_Доходы'!T133,0),IF(ЗапасДляЗайма&gt;=4,'04_Доходы'!U133,0),IF(ЗапасДляЗайма&gt;=5,'04_Доходы'!V133,0),IF(ЗапасДляЗайма&gt;=6,'04_Доходы'!W133,0))</f>
        <v/>
      </c>
      <c r="R12" s="87">
        <f>SUM(IF(ЗапасДляЗайма&gt;=1,'04_Доходы'!S133,0),IF(ЗапасДляЗайма&gt;=2,'04_Доходы'!T133,0),IF(ЗапасДляЗайма&gt;=3,'04_Доходы'!U133,0),IF(ЗапасДляЗайма&gt;=4,'04_Доходы'!V133,0),IF(ЗапасДляЗайма&gt;=5,'04_Доходы'!W133,0),IF(ЗапасДляЗайма&gt;=6,'04_Доходы'!X133,0))</f>
        <v/>
      </c>
      <c r="S12" s="87">
        <f>SUM(IF(ЗапасДляЗайма&gt;=1,'04_Доходы'!T133,0),IF(ЗапасДляЗайма&gt;=2,'04_Доходы'!U133,0),IF(ЗапасДляЗайма&gt;=3,'04_Доходы'!V133,0),IF(ЗапасДляЗайма&gt;=4,'04_Доходы'!W133,0),IF(ЗапасДляЗайма&gt;=5,'04_Доходы'!X133,0),IF(ЗапасДляЗайма&gt;=6,'04_Доходы'!Y133,0))</f>
        <v/>
      </c>
      <c r="T12" s="87">
        <f>SUM(IF(ЗапасДляЗайма&gt;=1,'04_Доходы'!U133,0),IF(ЗапасДляЗайма&gt;=2,'04_Доходы'!V133,0),IF(ЗапасДляЗайма&gt;=3,'04_Доходы'!W133,0),IF(ЗапасДляЗайма&gt;=4,'04_Доходы'!X133,0),IF(ЗапасДляЗайма&gt;=5,'04_Доходы'!Y133,0),IF(ЗапасДляЗайма&gt;=6,'04_Доходы'!Z133,0))</f>
        <v/>
      </c>
      <c r="U12" s="87">
        <f>SUM(IF(ЗапасДляЗайма&gt;=1,'04_Доходы'!V133,0),IF(ЗапасДляЗайма&gt;=2,'04_Доходы'!W133,0),IF(ЗапасДляЗайма&gt;=3,'04_Доходы'!X133,0),IF(ЗапасДляЗайма&gt;=4,'04_Доходы'!Y133,0),IF(ЗапасДляЗайма&gt;=5,'04_Доходы'!Z133,0),IF(ЗапасДляЗайма&gt;=6,'04_Доходы'!AA133,0))</f>
        <v/>
      </c>
      <c r="V12" s="87">
        <f>SUM(IF(ЗапасДляЗайма&gt;=1,'04_Доходы'!W133,0),IF(ЗапасДляЗайма&gt;=2,'04_Доходы'!X133,0),IF(ЗапасДляЗайма&gt;=3,'04_Доходы'!Y133,0),IF(ЗапасДляЗайма&gt;=4,'04_Доходы'!Z133,0),IF(ЗапасДляЗайма&gt;=5,'04_Доходы'!AA133,0),IF(ЗапасДляЗайма&gt;=6,'04_Доходы'!AB133,0))</f>
        <v/>
      </c>
      <c r="W12" s="87">
        <f>SUM(IF(ЗапасДляЗайма&gt;=1,'04_Доходы'!X133,0),IF(ЗапасДляЗайма&gt;=2,'04_Доходы'!Y133,0),IF(ЗапасДляЗайма&gt;=3,'04_Доходы'!Z133,0),IF(ЗапасДляЗайма&gt;=4,'04_Доходы'!AA133,0),IF(ЗапасДляЗайма&gt;=5,'04_Доходы'!AB133,0),IF(ЗапасДляЗайма&gt;=6,'04_Доходы'!AC133,0))</f>
        <v/>
      </c>
      <c r="X12" s="87">
        <f>SUM(IF(ЗапасДляЗайма&gt;=1,'04_Доходы'!Y133,0),IF(ЗапасДляЗайма&gt;=2,'04_Доходы'!Z133,0),IF(ЗапасДляЗайма&gt;=3,'04_Доходы'!AA133,0),IF(ЗапасДляЗайма&gt;=4,'04_Доходы'!AB133,0),IF(ЗапасДляЗайма&gt;=5,'04_Доходы'!AC133,0),IF(ЗапасДляЗайма&gt;=6,'04_Доходы'!AD133,0))</f>
        <v/>
      </c>
      <c r="Y12" s="87">
        <f>SUM(IF(ЗапасДляЗайма&gt;=1,'04_Доходы'!Z133,0),IF(ЗапасДляЗайма&gt;=2,'04_Доходы'!AA133,0),IF(ЗапасДляЗайма&gt;=3,'04_Доходы'!AB133,0),IF(ЗапасДляЗайма&gt;=4,'04_Доходы'!AC133,0),IF(ЗапасДляЗайма&gt;=5,'04_Доходы'!AD133,0),IF(ЗапасДляЗайма&gt;=6,'04_Доходы'!AE133,0))</f>
        <v/>
      </c>
      <c r="Z12" s="87">
        <f>SUM(IF(ЗапасДляЗайма&gt;=1,'04_Доходы'!AA133,0),IF(ЗапасДляЗайма&gt;=2,'04_Доходы'!AB133,0),IF(ЗапасДляЗайма&gt;=3,'04_Доходы'!AC133,0),IF(ЗапасДляЗайма&gt;=4,'04_Доходы'!AD133,0),IF(ЗапасДляЗайма&gt;=5,'04_Доходы'!AE133,0),IF(ЗапасДляЗайма&gt;=6,'04_Доходы'!AF133,0))</f>
        <v/>
      </c>
      <c r="AA12" s="87">
        <f>SUM(IF(ЗапасДляЗайма&gt;=1,'04_Доходы'!AB133,0),IF(ЗапасДляЗайма&gt;=2,'04_Доходы'!AC133,0),IF(ЗапасДляЗайма&gt;=3,'04_Доходы'!AD133,0),IF(ЗапасДляЗайма&gt;=4,'04_Доходы'!AE133,0),IF(ЗапасДляЗайма&gt;=5,'04_Доходы'!AF133,0),IF(ЗапасДляЗайма&gt;=6,'04_Доходы'!AG133,0))</f>
        <v/>
      </c>
      <c r="AB12" s="87">
        <f>SUM(IF(ЗапасДляЗайма&gt;=1,'04_Доходы'!AC133,0),IF(ЗапасДляЗайма&gt;=2,'04_Доходы'!AD133,0),IF(ЗапасДляЗайма&gt;=3,'04_Доходы'!AE133,0),IF(ЗапасДляЗайма&gt;=4,'04_Доходы'!AF133,0),IF(ЗапасДляЗайма&gt;=5,'04_Доходы'!AG133,0),IF(ЗапасДляЗайма&gt;=6,'04_Доходы'!AH133,0))</f>
        <v/>
      </c>
      <c r="AC12" s="87">
        <f>SUM(IF(ЗапасДляЗайма&gt;=1,'04_Доходы'!AD133,0),IF(ЗапасДляЗайма&gt;=2,'04_Доходы'!AE133,0),IF(ЗапасДляЗайма&gt;=3,'04_Доходы'!AF133,0),IF(ЗапасДляЗайма&gt;=4,'04_Доходы'!AG133,0),IF(ЗапасДляЗайма&gt;=5,'04_Доходы'!AH133,0),IF(ЗапасДляЗайма&gt;=6,'04_Доходы'!AI133,0))</f>
        <v/>
      </c>
      <c r="AD12" s="87">
        <f>SUM(IF(ЗапасДляЗайма&gt;=1,'04_Доходы'!AE133,0),IF(ЗапасДляЗайма&gt;=2,'04_Доходы'!AF133,0),IF(ЗапасДляЗайма&gt;=3,'04_Доходы'!AG133,0),IF(ЗапасДляЗайма&gt;=4,'04_Доходы'!AH133,0),IF(ЗапасДляЗайма&gt;=5,'04_Доходы'!AI133,0),IF(ЗапасДляЗайма&gt;=6,'04_Доходы'!AJ133,0))</f>
        <v/>
      </c>
      <c r="AE12" s="87">
        <f>SUM(IF(ЗапасДляЗайма&gt;=1,'04_Доходы'!AF133,0),IF(ЗапасДляЗайма&gt;=2,'04_Доходы'!AG133,0),IF(ЗапасДляЗайма&gt;=3,'04_Доходы'!AH133,0),IF(ЗапасДляЗайма&gt;=4,'04_Доходы'!AI133,0),IF(ЗапасДляЗайма&gt;=5,'04_Доходы'!AJ133,0),IF(ЗапасДляЗайма&gt;=6,'04_Доходы'!AK133,0))</f>
        <v/>
      </c>
      <c r="AF12" s="87">
        <f>SUM(IF(ЗапасДляЗайма&gt;=1,'04_Доходы'!AG133,0),IF(ЗапасДляЗайма&gt;=2,'04_Доходы'!AH133,0),IF(ЗапасДляЗайма&gt;=3,'04_Доходы'!AI133,0),IF(ЗапасДляЗайма&gt;=4,'04_Доходы'!AJ133,0),IF(ЗапасДляЗайма&gt;=5,'04_Доходы'!AK133,0),IF(ЗапасДляЗайма&gt;=6,'04_Доходы'!AL133,0))</f>
        <v/>
      </c>
      <c r="AG12" s="87">
        <f>SUM(IF(ЗапасДляЗайма&gt;=1,'04_Доходы'!AH133,0),IF(ЗапасДляЗайма&gt;=2,'04_Доходы'!AI133,0),IF(ЗапасДляЗайма&gt;=3,'04_Доходы'!AJ133,0),IF(ЗапасДляЗайма&gt;=4,'04_Доходы'!AK133,0),IF(ЗапасДляЗайма&gt;=5,'04_Доходы'!AL133,0),IF(ЗапасДляЗайма&gt;=6,'04_Доходы'!AM133,0))</f>
        <v/>
      </c>
      <c r="AH12" s="87">
        <f>SUM(IF(ЗапасДляЗайма&gt;=1,'04_Доходы'!AI133,0),IF(ЗапасДляЗайма&gt;=2,'04_Доходы'!AJ133,0),IF(ЗапасДляЗайма&gt;=3,'04_Доходы'!AK133,0),IF(ЗапасДляЗайма&gt;=4,'04_Доходы'!AL133,0),IF(ЗапасДляЗайма&gt;=5,'04_Доходы'!AM133,0),IF(ЗапасДляЗайма&gt;=6,'04_Доходы'!AN133,0))</f>
        <v/>
      </c>
      <c r="AI12" s="87">
        <f>SUM(IF(ЗапасДляЗайма&gt;=1,'04_Доходы'!AJ133,0),IF(ЗапасДляЗайма&gt;=2,'04_Доходы'!AK133,0),IF(ЗапасДляЗайма&gt;=3,'04_Доходы'!AL133,0),IF(ЗапасДляЗайма&gt;=4,'04_Доходы'!AM133,0),IF(ЗапасДляЗайма&gt;=5,'04_Доходы'!AN133,0),IF(ЗапасДляЗайма&gt;=6,'04_Доходы'!AO133,0))</f>
        <v/>
      </c>
      <c r="AJ12" s="87">
        <f>SUM(IF(ЗапасДляЗайма&gt;=1,'04_Доходы'!AK133,0),IF(ЗапасДляЗайма&gt;=2,'04_Доходы'!AL133,0),IF(ЗапасДляЗайма&gt;=3,'04_Доходы'!AM133,0),IF(ЗапасДляЗайма&gt;=4,'04_Доходы'!AN133,0),IF(ЗапасДляЗайма&gt;=5,'04_Доходы'!AO133,0),IF(ЗапасДляЗайма&gt;=6,'04_Доходы'!AP133,0))</f>
        <v/>
      </c>
      <c r="AK12" s="87">
        <f>SUM(IF(ЗапасДляЗайма&gt;=1,'04_Доходы'!AL133,0),IF(ЗапасДляЗайма&gt;=2,'04_Доходы'!AM133,0),IF(ЗапасДляЗайма&gt;=3,'04_Доходы'!AN133,0),IF(ЗапасДляЗайма&gt;=4,'04_Доходы'!AO133,0),IF(ЗапасДляЗайма&gt;=5,'04_Доходы'!AP133,0),IF(ЗапасДляЗайма&gt;=6,'04_Доходы'!AQ133,0))</f>
        <v/>
      </c>
      <c r="AL12" s="87">
        <f>SUM(IF(ЗапасДляЗайма&gt;=1,'04_Доходы'!AM133,0),IF(ЗапасДляЗайма&gt;=2,'04_Доходы'!AN133,0),IF(ЗапасДляЗайма&gt;=3,'04_Доходы'!AO133,0),IF(ЗапасДляЗайма&gt;=4,'04_Доходы'!AP133,0),IF(ЗапасДляЗайма&gt;=5,'04_Доходы'!AQ133,0),IF(ЗапасДляЗайма&gt;=6,'04_Доходы'!AR133,0))</f>
        <v/>
      </c>
      <c r="AM12" s="87">
        <f>SUM(IF(ЗапасДляЗайма&gt;=1,'04_Доходы'!AN133,0),IF(ЗапасДляЗайма&gt;=2,'04_Доходы'!AO133,0),IF(ЗапасДляЗайма&gt;=3,'04_Доходы'!AP133,0),IF(ЗапасДляЗайма&gt;=4,'04_Доходы'!AQ133,0),IF(ЗапасДляЗайма&gt;=5,'04_Доходы'!AR133,0),IF(ЗапасДляЗайма&gt;=6,'04_Доходы'!AS133,0))</f>
        <v/>
      </c>
      <c r="AN12" s="87">
        <f>SUM(IF(ЗапасДляЗайма&gt;=1,'04_Доходы'!AO133,0),IF(ЗапасДляЗайма&gt;=2,'04_Доходы'!AP133,0),IF(ЗапасДляЗайма&gt;=3,'04_Доходы'!AQ133,0),IF(ЗапасДляЗайма&gt;=4,'04_Доходы'!AR133,0),IF(ЗапасДляЗайма&gt;=5,'04_Доходы'!AS133,0),IF(ЗапасДляЗайма&gt;=6,'04_Доходы'!AT133,0))</f>
        <v/>
      </c>
      <c r="AO12" s="87">
        <f>SUM(IF(ЗапасДляЗайма&gt;=1,'04_Доходы'!AP133,0),IF(ЗапасДляЗайма&gt;=2,'04_Доходы'!AQ133,0),IF(ЗапасДляЗайма&gt;=3,'04_Доходы'!AR133,0),IF(ЗапасДляЗайма&gt;=4,'04_Доходы'!AS133,0),IF(ЗапасДляЗайма&gt;=5,'04_Доходы'!AT133,0),IF(ЗапасДляЗайма&gt;=6,'04_Доходы'!AU133,0))</f>
        <v/>
      </c>
      <c r="AP12" s="87">
        <f>SUM(IF(ЗапасДляЗайма&gt;=1,'04_Доходы'!AQ133,0),IF(ЗапасДляЗайма&gt;=2,'04_Доходы'!AR133,0),IF(ЗапасДляЗайма&gt;=3,'04_Доходы'!AS133,0),IF(ЗапасДляЗайма&gt;=4,'04_Доходы'!AT133,0),IF(ЗапасДляЗайма&gt;=5,'04_Доходы'!AU133,0),IF(ЗапасДляЗайма&gt;=6,'04_Доходы'!AV133,0))</f>
        <v/>
      </c>
      <c r="AQ12" s="87">
        <f>SUM(IF(ЗапасДляЗайма&gt;=1,'04_Доходы'!AR133,0),IF(ЗапасДляЗайма&gt;=2,'04_Доходы'!AS133,0),IF(ЗапасДляЗайма&gt;=3,'04_Доходы'!AT133,0),IF(ЗапасДляЗайма&gt;=4,'04_Доходы'!AU133,0),IF(ЗапасДляЗайма&gt;=5,'04_Доходы'!AV133,0),IF(ЗапасДляЗайма&gt;=6,'04_Доходы'!AW133,0))</f>
        <v/>
      </c>
      <c r="AR12" s="87">
        <f>SUM(IF(ЗапасДляЗайма&gt;=1,'04_Доходы'!AS133,0),IF(ЗапасДляЗайма&gt;=2,'04_Доходы'!AT133,0),IF(ЗапасДляЗайма&gt;=3,'04_Доходы'!AU133,0),IF(ЗапасДляЗайма&gt;=4,'04_Доходы'!AV133,0),IF(ЗапасДляЗайма&gt;=5,'04_Доходы'!AW133,0),IF(ЗапасДляЗайма&gt;=6,'04_Доходы'!AX133,0))</f>
        <v/>
      </c>
      <c r="AS12" s="87">
        <f>SUM(IF(ЗапасДляЗайма&gt;=1,'04_Доходы'!AT133,0),IF(ЗапасДляЗайма&gt;=2,'04_Доходы'!AU133,0),IF(ЗапасДляЗайма&gt;=3,'04_Доходы'!AV133,0),IF(ЗапасДляЗайма&gt;=4,'04_Доходы'!AW133,0),IF(ЗапасДляЗайма&gt;=5,'04_Доходы'!AX133,0),IF(ЗапасДляЗайма&gt;=6,'04_Доходы'!AY133,0))</f>
        <v/>
      </c>
      <c r="AT12" s="87">
        <f>SUM(IF(ЗапасДляЗайма&gt;=1,'04_Доходы'!AU133,0),IF(ЗапасДляЗайма&gt;=2,'04_Доходы'!AV133,0),IF(ЗапасДляЗайма&gt;=3,'04_Доходы'!AW133,0),IF(ЗапасДляЗайма&gt;=4,'04_Доходы'!AX133,0),IF(ЗапасДляЗайма&gt;=5,'04_Доходы'!AY133,0),IF(ЗапасДляЗайма&gt;=6,'04_Доходы'!AZ133,0))</f>
        <v/>
      </c>
      <c r="AU12" s="87">
        <f>SUM(IF(ЗапасДляЗайма&gt;=1,'04_Доходы'!AV133,0),IF(ЗапасДляЗайма&gt;=2,'04_Доходы'!AW133,0),IF(ЗапасДляЗайма&gt;=3,'04_Доходы'!AX133,0),IF(ЗапасДляЗайма&gt;=4,'04_Доходы'!AY133,0),IF(ЗапасДляЗайма&gt;=5,'04_Доходы'!AZ133,0),IF(ЗапасДляЗайма&gt;=6,'04_Доходы'!BA133,0))</f>
        <v/>
      </c>
      <c r="AV12" s="87">
        <f>SUM(IF(ЗапасДляЗайма&gt;=1,'04_Доходы'!AW133,0),IF(ЗапасДляЗайма&gt;=2,'04_Доходы'!AX133,0),IF(ЗапасДляЗайма&gt;=3,'04_Доходы'!AY133,0),IF(ЗапасДляЗайма&gt;=4,'04_Доходы'!AZ133,0),IF(ЗапасДляЗайма&gt;=5,'04_Доходы'!BA133,0),IF(ЗапасДляЗайма&gt;=6,'04_Доходы'!BB133,0))</f>
        <v/>
      </c>
      <c r="AW12" s="87">
        <f>SUM(IF(ЗапасДляЗайма&gt;=1,'04_Доходы'!AX133,0),IF(ЗапасДляЗайма&gt;=2,'04_Доходы'!AY133,0),IF(ЗапасДляЗайма&gt;=3,'04_Доходы'!AZ133,0),IF(ЗапасДляЗайма&gt;=4,'04_Доходы'!BA133,0),IF(ЗапасДляЗайма&gt;=5,'04_Доходы'!BB133,0),IF(ЗапасДляЗайма&gt;=6,'04_Доходы'!BC133,0))</f>
        <v/>
      </c>
      <c r="AX12" s="87">
        <f>SUM(IF(ЗапасДляЗайма&gt;=1,'04_Доходы'!AY133,0),IF(ЗапасДляЗайма&gt;=2,'04_Доходы'!AZ133,0),IF(ЗапасДляЗайма&gt;=3,'04_Доходы'!BA133,0),IF(ЗапасДляЗайма&gt;=4,'04_Доходы'!BB133,0),IF(ЗапасДляЗайма&gt;=5,'04_Доходы'!BC133,0),IF(ЗапасДляЗайма&gt;=6,'04_Доходы'!BD133,0))</f>
        <v/>
      </c>
      <c r="AY12" s="87">
        <f>SUM(IF(ЗапасДляЗайма&gt;=1,'04_Доходы'!AZ133,0),IF(ЗапасДляЗайма&gt;=2,'04_Доходы'!BA133,0),IF(ЗапасДляЗайма&gt;=3,'04_Доходы'!BB133,0),IF(ЗапасДляЗайма&gt;=4,'04_Доходы'!BC133,0),IF(ЗапасДляЗайма&gt;=5,'04_Доходы'!BD133,0),IF(ЗапасДляЗайма&gt;=6,'04_Доходы'!BE133,0))</f>
        <v/>
      </c>
      <c r="AZ12" s="87">
        <f>SUM(IF(ЗапасДляЗайма&gt;=1,'04_Доходы'!BA133,0),IF(ЗапасДляЗайма&gt;=2,'04_Доходы'!BB133,0),IF(ЗапасДляЗайма&gt;=3,'04_Доходы'!BC133,0),IF(ЗапасДляЗайма&gt;=4,'04_Доходы'!BD133,0),IF(ЗапасДляЗайма&gt;=5,'04_Доходы'!BE133,0),IF(ЗапасДляЗайма&gt;=6,'04_Доходы'!BF133,0))</f>
        <v/>
      </c>
      <c r="BA12" s="87">
        <f>SUM(IF(ЗапасДляЗайма&gt;=1,'04_Доходы'!BB133,0),IF(ЗапасДляЗайма&gt;=2,'04_Доходы'!BC133,0),IF(ЗапасДляЗайма&gt;=3,'04_Доходы'!BD133,0),IF(ЗапасДляЗайма&gt;=4,'04_Доходы'!BE133,0),IF(ЗапасДляЗайма&gt;=5,'04_Доходы'!BF133,0),IF(ЗапасДляЗайма&gt;=6,'04_Доходы'!BG133,0))</f>
        <v/>
      </c>
      <c r="BB12" s="87">
        <f>SUM(IF(ЗапасДляЗайма&gt;=1,'04_Доходы'!BC133,0),IF(ЗапасДляЗайма&gt;=2,'04_Доходы'!BD133,0),IF(ЗапасДляЗайма&gt;=3,'04_Доходы'!BE133,0),IF(ЗапасДляЗайма&gt;=4,'04_Доходы'!BF133,0),IF(ЗапасДляЗайма&gt;=5,'04_Доходы'!BG133,0),IF(ЗапасДляЗайма&gt;=6,'04_Доходы'!BH133,0))</f>
        <v/>
      </c>
      <c r="BC12" s="87">
        <f>SUM(IF(ЗапасДляЗайма&gt;=1,'04_Доходы'!BD133,0),IF(ЗапасДляЗайма&gt;=2,'04_Доходы'!BE133,0),IF(ЗапасДляЗайма&gt;=3,'04_Доходы'!BF133,0),IF(ЗапасДляЗайма&gt;=4,'04_Доходы'!BG133,0),IF(ЗапасДляЗайма&gt;=5,'04_Доходы'!BH133,0),IF(ЗапасДляЗайма&gt;=6,'04_Доходы'!BI133,0))</f>
        <v/>
      </c>
      <c r="BD12" s="87">
        <f>SUM(IF(ЗапасДляЗайма&gt;=1,'04_Доходы'!BE133,0),IF(ЗапасДляЗайма&gt;=2,'04_Доходы'!BF133,0),IF(ЗапасДляЗайма&gt;=3,'04_Доходы'!BG133,0),IF(ЗапасДляЗайма&gt;=4,'04_Доходы'!BH133,0),IF(ЗапасДляЗайма&gt;=5,'04_Доходы'!BI133,0),IF(ЗапасДляЗайма&gt;=6,'04_Доходы'!BJ133,0))</f>
        <v/>
      </c>
      <c r="BE12" s="87">
        <f>SUM(IF(ЗапасДляЗайма&gt;=1,'04_Доходы'!BF133,0),IF(ЗапасДляЗайма&gt;=2,'04_Доходы'!BG133,0),IF(ЗапасДляЗайма&gt;=3,'04_Доходы'!BH133,0),IF(ЗапасДляЗайма&gt;=4,'04_Доходы'!BI133,0),IF(ЗапасДляЗайма&gt;=5,'04_Доходы'!BJ133,0),IF(ЗапасДляЗайма&gt;=6,'04_Доходы'!BK133,0))</f>
        <v/>
      </c>
      <c r="BF12" s="87">
        <f>SUM(IF(ЗапасДляЗайма&gt;=1,'04_Доходы'!BG133,0),IF(ЗапасДляЗайма&gt;=2,'04_Доходы'!BH133,0),IF(ЗапасДляЗайма&gt;=3,'04_Доходы'!BI133,0),IF(ЗапасДляЗайма&gt;=4,'04_Доходы'!BJ133,0),IF(ЗапасДляЗайма&gt;=5,'04_Доходы'!BK133,0),IF(ЗапасДляЗайма&gt;=6,'04_Доходы'!BL133,0))</f>
        <v/>
      </c>
      <c r="BG12" s="87">
        <f>SUM(IF(ЗапасДляЗайма&gt;=1,'04_Доходы'!BH133,0),IF(ЗапасДляЗайма&gt;=2,'04_Доходы'!BI133,0),IF(ЗапасДляЗайма&gt;=3,'04_Доходы'!BJ133,0),IF(ЗапасДляЗайма&gt;=4,'04_Доходы'!BK133,0),IF(ЗапасДляЗайма&gt;=5,'04_Доходы'!BL133,0),IF(ЗапасДляЗайма&gt;=6,'04_Доходы'!BM133,0))</f>
        <v/>
      </c>
      <c r="BH12" s="87">
        <f>SUM(IF(ЗапасДляЗайма&gt;=1,'04_Доходы'!BI133,0),IF(ЗапасДляЗайма&gt;=2,'04_Доходы'!BJ133,0),IF(ЗапасДляЗайма&gt;=3,'04_Доходы'!BK133,0),IF(ЗапасДляЗайма&gt;=4,'04_Доходы'!BL133,0),IF(ЗапасДляЗайма&gt;=5,'04_Доходы'!BM133,0),IF(ЗапасДляЗайма&gt;=6,'04_Доходы'!BN133,0))</f>
        <v/>
      </c>
      <c r="BI12" s="87">
        <f>SUM(IF(ЗапасДляЗайма&gt;=1,'04_Доходы'!BJ133,0),IF(ЗапасДляЗайма&gt;=2,'04_Доходы'!BK133,0),IF(ЗапасДляЗайма&gt;=3,'04_Доходы'!BL133,0),IF(ЗапасДляЗайма&gt;=4,'04_Доходы'!BM133,0),IF(ЗапасДляЗайма&gt;=5,'04_Доходы'!BN133,0),IF(ЗапасДляЗайма&gt;=6,'04_Доходы'!BO133,0))</f>
        <v/>
      </c>
      <c r="BJ12" s="87">
        <f>SUM(IF(ЗапасДляЗайма&gt;=1,'04_Доходы'!BK133,0),IF(ЗапасДляЗайма&gt;=2,'04_Доходы'!BL133,0),IF(ЗапасДляЗайма&gt;=3,'04_Доходы'!BM133,0),IF(ЗапасДляЗайма&gt;=4,'04_Доходы'!BN133,0),IF(ЗапасДляЗайма&gt;=5,'04_Доходы'!BO133,0),IF(ЗапасДляЗайма&gt;=6,'04_Доходы'!BP133,0))</f>
        <v/>
      </c>
      <c r="BK12" s="87">
        <f>SUM(IF(ЗапасДляЗайма&gt;=1,'04_Доходы'!BL133,0),IF(ЗапасДляЗайма&gt;=2,'04_Доходы'!BM133,0),IF(ЗапасДляЗайма&gt;=3,'04_Доходы'!BN133,0),IF(ЗапасДляЗайма&gt;=4,'04_Доходы'!BO133,0),IF(ЗапасДляЗайма&gt;=5,'04_Доходы'!BP133,0),IF(ЗапасДляЗайма&gt;=6,'04_Доходы'!BQ133,0))</f>
        <v/>
      </c>
      <c r="BL12" s="87">
        <f>SUM(IF(ЗапасДляЗайма&gt;=1,'04_Доходы'!BM133,0),IF(ЗапасДляЗайма&gt;=2,'04_Доходы'!BN133,0),IF(ЗапасДляЗайма&gt;=3,'04_Доходы'!BO133,0),IF(ЗапасДляЗайма&gt;=4,'04_Доходы'!BP133,0),IF(ЗапасДляЗайма&gt;=5,'04_Доходы'!BQ133,0),IF(ЗапасДляЗайма&gt;=6,'04_Доходы'!BR133,0))</f>
        <v/>
      </c>
      <c r="BM12" s="87">
        <f>SUM(IF(ЗапасДляЗайма&gt;=1,'04_Доходы'!BN133,0),IF(ЗапасДляЗайма&gt;=2,'04_Доходы'!BO133,0),IF(ЗапасДляЗайма&gt;=3,'04_Доходы'!BP133,0),IF(ЗапасДляЗайма&gt;=4,'04_Доходы'!BQ133,0),IF(ЗапасДляЗайма&gt;=5,'04_Доходы'!BR133,0),IF(ЗапасДляЗайма&gt;=6,'04_Доходы'!BS133,0))</f>
        <v/>
      </c>
      <c r="BN12" s="87">
        <f>SUM(IF(ЗапасДляЗайма&gt;=1,'04_Доходы'!BO133,0),IF(ЗапасДляЗайма&gt;=2,'04_Доходы'!BP133,0),IF(ЗапасДляЗайма&gt;=3,'04_Доходы'!BQ133,0),IF(ЗапасДляЗайма&gt;=4,'04_Доходы'!BR133,0),IF(ЗапасДляЗайма&gt;=5,'04_Доходы'!BS133,0),IF(ЗапасДляЗайма&gt;=6,'04_Доходы'!BT133,0))</f>
        <v/>
      </c>
      <c r="BO12" s="87">
        <f>SUM(IF(ЗапасДляЗайма&gt;=1,'04_Доходы'!BP133,0),IF(ЗапасДляЗайма&gt;=2,'04_Доходы'!BQ133,0),IF(ЗапасДляЗайма&gt;=3,'04_Доходы'!BR133,0),IF(ЗапасДляЗайма&gt;=4,'04_Доходы'!BS133,0),IF(ЗапасДляЗайма&gt;=5,'04_Доходы'!BT133,0),IF(ЗапасДляЗайма&gt;=6,'04_Доходы'!BU133,0))</f>
        <v/>
      </c>
      <c r="BP12" s="87">
        <f>SUM(IF(ЗапасДляЗайма&gt;=1,'04_Доходы'!BQ133,0),IF(ЗапасДляЗайма&gt;=2,'04_Доходы'!BR133,0),IF(ЗапасДляЗайма&gt;=3,'04_Доходы'!BS133,0),IF(ЗапасДляЗайма&gt;=4,'04_Доходы'!BT133,0),IF(ЗапасДляЗайма&gt;=5,'04_Доходы'!BU133,0),IF(ЗапасДляЗайма&gt;=6,'04_Доходы'!BV133,0))</f>
        <v/>
      </c>
      <c r="BQ12" s="87">
        <f>SUM(IF(ЗапасДляЗайма&gt;=1,'04_Доходы'!BR133,0),IF(ЗапасДляЗайма&gt;=2,'04_Доходы'!BS133,0),IF(ЗапасДляЗайма&gt;=3,'04_Доходы'!BT133,0),IF(ЗапасДляЗайма&gt;=4,'04_Доходы'!BU133,0),IF(ЗапасДляЗайма&gt;=5,'04_Доходы'!BV133,0),IF(ЗапасДляЗайма&gt;=6,'04_Доходы'!BW133,0))</f>
        <v/>
      </c>
      <c r="BR12" s="87">
        <f>SUM(IF(ЗапасДляЗайма&gt;=1,'04_Доходы'!BS133,0),IF(ЗапасДляЗайма&gt;=2,'04_Доходы'!BT133,0),IF(ЗапасДляЗайма&gt;=3,'04_Доходы'!BU133,0),IF(ЗапасДляЗайма&gt;=4,'04_Доходы'!BV133,0),IF(ЗапасДляЗайма&gt;=5,'04_Доходы'!BW133,0),IF(ЗапасДляЗайма&gt;=6,'04_Доходы'!BX133,0))</f>
        <v/>
      </c>
      <c r="BS12" s="87">
        <f>SUM(IF(ЗапасДляЗайма&gt;=1,'04_Доходы'!BT133,0),IF(ЗапасДляЗайма&gt;=2,'04_Доходы'!BU133,0),IF(ЗапасДляЗайма&gt;=3,'04_Доходы'!BV133,0),IF(ЗапасДляЗайма&gt;=4,'04_Доходы'!BW133,0),IF(ЗапасДляЗайма&gt;=5,'04_Доходы'!BX133,0),IF(ЗапасДляЗайма&gt;=6,'04_Доходы'!BY133,0))</f>
        <v/>
      </c>
      <c r="BT12" s="87">
        <f>SUM(IF(ЗапасДляЗайма&gt;=1,'04_Доходы'!BU133,0),IF(ЗапасДляЗайма&gt;=2,'04_Доходы'!BV133,0),IF(ЗапасДляЗайма&gt;=3,'04_Доходы'!BW133,0),IF(ЗапасДляЗайма&gt;=4,'04_Доходы'!BX133,0),IF(ЗапасДляЗайма&gt;=5,'04_Доходы'!BY133,0),IF(ЗапасДляЗайма&gt;=6,'04_Доходы'!BY133,0))</f>
        <v/>
      </c>
      <c r="BU12" s="87">
        <f>SUM(IF(ЗапасДляЗайма&gt;=1,'04_Доходы'!BV133,0),IF(ЗапасДляЗайма&gt;=2,'04_Доходы'!BW133,0),IF(ЗапасДляЗайма&gt;=3,'04_Доходы'!BX133,0),IF(ЗапасДляЗайма&gt;=4,'04_Доходы'!BY133,0),IF(ЗапасДляЗайма&gt;=5,'04_Доходы'!BY133,0),IF(ЗапасДляЗайма&gt;=6,'04_Доходы'!BY133,0))</f>
        <v/>
      </c>
      <c r="BV12" s="87">
        <f>SUM(IF(ЗапасДляЗайма&gt;=1,'04_Доходы'!BW133,0),IF(ЗапасДляЗайма&gt;=2,'04_Доходы'!BX133,0),IF(ЗапасДляЗайма&gt;=3,'04_Доходы'!BY133,0),IF(ЗапасДляЗайма&gt;=4,'04_Доходы'!BY133,0),IF(ЗапасДляЗайма&gt;=5,'04_Доходы'!BY133,0),IF(ЗапасДляЗайма&gt;=6,'04_Доходы'!BY133,0))</f>
        <v/>
      </c>
      <c r="BW12" s="87">
        <f>SUM(IF(ЗапасДляЗайма&gt;=1,'04_Доходы'!BX133,0),IF(ЗапасДляЗайма&gt;=2,'04_Доходы'!BY133,0),IF(ЗапасДляЗайма&gt;=3,'04_Доходы'!BY133,0),IF(ЗапасДляЗайма&gt;=4,'04_Доходы'!BY133,0),IF(ЗапасДляЗайма&gt;=5,'04_Доходы'!BY133,0),IF(ЗапасДляЗайма&gt;=6,'04_Доходы'!BY133,0))</f>
        <v/>
      </c>
      <c r="BX12" s="87">
        <f>SUM(IF(ЗапасДляЗайма&gt;=1,'04_Доходы'!BY133,0),IF(ЗапасДляЗайма&gt;=2,'04_Доходы'!BY133,0),IF(ЗапасДляЗайма&gt;=3,'04_Доходы'!BY133,0),IF(ЗапасДляЗайма&gt;=4,'04_Доходы'!BY133,0),IF(ЗапасДляЗайма&gt;=5,'04_Доходы'!BY133,0),IF(ЗапасДляЗайма&gt;=6,'04_Доходы'!BY133,0))</f>
        <v/>
      </c>
      <c r="BY12" s="87">
        <f>SUM(IF(ЗапасДляЗайма&gt;=1,'04_Доходы'!BY133,0),IF(ЗапасДляЗайма&gt;=2,'04_Доходы'!BY133,0),IF(ЗапасДляЗайма&gt;=3,'04_Доходы'!BY133,0),IF(ЗапасДляЗайма&gt;=4,'04_Доходы'!BY133,0),IF(ЗапасДляЗайма&gt;=5,'04_Доходы'!BY133,0),IF(ЗапасДляЗайма&gt;=6,'04_Доходы'!BY133,0))</f>
        <v/>
      </c>
    </row>
    <row r="13">
      <c r="B13" s="56" t="inlineStr">
        <is>
          <t>Просадка впереди (резерв на будущие месяцы)</t>
        </is>
      </c>
      <c r="C13" s="56" t="inlineStr">
        <is>
          <t>₽</t>
        </is>
      </c>
      <c r="D13" s="57" t="inlineStr">
        <is>
          <t>Сколько нужно придержать, чтобы пережить ближайшие убыточные месяцы, не опустившись ниже порога Внутренняя механика расчёта: годового итога у этой строки нет, смотрите итоговые строки блока ниже.</t>
        </is>
      </c>
      <c r="E13" s="58" t="n"/>
      <c r="F13" s="58" t="n"/>
      <c r="G13" s="58" t="n"/>
      <c r="H13" s="58" t="n"/>
      <c r="I13" s="58" t="n"/>
      <c r="L13" s="87">
        <f>MAX(0,M13-'02_Результат'!M55)</f>
        <v/>
      </c>
      <c r="M13" s="87">
        <f>MAX(0,N13-'02_Результат'!N55)</f>
        <v/>
      </c>
      <c r="N13" s="87">
        <f>MAX(0,O13-'02_Результат'!O55)</f>
        <v/>
      </c>
      <c r="O13" s="87">
        <f>MAX(0,P13-'02_Результат'!P55)</f>
        <v/>
      </c>
      <c r="P13" s="87">
        <f>MAX(0,Q13-'02_Результат'!Q55)</f>
        <v/>
      </c>
      <c r="Q13" s="87">
        <f>MAX(0,R13-'02_Результат'!R55)</f>
        <v/>
      </c>
      <c r="R13" s="87">
        <f>MAX(0,S13-'02_Результат'!S55)</f>
        <v/>
      </c>
      <c r="S13" s="87">
        <f>MAX(0,T13-'02_Результат'!T55)</f>
        <v/>
      </c>
      <c r="T13" s="87">
        <f>MAX(0,U13-'02_Результат'!U55)</f>
        <v/>
      </c>
      <c r="U13" s="87">
        <f>MAX(0,V13-'02_Результат'!V55)</f>
        <v/>
      </c>
      <c r="V13" s="87">
        <f>MAX(0,W13-'02_Результат'!W55)</f>
        <v/>
      </c>
      <c r="W13" s="87">
        <f>MAX(0,X13-'02_Результат'!X55)</f>
        <v/>
      </c>
      <c r="X13" s="87">
        <f>MAX(0,Y13-'02_Результат'!Y55)</f>
        <v/>
      </c>
      <c r="Y13" s="87">
        <f>MAX(0,Z13-'02_Результат'!Z55)</f>
        <v/>
      </c>
      <c r="Z13" s="87">
        <f>MAX(0,AA13-'02_Результат'!AA55)</f>
        <v/>
      </c>
      <c r="AA13" s="87">
        <f>MAX(0,AB13-'02_Результат'!AB55)</f>
        <v/>
      </c>
      <c r="AB13" s="87">
        <f>MAX(0,AC13-'02_Результат'!AC55)</f>
        <v/>
      </c>
      <c r="AC13" s="87">
        <f>MAX(0,AD13-'02_Результат'!AD55)</f>
        <v/>
      </c>
      <c r="AD13" s="87">
        <f>MAX(0,AE13-'02_Результат'!AE55)</f>
        <v/>
      </c>
      <c r="AE13" s="87">
        <f>MAX(0,AF13-'02_Результат'!AF55)</f>
        <v/>
      </c>
      <c r="AF13" s="87">
        <f>MAX(0,AG13-'02_Результат'!AG55)</f>
        <v/>
      </c>
      <c r="AG13" s="87">
        <f>MAX(0,AH13-'02_Результат'!AH55)</f>
        <v/>
      </c>
      <c r="AH13" s="87">
        <f>MAX(0,AI13-'02_Результат'!AI55)</f>
        <v/>
      </c>
      <c r="AI13" s="87">
        <f>MAX(0,AJ13-'02_Результат'!AJ55)</f>
        <v/>
      </c>
      <c r="AJ13" s="87">
        <f>MAX(0,AK13-'02_Результат'!AK55)</f>
        <v/>
      </c>
      <c r="AK13" s="87">
        <f>MAX(0,AL13-'02_Результат'!AL55)</f>
        <v/>
      </c>
      <c r="AL13" s="87">
        <f>MAX(0,AM13-'02_Результат'!AM55)</f>
        <v/>
      </c>
      <c r="AM13" s="87">
        <f>MAX(0,AN13-'02_Результат'!AN55)</f>
        <v/>
      </c>
      <c r="AN13" s="87">
        <f>MAX(0,AO13-'02_Результат'!AO55)</f>
        <v/>
      </c>
      <c r="AO13" s="87">
        <f>MAX(0,AP13-'02_Результат'!AP55)</f>
        <v/>
      </c>
      <c r="AP13" s="87">
        <f>MAX(0,AQ13-'02_Результат'!AQ55)</f>
        <v/>
      </c>
      <c r="AQ13" s="87">
        <f>MAX(0,AR13-'02_Результат'!AR55)</f>
        <v/>
      </c>
      <c r="AR13" s="87">
        <f>MAX(0,AS13-'02_Результат'!AS55)</f>
        <v/>
      </c>
      <c r="AS13" s="87">
        <f>MAX(0,AT13-'02_Результат'!AT55)</f>
        <v/>
      </c>
      <c r="AT13" s="87">
        <f>MAX(0,AU13-'02_Результат'!AU55)</f>
        <v/>
      </c>
      <c r="AU13" s="87">
        <f>MAX(0,AV13-'02_Результат'!AV55)</f>
        <v/>
      </c>
      <c r="AV13" s="87">
        <f>MAX(0,AW13-'02_Результат'!AW55)</f>
        <v/>
      </c>
      <c r="AW13" s="87">
        <f>MAX(0,AX13-'02_Результат'!AX55)</f>
        <v/>
      </c>
      <c r="AX13" s="87">
        <f>MAX(0,AY13-'02_Результат'!AY55)</f>
        <v/>
      </c>
      <c r="AY13" s="87">
        <f>MAX(0,AZ13-'02_Результат'!AZ55)</f>
        <v/>
      </c>
      <c r="AZ13" s="87">
        <f>MAX(0,BA13-'02_Результат'!BA55)</f>
        <v/>
      </c>
      <c r="BA13" s="87">
        <f>MAX(0,BB13-'02_Результат'!BB55)</f>
        <v/>
      </c>
      <c r="BB13" s="87">
        <f>MAX(0,BC13-'02_Результат'!BC55)</f>
        <v/>
      </c>
      <c r="BC13" s="87">
        <f>MAX(0,BD13-'02_Результат'!BD55)</f>
        <v/>
      </c>
      <c r="BD13" s="87">
        <f>MAX(0,BE13-'02_Результат'!BE55)</f>
        <v/>
      </c>
      <c r="BE13" s="87">
        <f>MAX(0,BF13-'02_Результат'!BF55)</f>
        <v/>
      </c>
      <c r="BF13" s="87">
        <f>MAX(0,BG13-'02_Результат'!BG55)</f>
        <v/>
      </c>
      <c r="BG13" s="87">
        <f>MAX(0,BH13-'02_Результат'!BH55)</f>
        <v/>
      </c>
      <c r="BH13" s="87">
        <f>MAX(0,BI13-'02_Результат'!BI55)</f>
        <v/>
      </c>
      <c r="BI13" s="87">
        <f>MAX(0,BJ13-'02_Результат'!BJ55)</f>
        <v/>
      </c>
      <c r="BJ13" s="87">
        <f>MAX(0,BK13-'02_Результат'!BK55)</f>
        <v/>
      </c>
      <c r="BK13" s="87">
        <f>MAX(0,BL13-'02_Результат'!BL55)</f>
        <v/>
      </c>
      <c r="BL13" s="87">
        <f>MAX(0,BM13-'02_Результат'!BM55)</f>
        <v/>
      </c>
      <c r="BM13" s="87">
        <f>MAX(0,BN13-'02_Результат'!BN55)</f>
        <v/>
      </c>
      <c r="BN13" s="87">
        <f>MAX(0,BO13-'02_Результат'!BO55)</f>
        <v/>
      </c>
      <c r="BO13" s="87">
        <f>MAX(0,BP13-'02_Результат'!BP55)</f>
        <v/>
      </c>
      <c r="BP13" s="87">
        <f>MAX(0,BQ13-'02_Результат'!BQ55)</f>
        <v/>
      </c>
      <c r="BQ13" s="87">
        <f>MAX(0,BR13-'02_Результат'!BR55)</f>
        <v/>
      </c>
      <c r="BR13" s="87">
        <f>MAX(0,BS13-'02_Результат'!BS55)</f>
        <v/>
      </c>
      <c r="BS13" s="87">
        <f>MAX(0,BT13-'02_Результат'!BT55)</f>
        <v/>
      </c>
      <c r="BT13" s="87">
        <f>MAX(0,BU13-'02_Результат'!BU55)</f>
        <v/>
      </c>
      <c r="BU13" s="87">
        <f>MAX(0,BV13-'02_Результат'!BV55)</f>
        <v/>
      </c>
      <c r="BV13" s="87">
        <f>MAX(0,BW13-'02_Результат'!BW55)</f>
        <v/>
      </c>
      <c r="BW13" s="87">
        <f>MAX(0,BX13-'02_Результат'!BX55)</f>
        <v/>
      </c>
      <c r="BX13" s="87">
        <f>MAX(0,BY13-'02_Результат'!BY55)</f>
        <v/>
      </c>
      <c r="BY13" s="87" t="n">
        <v>0</v>
      </c>
    </row>
    <row r="15">
      <c r="B15" s="54" t="inlineStr">
        <is>
          <t>Займ на мерч</t>
        </is>
      </c>
      <c r="C15" s="55" t="n"/>
      <c r="D15" s="55" t="n"/>
      <c r="E15" s="55" t="n"/>
      <c r="F15" s="55" t="n"/>
      <c r="G15" s="55" t="n"/>
      <c r="H15" s="55" t="n"/>
      <c r="I15" s="55" t="n"/>
      <c r="J15" s="55" t="n"/>
      <c r="K15" s="55" t="n"/>
      <c r="L15" s="55" t="n"/>
      <c r="M15" s="55" t="n"/>
      <c r="N15" s="55" t="n"/>
      <c r="O15" s="55" t="n"/>
      <c r="P15" s="55" t="n"/>
      <c r="Q15" s="55" t="n"/>
      <c r="R15" s="55" t="n"/>
      <c r="S15" s="55" t="n"/>
      <c r="T15" s="55" t="n"/>
      <c r="U15" s="55" t="n"/>
      <c r="V15" s="55" t="n"/>
      <c r="W15" s="55" t="n"/>
      <c r="X15" s="55" t="n"/>
      <c r="Y15" s="55" t="n"/>
      <c r="Z15" s="55" t="n"/>
      <c r="AA15" s="55" t="n"/>
      <c r="AB15" s="55" t="n"/>
      <c r="AC15" s="55" t="n"/>
      <c r="AD15" s="55" t="n"/>
      <c r="AE15" s="55" t="n"/>
      <c r="AF15" s="55" t="n"/>
      <c r="AG15" s="55" t="n"/>
      <c r="AH15" s="55" t="n"/>
      <c r="AI15" s="55" t="n"/>
      <c r="AJ15" s="55" t="n"/>
      <c r="AK15" s="55" t="n"/>
      <c r="AL15" s="55" t="n"/>
      <c r="AM15" s="55" t="n"/>
      <c r="AN15" s="55" t="n"/>
      <c r="AO15" s="55" t="n"/>
      <c r="AP15" s="55" t="n"/>
      <c r="AQ15" s="55" t="n"/>
      <c r="AR15" s="55" t="n"/>
      <c r="AS15" s="55" t="n"/>
      <c r="AT15" s="55" t="n"/>
      <c r="AU15" s="55" t="n"/>
      <c r="AV15" s="55" t="n"/>
      <c r="AW15" s="55" t="n"/>
      <c r="AX15" s="55" t="n"/>
      <c r="AY15" s="55" t="n"/>
      <c r="AZ15" s="55" t="n"/>
      <c r="BA15" s="55" t="n"/>
      <c r="BB15" s="55" t="n"/>
      <c r="BC15" s="55" t="n"/>
      <c r="BD15" s="55" t="n"/>
      <c r="BE15" s="55" t="n"/>
      <c r="BF15" s="55" t="n"/>
      <c r="BG15" s="55" t="n"/>
      <c r="BH15" s="55" t="n"/>
      <c r="BI15" s="55" t="n"/>
      <c r="BJ15" s="55" t="n"/>
      <c r="BK15" s="55" t="n"/>
      <c r="BL15" s="55" t="n"/>
      <c r="BM15" s="55" t="n"/>
      <c r="BN15" s="55" t="n"/>
      <c r="BO15" s="55" t="n"/>
      <c r="BP15" s="55" t="n"/>
      <c r="BQ15" s="55" t="n"/>
      <c r="BR15" s="55" t="n"/>
      <c r="BS15" s="55" t="n"/>
      <c r="BT15" s="55" t="n"/>
      <c r="BU15" s="55" t="n"/>
      <c r="BV15" s="55" t="n"/>
      <c r="BW15" s="55" t="n"/>
      <c r="BX15" s="55" t="n"/>
      <c r="BY15" s="55" t="n"/>
    </row>
    <row r="16">
      <c r="B16" s="56" t="inlineStr">
        <is>
          <t>Займ на начало</t>
        </is>
      </c>
      <c r="C16" s="56" t="inlineStr">
        <is>
          <t>₽</t>
        </is>
      </c>
      <c r="D16" s="57" t="inlineStr">
        <is>
          <t>В колонках лет — значение на конец года, в «Итого» — на конец пятого года. Это остаток, а не сумма.</t>
        </is>
      </c>
      <c r="E16" s="85">
        <f>W16</f>
        <v/>
      </c>
      <c r="F16" s="85">
        <f>AI16</f>
        <v/>
      </c>
      <c r="G16" s="85">
        <f>AU16</f>
        <v/>
      </c>
      <c r="H16" s="85">
        <f>BG16</f>
        <v/>
      </c>
      <c r="I16" s="85">
        <f>BS16</f>
        <v/>
      </c>
      <c r="J16" s="86">
        <f>BS16</f>
        <v/>
      </c>
      <c r="L16" s="87">
        <f>ЗаймСтарт</f>
        <v/>
      </c>
      <c r="M16" s="87">
        <f>L19</f>
        <v/>
      </c>
      <c r="N16" s="87">
        <f>M19</f>
        <v/>
      </c>
      <c r="O16" s="87">
        <f>N19</f>
        <v/>
      </c>
      <c r="P16" s="87">
        <f>O19</f>
        <v/>
      </c>
      <c r="Q16" s="87">
        <f>P19</f>
        <v/>
      </c>
      <c r="R16" s="87">
        <f>Q19</f>
        <v/>
      </c>
      <c r="S16" s="87">
        <f>R19</f>
        <v/>
      </c>
      <c r="T16" s="87">
        <f>S19</f>
        <v/>
      </c>
      <c r="U16" s="87">
        <f>T19</f>
        <v/>
      </c>
      <c r="V16" s="87">
        <f>U19</f>
        <v/>
      </c>
      <c r="W16" s="87">
        <f>V19</f>
        <v/>
      </c>
      <c r="X16" s="87">
        <f>W19</f>
        <v/>
      </c>
      <c r="Y16" s="87">
        <f>X19</f>
        <v/>
      </c>
      <c r="Z16" s="87">
        <f>Y19</f>
        <v/>
      </c>
      <c r="AA16" s="87">
        <f>Z19</f>
        <v/>
      </c>
      <c r="AB16" s="87">
        <f>AA19</f>
        <v/>
      </c>
      <c r="AC16" s="87">
        <f>AB19</f>
        <v/>
      </c>
      <c r="AD16" s="87">
        <f>AC19</f>
        <v/>
      </c>
      <c r="AE16" s="87">
        <f>AD19</f>
        <v/>
      </c>
      <c r="AF16" s="87">
        <f>AE19</f>
        <v/>
      </c>
      <c r="AG16" s="87">
        <f>AF19</f>
        <v/>
      </c>
      <c r="AH16" s="87">
        <f>AG19</f>
        <v/>
      </c>
      <c r="AI16" s="87">
        <f>AH19</f>
        <v/>
      </c>
      <c r="AJ16" s="87">
        <f>AI19</f>
        <v/>
      </c>
      <c r="AK16" s="87">
        <f>AJ19</f>
        <v/>
      </c>
      <c r="AL16" s="87">
        <f>AK19</f>
        <v/>
      </c>
      <c r="AM16" s="87">
        <f>AL19</f>
        <v/>
      </c>
      <c r="AN16" s="87">
        <f>AM19</f>
        <v/>
      </c>
      <c r="AO16" s="87">
        <f>AN19</f>
        <v/>
      </c>
      <c r="AP16" s="87">
        <f>AO19</f>
        <v/>
      </c>
      <c r="AQ16" s="87">
        <f>AP19</f>
        <v/>
      </c>
      <c r="AR16" s="87">
        <f>AQ19</f>
        <v/>
      </c>
      <c r="AS16" s="87">
        <f>AR19</f>
        <v/>
      </c>
      <c r="AT16" s="87">
        <f>AS19</f>
        <v/>
      </c>
      <c r="AU16" s="87">
        <f>AT19</f>
        <v/>
      </c>
      <c r="AV16" s="87">
        <f>AU19</f>
        <v/>
      </c>
      <c r="AW16" s="87">
        <f>AV19</f>
        <v/>
      </c>
      <c r="AX16" s="87">
        <f>AW19</f>
        <v/>
      </c>
      <c r="AY16" s="87">
        <f>AX19</f>
        <v/>
      </c>
      <c r="AZ16" s="87">
        <f>AY19</f>
        <v/>
      </c>
      <c r="BA16" s="87">
        <f>AZ19</f>
        <v/>
      </c>
      <c r="BB16" s="87">
        <f>BA19</f>
        <v/>
      </c>
      <c r="BC16" s="87">
        <f>BB19</f>
        <v/>
      </c>
      <c r="BD16" s="87">
        <f>BC19</f>
        <v/>
      </c>
      <c r="BE16" s="87">
        <f>BD19</f>
        <v/>
      </c>
      <c r="BF16" s="87">
        <f>BE19</f>
        <v/>
      </c>
      <c r="BG16" s="87">
        <f>BF19</f>
        <v/>
      </c>
      <c r="BH16" s="87">
        <f>BG19</f>
        <v/>
      </c>
      <c r="BI16" s="87">
        <f>BH19</f>
        <v/>
      </c>
      <c r="BJ16" s="87">
        <f>BI19</f>
        <v/>
      </c>
      <c r="BK16" s="87">
        <f>BJ19</f>
        <v/>
      </c>
      <c r="BL16" s="87">
        <f>BK19</f>
        <v/>
      </c>
      <c r="BM16" s="87">
        <f>BL19</f>
        <v/>
      </c>
      <c r="BN16" s="87">
        <f>BM19</f>
        <v/>
      </c>
      <c r="BO16" s="87">
        <f>BN19</f>
        <v/>
      </c>
      <c r="BP16" s="87">
        <f>BO19</f>
        <v/>
      </c>
      <c r="BQ16" s="87">
        <f>BP19</f>
        <v/>
      </c>
      <c r="BR16" s="87">
        <f>BQ19</f>
        <v/>
      </c>
      <c r="BS16" s="87">
        <f>BR19</f>
        <v/>
      </c>
      <c r="BT16" s="87">
        <f>BS19</f>
        <v/>
      </c>
      <c r="BU16" s="87">
        <f>BT19</f>
        <v/>
      </c>
      <c r="BV16" s="87">
        <f>BU19</f>
        <v/>
      </c>
      <c r="BW16" s="87">
        <f>BV19</f>
        <v/>
      </c>
      <c r="BX16" s="87">
        <f>BW19</f>
        <v/>
      </c>
      <c r="BY16" s="87">
        <f>BX19</f>
        <v/>
      </c>
    </row>
    <row r="17">
      <c r="B17" s="56" t="inlineStr">
        <is>
          <t>Базовое погашение</t>
        </is>
      </c>
      <c r="C17" s="56" t="inlineStr">
        <is>
          <t>₽</t>
        </is>
      </c>
      <c r="D17" s="57" t="inlineStr">
        <is>
          <t>60% себестоимости проданного мерча</t>
        </is>
      </c>
      <c r="E17" s="85">
        <f>SUM(L17:W17)</f>
        <v/>
      </c>
      <c r="F17" s="85">
        <f>SUM(X17:AI17)</f>
        <v/>
      </c>
      <c r="G17" s="85">
        <f>SUM(AJ17:AU17)</f>
        <v/>
      </c>
      <c r="H17" s="85">
        <f>SUM(AV17:BG17)</f>
        <v/>
      </c>
      <c r="I17" s="85">
        <f>SUM(BH17:BS17)</f>
        <v/>
      </c>
      <c r="J17" s="86">
        <f>SUM(L17:BS17)</f>
        <v/>
      </c>
      <c r="L17" s="87">
        <f>MIN(L16,'04_Доходы'!L133*ДоляCOGSНаЗайм)</f>
        <v/>
      </c>
      <c r="M17" s="87">
        <f>MIN(M16,'04_Доходы'!M133*ДоляCOGSНаЗайм)</f>
        <v/>
      </c>
      <c r="N17" s="87">
        <f>MIN(N16,'04_Доходы'!N133*ДоляCOGSНаЗайм)</f>
        <v/>
      </c>
      <c r="O17" s="87">
        <f>MIN(O16,'04_Доходы'!O133*ДоляCOGSНаЗайм)</f>
        <v/>
      </c>
      <c r="P17" s="87">
        <f>MIN(P16,'04_Доходы'!P133*ДоляCOGSНаЗайм)</f>
        <v/>
      </c>
      <c r="Q17" s="87">
        <f>MIN(Q16,'04_Доходы'!Q133*ДоляCOGSНаЗайм)</f>
        <v/>
      </c>
      <c r="R17" s="87">
        <f>MIN(R16,'04_Доходы'!R133*ДоляCOGSНаЗайм)</f>
        <v/>
      </c>
      <c r="S17" s="87">
        <f>MIN(S16,'04_Доходы'!S133*ДоляCOGSНаЗайм)</f>
        <v/>
      </c>
      <c r="T17" s="87">
        <f>MIN(T16,'04_Доходы'!T133*ДоляCOGSНаЗайм)</f>
        <v/>
      </c>
      <c r="U17" s="87">
        <f>MIN(U16,'04_Доходы'!U133*ДоляCOGSНаЗайм)</f>
        <v/>
      </c>
      <c r="V17" s="87">
        <f>MIN(V16,'04_Доходы'!V133*ДоляCOGSНаЗайм)</f>
        <v/>
      </c>
      <c r="W17" s="87">
        <f>MIN(W16,'04_Доходы'!W133*ДоляCOGSНаЗайм)</f>
        <v/>
      </c>
      <c r="X17" s="87">
        <f>MIN(X16,'04_Доходы'!X133*ДоляCOGSНаЗайм)</f>
        <v/>
      </c>
      <c r="Y17" s="87">
        <f>MIN(Y16,'04_Доходы'!Y133*ДоляCOGSНаЗайм)</f>
        <v/>
      </c>
      <c r="Z17" s="87">
        <f>MIN(Z16,'04_Доходы'!Z133*ДоляCOGSНаЗайм)</f>
        <v/>
      </c>
      <c r="AA17" s="87">
        <f>MIN(AA16,'04_Доходы'!AA133*ДоляCOGSНаЗайм)</f>
        <v/>
      </c>
      <c r="AB17" s="87">
        <f>MIN(AB16,'04_Доходы'!AB133*ДоляCOGSНаЗайм)</f>
        <v/>
      </c>
      <c r="AC17" s="87">
        <f>MIN(AC16,'04_Доходы'!AC133*ДоляCOGSНаЗайм)</f>
        <v/>
      </c>
      <c r="AD17" s="87">
        <f>MIN(AD16,'04_Доходы'!AD133*ДоляCOGSНаЗайм)</f>
        <v/>
      </c>
      <c r="AE17" s="87">
        <f>MIN(AE16,'04_Доходы'!AE133*ДоляCOGSНаЗайм)</f>
        <v/>
      </c>
      <c r="AF17" s="87">
        <f>MIN(AF16,'04_Доходы'!AF133*ДоляCOGSНаЗайм)</f>
        <v/>
      </c>
      <c r="AG17" s="87">
        <f>MIN(AG16,'04_Доходы'!AG133*ДоляCOGSНаЗайм)</f>
        <v/>
      </c>
      <c r="AH17" s="87">
        <f>MIN(AH16,'04_Доходы'!AH133*ДоляCOGSНаЗайм)</f>
        <v/>
      </c>
      <c r="AI17" s="87">
        <f>MIN(AI16,'04_Доходы'!AI133*ДоляCOGSНаЗайм)</f>
        <v/>
      </c>
      <c r="AJ17" s="87">
        <f>MIN(AJ16,'04_Доходы'!AJ133*ДоляCOGSНаЗайм)</f>
        <v/>
      </c>
      <c r="AK17" s="87">
        <f>MIN(AK16,'04_Доходы'!AK133*ДоляCOGSНаЗайм)</f>
        <v/>
      </c>
      <c r="AL17" s="87">
        <f>MIN(AL16,'04_Доходы'!AL133*ДоляCOGSНаЗайм)</f>
        <v/>
      </c>
      <c r="AM17" s="87">
        <f>MIN(AM16,'04_Доходы'!AM133*ДоляCOGSНаЗайм)</f>
        <v/>
      </c>
      <c r="AN17" s="87">
        <f>MIN(AN16,'04_Доходы'!AN133*ДоляCOGSНаЗайм)</f>
        <v/>
      </c>
      <c r="AO17" s="87">
        <f>MIN(AO16,'04_Доходы'!AO133*ДоляCOGSНаЗайм)</f>
        <v/>
      </c>
      <c r="AP17" s="87">
        <f>MIN(AP16,'04_Доходы'!AP133*ДоляCOGSНаЗайм)</f>
        <v/>
      </c>
      <c r="AQ17" s="87">
        <f>MIN(AQ16,'04_Доходы'!AQ133*ДоляCOGSНаЗайм)</f>
        <v/>
      </c>
      <c r="AR17" s="87">
        <f>MIN(AR16,'04_Доходы'!AR133*ДоляCOGSНаЗайм)</f>
        <v/>
      </c>
      <c r="AS17" s="87">
        <f>MIN(AS16,'04_Доходы'!AS133*ДоляCOGSНаЗайм)</f>
        <v/>
      </c>
      <c r="AT17" s="87">
        <f>MIN(AT16,'04_Доходы'!AT133*ДоляCOGSНаЗайм)</f>
        <v/>
      </c>
      <c r="AU17" s="87">
        <f>MIN(AU16,'04_Доходы'!AU133*ДоляCOGSНаЗайм)</f>
        <v/>
      </c>
      <c r="AV17" s="87">
        <f>MIN(AV16,'04_Доходы'!AV133*ДоляCOGSНаЗайм)</f>
        <v/>
      </c>
      <c r="AW17" s="87">
        <f>MIN(AW16,'04_Доходы'!AW133*ДоляCOGSНаЗайм)</f>
        <v/>
      </c>
      <c r="AX17" s="87">
        <f>MIN(AX16,'04_Доходы'!AX133*ДоляCOGSНаЗайм)</f>
        <v/>
      </c>
      <c r="AY17" s="87">
        <f>MIN(AY16,'04_Доходы'!AY133*ДоляCOGSНаЗайм)</f>
        <v/>
      </c>
      <c r="AZ17" s="87">
        <f>MIN(AZ16,'04_Доходы'!AZ133*ДоляCOGSНаЗайм)</f>
        <v/>
      </c>
      <c r="BA17" s="87">
        <f>MIN(BA16,'04_Доходы'!BA133*ДоляCOGSНаЗайм)</f>
        <v/>
      </c>
      <c r="BB17" s="87">
        <f>MIN(BB16,'04_Доходы'!BB133*ДоляCOGSНаЗайм)</f>
        <v/>
      </c>
      <c r="BC17" s="87">
        <f>MIN(BC16,'04_Доходы'!BC133*ДоляCOGSНаЗайм)</f>
        <v/>
      </c>
      <c r="BD17" s="87">
        <f>MIN(BD16,'04_Доходы'!BD133*ДоляCOGSНаЗайм)</f>
        <v/>
      </c>
      <c r="BE17" s="87">
        <f>MIN(BE16,'04_Доходы'!BE133*ДоляCOGSНаЗайм)</f>
        <v/>
      </c>
      <c r="BF17" s="87">
        <f>MIN(BF16,'04_Доходы'!BF133*ДоляCOGSНаЗайм)</f>
        <v/>
      </c>
      <c r="BG17" s="87">
        <f>MIN(BG16,'04_Доходы'!BG133*ДоляCOGSНаЗайм)</f>
        <v/>
      </c>
      <c r="BH17" s="87">
        <f>MIN(BH16,'04_Доходы'!BH133*ДоляCOGSНаЗайм)</f>
        <v/>
      </c>
      <c r="BI17" s="87">
        <f>MIN(BI16,'04_Доходы'!BI133*ДоляCOGSНаЗайм)</f>
        <v/>
      </c>
      <c r="BJ17" s="87">
        <f>MIN(BJ16,'04_Доходы'!BJ133*ДоляCOGSНаЗайм)</f>
        <v/>
      </c>
      <c r="BK17" s="87">
        <f>MIN(BK16,'04_Доходы'!BK133*ДоляCOGSНаЗайм)</f>
        <v/>
      </c>
      <c r="BL17" s="87">
        <f>MIN(BL16,'04_Доходы'!BL133*ДоляCOGSНаЗайм)</f>
        <v/>
      </c>
      <c r="BM17" s="87">
        <f>MIN(BM16,'04_Доходы'!BM133*ДоляCOGSНаЗайм)</f>
        <v/>
      </c>
      <c r="BN17" s="87">
        <f>MIN(BN16,'04_Доходы'!BN133*ДоляCOGSНаЗайм)</f>
        <v/>
      </c>
      <c r="BO17" s="87">
        <f>MIN(BO16,'04_Доходы'!BO133*ДоляCOGSНаЗайм)</f>
        <v/>
      </c>
      <c r="BP17" s="87">
        <f>MIN(BP16,'04_Доходы'!BP133*ДоляCOGSНаЗайм)</f>
        <v/>
      </c>
      <c r="BQ17" s="87">
        <f>MIN(BQ16,'04_Доходы'!BQ133*ДоляCOGSНаЗайм)</f>
        <v/>
      </c>
      <c r="BR17" s="87">
        <f>MIN(BR16,'04_Доходы'!BR133*ДоляCOGSНаЗайм)</f>
        <v/>
      </c>
      <c r="BS17" s="87">
        <f>MIN(BS16,'04_Доходы'!BS133*ДоляCOGSНаЗайм)</f>
        <v/>
      </c>
      <c r="BT17" s="87">
        <f>MIN(BT16,'04_Доходы'!BT133*ДоляCOGSНаЗайм)</f>
        <v/>
      </c>
      <c r="BU17" s="87">
        <f>MIN(BU16,'04_Доходы'!BU133*ДоляCOGSНаЗайм)</f>
        <v/>
      </c>
      <c r="BV17" s="87">
        <f>MIN(BV16,'04_Доходы'!BV133*ДоляCOGSНаЗайм)</f>
        <v/>
      </c>
      <c r="BW17" s="87">
        <f>MIN(BW16,'04_Доходы'!BW133*ДоляCOGSНаЗайм)</f>
        <v/>
      </c>
      <c r="BX17" s="87">
        <f>MIN(BX16,'04_Доходы'!BX133*ДоляCOGSНаЗайм)</f>
        <v/>
      </c>
      <c r="BY17" s="87">
        <f>MIN(BY16,'04_Доходы'!BY133*ДоляCOGSНаЗайм)</f>
        <v/>
      </c>
    </row>
    <row r="18">
      <c r="B18" s="56" t="inlineStr">
        <is>
          <t>Погашение с учётом денег и склада</t>
        </is>
      </c>
      <c r="C18" s="56" t="inlineStr">
        <is>
          <t>₽</t>
        </is>
      </c>
      <c r="D18" s="57" t="inlineStr">
        <is>
          <t>Платим, только если склад не ниже цели, а на счёте остаётся минимальный остаток и запас на ближайшую просадку</t>
        </is>
      </c>
      <c r="E18" s="85">
        <f>SUM(L18:W18)</f>
        <v/>
      </c>
      <c r="F18" s="85">
        <f>SUM(X18:AI18)</f>
        <v/>
      </c>
      <c r="G18" s="85">
        <f>SUM(AJ18:AU18)</f>
        <v/>
      </c>
      <c r="H18" s="85">
        <f>SUM(AV18:BG18)</f>
        <v/>
      </c>
      <c r="I18" s="85">
        <f>SUM(BH18:BS18)</f>
        <v/>
      </c>
      <c r="J18" s="86">
        <f>SUM(L18:BS18)</f>
        <v/>
      </c>
      <c r="L18" s="87">
        <f>IF(OR(ОграничитьЗайм="Нет",L11&gt;=L12-0.01),MIN(L17,MAX(0,'02_Результат'!L56-МинОстатокДляЗайма-L13)),0)</f>
        <v/>
      </c>
      <c r="M18" s="87">
        <f>IF(OR(ОграничитьЗайм="Нет",M11&gt;=M12-0.01),MIN(M17,MAX(0,'02_Результат'!M56-МинОстатокДляЗайма-M13)),0)</f>
        <v/>
      </c>
      <c r="N18" s="87">
        <f>IF(OR(ОграничитьЗайм="Нет",N11&gt;=N12-0.01),MIN(N17,MAX(0,'02_Результат'!N56-МинОстатокДляЗайма-N13)),0)</f>
        <v/>
      </c>
      <c r="O18" s="87">
        <f>IF(OR(ОграничитьЗайм="Нет",O11&gt;=O12-0.01),MIN(O17,MAX(0,'02_Результат'!O56-МинОстатокДляЗайма-O13)),0)</f>
        <v/>
      </c>
      <c r="P18" s="87">
        <f>IF(OR(ОграничитьЗайм="Нет",P11&gt;=P12-0.01),MIN(P17,MAX(0,'02_Результат'!P56-МинОстатокДляЗайма-P13)),0)</f>
        <v/>
      </c>
      <c r="Q18" s="87">
        <f>IF(OR(ОграничитьЗайм="Нет",Q11&gt;=Q12-0.01),MIN(Q17,MAX(0,'02_Результат'!Q56-МинОстатокДляЗайма-Q13)),0)</f>
        <v/>
      </c>
      <c r="R18" s="87">
        <f>IF(OR(ОграничитьЗайм="Нет",R11&gt;=R12-0.01),MIN(R17,MAX(0,'02_Результат'!R56-МинОстатокДляЗайма-R13)),0)</f>
        <v/>
      </c>
      <c r="S18" s="87">
        <f>IF(OR(ОграничитьЗайм="Нет",S11&gt;=S12-0.01),MIN(S17,MAX(0,'02_Результат'!S56-МинОстатокДляЗайма-S13)),0)</f>
        <v/>
      </c>
      <c r="T18" s="87">
        <f>IF(OR(ОграничитьЗайм="Нет",T11&gt;=T12-0.01),MIN(T17,MAX(0,'02_Результат'!T56-МинОстатокДляЗайма-T13)),0)</f>
        <v/>
      </c>
      <c r="U18" s="87">
        <f>IF(OR(ОграничитьЗайм="Нет",U11&gt;=U12-0.01),MIN(U17,MAX(0,'02_Результат'!U56-МинОстатокДляЗайма-U13)),0)</f>
        <v/>
      </c>
      <c r="V18" s="87">
        <f>IF(OR(ОграничитьЗайм="Нет",V11&gt;=V12-0.01),MIN(V17,MAX(0,'02_Результат'!V56-МинОстатокДляЗайма-V13)),0)</f>
        <v/>
      </c>
      <c r="W18" s="87">
        <f>IF(OR(ОграничитьЗайм="Нет",W11&gt;=W12-0.01),MIN(W17,MAX(0,'02_Результат'!W56-МинОстатокДляЗайма-W13)),0)</f>
        <v/>
      </c>
      <c r="X18" s="87">
        <f>IF(OR(ОграничитьЗайм="Нет",X11&gt;=X12-0.01),MIN(X17,MAX(0,'02_Результат'!X56-МинОстатокДляЗайма-X13)),0)</f>
        <v/>
      </c>
      <c r="Y18" s="87">
        <f>IF(OR(ОграничитьЗайм="Нет",Y11&gt;=Y12-0.01),MIN(Y17,MAX(0,'02_Результат'!Y56-МинОстатокДляЗайма-Y13)),0)</f>
        <v/>
      </c>
      <c r="Z18" s="87">
        <f>IF(OR(ОграничитьЗайм="Нет",Z11&gt;=Z12-0.01),MIN(Z17,MAX(0,'02_Результат'!Z56-МинОстатокДляЗайма-Z13)),0)</f>
        <v/>
      </c>
      <c r="AA18" s="87">
        <f>IF(OR(ОграничитьЗайм="Нет",AA11&gt;=AA12-0.01),MIN(AA17,MAX(0,'02_Результат'!AA56-МинОстатокДляЗайма-AA13)),0)</f>
        <v/>
      </c>
      <c r="AB18" s="87">
        <f>IF(OR(ОграничитьЗайм="Нет",AB11&gt;=AB12-0.01),MIN(AB17,MAX(0,'02_Результат'!AB56-МинОстатокДляЗайма-AB13)),0)</f>
        <v/>
      </c>
      <c r="AC18" s="87">
        <f>IF(OR(ОграничитьЗайм="Нет",AC11&gt;=AC12-0.01),MIN(AC17,MAX(0,'02_Результат'!AC56-МинОстатокДляЗайма-AC13)),0)</f>
        <v/>
      </c>
      <c r="AD18" s="87">
        <f>IF(OR(ОграничитьЗайм="Нет",AD11&gt;=AD12-0.01),MIN(AD17,MAX(0,'02_Результат'!AD56-МинОстатокДляЗайма-AD13)),0)</f>
        <v/>
      </c>
      <c r="AE18" s="87">
        <f>IF(OR(ОграничитьЗайм="Нет",AE11&gt;=AE12-0.01),MIN(AE17,MAX(0,'02_Результат'!AE56-МинОстатокДляЗайма-AE13)),0)</f>
        <v/>
      </c>
      <c r="AF18" s="87">
        <f>IF(OR(ОграничитьЗайм="Нет",AF11&gt;=AF12-0.01),MIN(AF17,MAX(0,'02_Результат'!AF56-МинОстатокДляЗайма-AF13)),0)</f>
        <v/>
      </c>
      <c r="AG18" s="87">
        <f>IF(OR(ОграничитьЗайм="Нет",AG11&gt;=AG12-0.01),MIN(AG17,MAX(0,'02_Результат'!AG56-МинОстатокДляЗайма-AG13)),0)</f>
        <v/>
      </c>
      <c r="AH18" s="87">
        <f>IF(OR(ОграничитьЗайм="Нет",AH11&gt;=AH12-0.01),MIN(AH17,MAX(0,'02_Результат'!AH56-МинОстатокДляЗайма-AH13)),0)</f>
        <v/>
      </c>
      <c r="AI18" s="87">
        <f>IF(OR(ОграничитьЗайм="Нет",AI11&gt;=AI12-0.01),MIN(AI17,MAX(0,'02_Результат'!AI56-МинОстатокДляЗайма-AI13)),0)</f>
        <v/>
      </c>
      <c r="AJ18" s="87">
        <f>IF(OR(ОграничитьЗайм="Нет",AJ11&gt;=AJ12-0.01),MIN(AJ17,MAX(0,'02_Результат'!AJ56-МинОстатокДляЗайма-AJ13)),0)</f>
        <v/>
      </c>
      <c r="AK18" s="87">
        <f>IF(OR(ОграничитьЗайм="Нет",AK11&gt;=AK12-0.01),MIN(AK17,MAX(0,'02_Результат'!AK56-МинОстатокДляЗайма-AK13)),0)</f>
        <v/>
      </c>
      <c r="AL18" s="87">
        <f>IF(OR(ОграничитьЗайм="Нет",AL11&gt;=AL12-0.01),MIN(AL17,MAX(0,'02_Результат'!AL56-МинОстатокДляЗайма-AL13)),0)</f>
        <v/>
      </c>
      <c r="AM18" s="87">
        <f>IF(OR(ОграничитьЗайм="Нет",AM11&gt;=AM12-0.01),MIN(AM17,MAX(0,'02_Результат'!AM56-МинОстатокДляЗайма-AM13)),0)</f>
        <v/>
      </c>
      <c r="AN18" s="87">
        <f>IF(OR(ОграничитьЗайм="Нет",AN11&gt;=AN12-0.01),MIN(AN17,MAX(0,'02_Результат'!AN56-МинОстатокДляЗайма-AN13)),0)</f>
        <v/>
      </c>
      <c r="AO18" s="87">
        <f>IF(OR(ОграничитьЗайм="Нет",AO11&gt;=AO12-0.01),MIN(AO17,MAX(0,'02_Результат'!AO56-МинОстатокДляЗайма-AO13)),0)</f>
        <v/>
      </c>
      <c r="AP18" s="87">
        <f>IF(OR(ОграничитьЗайм="Нет",AP11&gt;=AP12-0.01),MIN(AP17,MAX(0,'02_Результат'!AP56-МинОстатокДляЗайма-AP13)),0)</f>
        <v/>
      </c>
      <c r="AQ18" s="87">
        <f>IF(OR(ОграничитьЗайм="Нет",AQ11&gt;=AQ12-0.01),MIN(AQ17,MAX(0,'02_Результат'!AQ56-МинОстатокДляЗайма-AQ13)),0)</f>
        <v/>
      </c>
      <c r="AR18" s="87">
        <f>IF(OR(ОграничитьЗайм="Нет",AR11&gt;=AR12-0.01),MIN(AR17,MAX(0,'02_Результат'!AR56-МинОстатокДляЗайма-AR13)),0)</f>
        <v/>
      </c>
      <c r="AS18" s="87">
        <f>IF(OR(ОграничитьЗайм="Нет",AS11&gt;=AS12-0.01),MIN(AS17,MAX(0,'02_Результат'!AS56-МинОстатокДляЗайма-AS13)),0)</f>
        <v/>
      </c>
      <c r="AT18" s="87">
        <f>IF(OR(ОграничитьЗайм="Нет",AT11&gt;=AT12-0.01),MIN(AT17,MAX(0,'02_Результат'!AT56-МинОстатокДляЗайма-AT13)),0)</f>
        <v/>
      </c>
      <c r="AU18" s="87">
        <f>IF(OR(ОграничитьЗайм="Нет",AU11&gt;=AU12-0.01),MIN(AU17,MAX(0,'02_Результат'!AU56-МинОстатокДляЗайма-AU13)),0)</f>
        <v/>
      </c>
      <c r="AV18" s="87">
        <f>IF(OR(ОграничитьЗайм="Нет",AV11&gt;=AV12-0.01),MIN(AV17,MAX(0,'02_Результат'!AV56-МинОстатокДляЗайма-AV13)),0)</f>
        <v/>
      </c>
      <c r="AW18" s="87">
        <f>IF(OR(ОграничитьЗайм="Нет",AW11&gt;=AW12-0.01),MIN(AW17,MAX(0,'02_Результат'!AW56-МинОстатокДляЗайма-AW13)),0)</f>
        <v/>
      </c>
      <c r="AX18" s="87">
        <f>IF(OR(ОграничитьЗайм="Нет",AX11&gt;=AX12-0.01),MIN(AX17,MAX(0,'02_Результат'!AX56-МинОстатокДляЗайма-AX13)),0)</f>
        <v/>
      </c>
      <c r="AY18" s="87">
        <f>IF(OR(ОграничитьЗайм="Нет",AY11&gt;=AY12-0.01),MIN(AY17,MAX(0,'02_Результат'!AY56-МинОстатокДляЗайма-AY13)),0)</f>
        <v/>
      </c>
      <c r="AZ18" s="87">
        <f>IF(OR(ОграничитьЗайм="Нет",AZ11&gt;=AZ12-0.01),MIN(AZ17,MAX(0,'02_Результат'!AZ56-МинОстатокДляЗайма-AZ13)),0)</f>
        <v/>
      </c>
      <c r="BA18" s="87">
        <f>IF(OR(ОграничитьЗайм="Нет",BA11&gt;=BA12-0.01),MIN(BA17,MAX(0,'02_Результат'!BA56-МинОстатокДляЗайма-BA13)),0)</f>
        <v/>
      </c>
      <c r="BB18" s="87">
        <f>IF(OR(ОграничитьЗайм="Нет",BB11&gt;=BB12-0.01),MIN(BB17,MAX(0,'02_Результат'!BB56-МинОстатокДляЗайма-BB13)),0)</f>
        <v/>
      </c>
      <c r="BC18" s="87">
        <f>IF(OR(ОграничитьЗайм="Нет",BC11&gt;=BC12-0.01),MIN(BC17,MAX(0,'02_Результат'!BC56-МинОстатокДляЗайма-BC13)),0)</f>
        <v/>
      </c>
      <c r="BD18" s="87">
        <f>IF(OR(ОграничитьЗайм="Нет",BD11&gt;=BD12-0.01),MIN(BD17,MAX(0,'02_Результат'!BD56-МинОстатокДляЗайма-BD13)),0)</f>
        <v/>
      </c>
      <c r="BE18" s="87">
        <f>IF(OR(ОграничитьЗайм="Нет",BE11&gt;=BE12-0.01),MIN(BE17,MAX(0,'02_Результат'!BE56-МинОстатокДляЗайма-BE13)),0)</f>
        <v/>
      </c>
      <c r="BF18" s="87">
        <f>IF(OR(ОграничитьЗайм="Нет",BF11&gt;=BF12-0.01),MIN(BF17,MAX(0,'02_Результат'!BF56-МинОстатокДляЗайма-BF13)),0)</f>
        <v/>
      </c>
      <c r="BG18" s="87">
        <f>IF(OR(ОграничитьЗайм="Нет",BG11&gt;=BG12-0.01),MIN(BG17,MAX(0,'02_Результат'!BG56-МинОстатокДляЗайма-BG13)),0)</f>
        <v/>
      </c>
      <c r="BH18" s="87">
        <f>IF(OR(ОграничитьЗайм="Нет",BH11&gt;=BH12-0.01),MIN(BH17,MAX(0,'02_Результат'!BH56-МинОстатокДляЗайма-BH13)),0)</f>
        <v/>
      </c>
      <c r="BI18" s="87">
        <f>IF(OR(ОграничитьЗайм="Нет",BI11&gt;=BI12-0.01),MIN(BI17,MAX(0,'02_Результат'!BI56-МинОстатокДляЗайма-BI13)),0)</f>
        <v/>
      </c>
      <c r="BJ18" s="87">
        <f>IF(OR(ОграничитьЗайм="Нет",BJ11&gt;=BJ12-0.01),MIN(BJ17,MAX(0,'02_Результат'!BJ56-МинОстатокДляЗайма-BJ13)),0)</f>
        <v/>
      </c>
      <c r="BK18" s="87">
        <f>IF(OR(ОграничитьЗайм="Нет",BK11&gt;=BK12-0.01),MIN(BK17,MAX(0,'02_Результат'!BK56-МинОстатокДляЗайма-BK13)),0)</f>
        <v/>
      </c>
      <c r="BL18" s="87">
        <f>IF(OR(ОграничитьЗайм="Нет",BL11&gt;=BL12-0.01),MIN(BL17,MAX(0,'02_Результат'!BL56-МинОстатокДляЗайма-BL13)),0)</f>
        <v/>
      </c>
      <c r="BM18" s="87">
        <f>IF(OR(ОграничитьЗайм="Нет",BM11&gt;=BM12-0.01),MIN(BM17,MAX(0,'02_Результат'!BM56-МинОстатокДляЗайма-BM13)),0)</f>
        <v/>
      </c>
      <c r="BN18" s="87">
        <f>IF(OR(ОграничитьЗайм="Нет",BN11&gt;=BN12-0.01),MIN(BN17,MAX(0,'02_Результат'!BN56-МинОстатокДляЗайма-BN13)),0)</f>
        <v/>
      </c>
      <c r="BO18" s="87">
        <f>IF(OR(ОграничитьЗайм="Нет",BO11&gt;=BO12-0.01),MIN(BO17,MAX(0,'02_Результат'!BO56-МинОстатокДляЗайма-BO13)),0)</f>
        <v/>
      </c>
      <c r="BP18" s="87">
        <f>IF(OR(ОграничитьЗайм="Нет",BP11&gt;=BP12-0.01),MIN(BP17,MAX(0,'02_Результат'!BP56-МинОстатокДляЗайма-BP13)),0)</f>
        <v/>
      </c>
      <c r="BQ18" s="87">
        <f>IF(OR(ОграничитьЗайм="Нет",BQ11&gt;=BQ12-0.01),MIN(BQ17,MAX(0,'02_Результат'!BQ56-МинОстатокДляЗайма-BQ13)),0)</f>
        <v/>
      </c>
      <c r="BR18" s="87">
        <f>IF(OR(ОграничитьЗайм="Нет",BR11&gt;=BR12-0.01),MIN(BR17,MAX(0,'02_Результат'!BR56-МинОстатокДляЗайма-BR13)),0)</f>
        <v/>
      </c>
      <c r="BS18" s="87">
        <f>IF(OR(ОграничитьЗайм="Нет",BS11&gt;=BS12-0.01),MIN(BS17,MAX(0,'02_Результат'!BS56-МинОстатокДляЗайма-BS13)),0)</f>
        <v/>
      </c>
      <c r="BT18" s="87">
        <f>IF(OR(ОграничитьЗайм="Нет",BT11&gt;=BT12-0.01),MIN(BT17,MAX(0,'02_Результат'!BT56-МинОстатокДляЗайма-BT13)),0)</f>
        <v/>
      </c>
      <c r="BU18" s="87">
        <f>IF(OR(ОграничитьЗайм="Нет",BU11&gt;=BU12-0.01),MIN(BU17,MAX(0,'02_Результат'!BU56-МинОстатокДляЗайма-BU13)),0)</f>
        <v/>
      </c>
      <c r="BV18" s="87">
        <f>IF(OR(ОграничитьЗайм="Нет",BV11&gt;=BV12-0.01),MIN(BV17,MAX(0,'02_Результат'!BV56-МинОстатокДляЗайма-BV13)),0)</f>
        <v/>
      </c>
      <c r="BW18" s="87">
        <f>IF(OR(ОграничитьЗайм="Нет",BW11&gt;=BW12-0.01),MIN(BW17,MAX(0,'02_Результат'!BW56-МинОстатокДляЗайма-BW13)),0)</f>
        <v/>
      </c>
      <c r="BX18" s="87">
        <f>IF(OR(ОграничитьЗайм="Нет",BX11&gt;=BX12-0.01),MIN(BX17,MAX(0,'02_Результат'!BX56-МинОстатокДляЗайма-BX13)),0)</f>
        <v/>
      </c>
      <c r="BY18" s="87">
        <f>IF(OR(ОграничитьЗайм="Нет",BY11&gt;=BY12-0.01),MIN(BY17,MAX(0,'02_Результат'!BY56-МинОстатокДляЗайма-BY13)),0)</f>
        <v/>
      </c>
    </row>
    <row r="19">
      <c r="B19" s="130" t="inlineStr">
        <is>
          <t>Займ на конец</t>
        </is>
      </c>
      <c r="C19" s="130" t="inlineStr">
        <is>
          <t>₽</t>
        </is>
      </c>
      <c r="D19" s="156" t="inlineStr">
        <is>
          <t>В колонках лет — значение на конец года, в «Итого» — на конец пятого года. Это остаток, а не сумма.</t>
        </is>
      </c>
      <c r="E19" s="157">
        <f>W19</f>
        <v/>
      </c>
      <c r="F19" s="157">
        <f>AI19</f>
        <v/>
      </c>
      <c r="G19" s="157">
        <f>AU19</f>
        <v/>
      </c>
      <c r="H19" s="157">
        <f>BG19</f>
        <v/>
      </c>
      <c r="I19" s="157">
        <f>BS19</f>
        <v/>
      </c>
      <c r="J19" s="134">
        <f>BS19</f>
        <v/>
      </c>
      <c r="L19" s="133">
        <f>L16-L18</f>
        <v/>
      </c>
      <c r="M19" s="133">
        <f>M16-M18</f>
        <v/>
      </c>
      <c r="N19" s="133">
        <f>N16-N18</f>
        <v/>
      </c>
      <c r="O19" s="133">
        <f>O16-O18</f>
        <v/>
      </c>
      <c r="P19" s="133">
        <f>P16-P18</f>
        <v/>
      </c>
      <c r="Q19" s="133">
        <f>Q16-Q18</f>
        <v/>
      </c>
      <c r="R19" s="133">
        <f>R16-R18</f>
        <v/>
      </c>
      <c r="S19" s="133">
        <f>S16-S18</f>
        <v/>
      </c>
      <c r="T19" s="133">
        <f>T16-T18</f>
        <v/>
      </c>
      <c r="U19" s="133">
        <f>U16-U18</f>
        <v/>
      </c>
      <c r="V19" s="133">
        <f>V16-V18</f>
        <v/>
      </c>
      <c r="W19" s="133">
        <f>W16-W18</f>
        <v/>
      </c>
      <c r="X19" s="133">
        <f>X16-X18</f>
        <v/>
      </c>
      <c r="Y19" s="133">
        <f>Y16-Y18</f>
        <v/>
      </c>
      <c r="Z19" s="133">
        <f>Z16-Z18</f>
        <v/>
      </c>
      <c r="AA19" s="133">
        <f>AA16-AA18</f>
        <v/>
      </c>
      <c r="AB19" s="133">
        <f>AB16-AB18</f>
        <v/>
      </c>
      <c r="AC19" s="133">
        <f>AC16-AC18</f>
        <v/>
      </c>
      <c r="AD19" s="133">
        <f>AD16-AD18</f>
        <v/>
      </c>
      <c r="AE19" s="133">
        <f>AE16-AE18</f>
        <v/>
      </c>
      <c r="AF19" s="133">
        <f>AF16-AF18</f>
        <v/>
      </c>
      <c r="AG19" s="133">
        <f>AG16-AG18</f>
        <v/>
      </c>
      <c r="AH19" s="133">
        <f>AH16-AH18</f>
        <v/>
      </c>
      <c r="AI19" s="133">
        <f>AI16-AI18</f>
        <v/>
      </c>
      <c r="AJ19" s="133">
        <f>AJ16-AJ18</f>
        <v/>
      </c>
      <c r="AK19" s="133">
        <f>AK16-AK18</f>
        <v/>
      </c>
      <c r="AL19" s="133">
        <f>AL16-AL18</f>
        <v/>
      </c>
      <c r="AM19" s="133">
        <f>AM16-AM18</f>
        <v/>
      </c>
      <c r="AN19" s="133">
        <f>AN16-AN18</f>
        <v/>
      </c>
      <c r="AO19" s="133">
        <f>AO16-AO18</f>
        <v/>
      </c>
      <c r="AP19" s="133">
        <f>AP16-AP18</f>
        <v/>
      </c>
      <c r="AQ19" s="133">
        <f>AQ16-AQ18</f>
        <v/>
      </c>
      <c r="AR19" s="133">
        <f>AR16-AR18</f>
        <v/>
      </c>
      <c r="AS19" s="133">
        <f>AS16-AS18</f>
        <v/>
      </c>
      <c r="AT19" s="133">
        <f>AT16-AT18</f>
        <v/>
      </c>
      <c r="AU19" s="133">
        <f>AU16-AU18</f>
        <v/>
      </c>
      <c r="AV19" s="133">
        <f>AV16-AV18</f>
        <v/>
      </c>
      <c r="AW19" s="133">
        <f>AW16-AW18</f>
        <v/>
      </c>
      <c r="AX19" s="133">
        <f>AX16-AX18</f>
        <v/>
      </c>
      <c r="AY19" s="133">
        <f>AY16-AY18</f>
        <v/>
      </c>
      <c r="AZ19" s="133">
        <f>AZ16-AZ18</f>
        <v/>
      </c>
      <c r="BA19" s="133">
        <f>BA16-BA18</f>
        <v/>
      </c>
      <c r="BB19" s="133">
        <f>BB16-BB18</f>
        <v/>
      </c>
      <c r="BC19" s="133">
        <f>BC16-BC18</f>
        <v/>
      </c>
      <c r="BD19" s="133">
        <f>BD16-BD18</f>
        <v/>
      </c>
      <c r="BE19" s="133">
        <f>BE16-BE18</f>
        <v/>
      </c>
      <c r="BF19" s="133">
        <f>BF16-BF18</f>
        <v/>
      </c>
      <c r="BG19" s="133">
        <f>BG16-BG18</f>
        <v/>
      </c>
      <c r="BH19" s="133">
        <f>BH16-BH18</f>
        <v/>
      </c>
      <c r="BI19" s="133">
        <f>BI16-BI18</f>
        <v/>
      </c>
      <c r="BJ19" s="133">
        <f>BJ16-BJ18</f>
        <v/>
      </c>
      <c r="BK19" s="133">
        <f>BK16-BK18</f>
        <v/>
      </c>
      <c r="BL19" s="133">
        <f>BL16-BL18</f>
        <v/>
      </c>
      <c r="BM19" s="133">
        <f>BM16-BM18</f>
        <v/>
      </c>
      <c r="BN19" s="133">
        <f>BN16-BN18</f>
        <v/>
      </c>
      <c r="BO19" s="133">
        <f>BO16-BO18</f>
        <v/>
      </c>
      <c r="BP19" s="133">
        <f>BP16-BP18</f>
        <v/>
      </c>
      <c r="BQ19" s="133">
        <f>BQ16-BQ18</f>
        <v/>
      </c>
      <c r="BR19" s="133">
        <f>BR16-BR18</f>
        <v/>
      </c>
      <c r="BS19" s="133">
        <f>BS16-BS18</f>
        <v/>
      </c>
      <c r="BT19" s="133">
        <f>BT16-BT18</f>
        <v/>
      </c>
      <c r="BU19" s="133">
        <f>BU16-BU18</f>
        <v/>
      </c>
      <c r="BV19" s="133">
        <f>BV16-BV18</f>
        <v/>
      </c>
      <c r="BW19" s="133">
        <f>BW16-BW18</f>
        <v/>
      </c>
      <c r="BX19" s="133">
        <f>BX16-BX18</f>
        <v/>
      </c>
      <c r="BY19" s="133">
        <f>BY16-BY18</f>
        <v/>
      </c>
    </row>
    <row r="21" ht="15.75" customHeight="1" s="194">
      <c r="B21" s="54" t="inlineStr">
        <is>
          <t>CAPEX и налоги</t>
        </is>
      </c>
      <c r="C21" s="55" t="n"/>
      <c r="D21" s="55" t="n"/>
      <c r="E21" s="55" t="n"/>
      <c r="F21" s="55" t="n"/>
      <c r="G21" s="55" t="n"/>
      <c r="H21" s="55" t="n"/>
      <c r="I21" s="55" t="n"/>
      <c r="J21" s="55" t="n"/>
      <c r="K21" s="55" t="n"/>
      <c r="L21" s="55" t="n"/>
      <c r="M21" s="55" t="n"/>
      <c r="N21" s="55" t="n"/>
      <c r="O21" s="55" t="n"/>
      <c r="P21" s="55" t="n"/>
      <c r="Q21" s="55" t="n"/>
      <c r="R21" s="55" t="n"/>
      <c r="S21" s="55" t="n"/>
      <c r="T21" s="55" t="n"/>
      <c r="U21" s="55" t="n"/>
      <c r="V21" s="55" t="n"/>
      <c r="W21" s="55" t="n"/>
      <c r="X21" s="55" t="n"/>
      <c r="Y21" s="55" t="n"/>
      <c r="Z21" s="55" t="n"/>
      <c r="AA21" s="55" t="n"/>
      <c r="AB21" s="55" t="n"/>
      <c r="AC21" s="55" t="n"/>
      <c r="AD21" s="55" t="n"/>
      <c r="AE21" s="55" t="n"/>
      <c r="AF21" s="55" t="n"/>
      <c r="AG21" s="55" t="n"/>
      <c r="AH21" s="55" t="n"/>
      <c r="AI21" s="55" t="n"/>
      <c r="AJ21" s="55" t="n"/>
      <c r="AK21" s="55" t="n"/>
      <c r="AL21" s="55" t="n"/>
      <c r="AM21" s="55" t="n"/>
      <c r="AN21" s="55" t="n"/>
      <c r="AO21" s="55" t="n"/>
      <c r="AP21" s="55" t="n"/>
      <c r="AQ21" s="55" t="n"/>
      <c r="AR21" s="55" t="n"/>
      <c r="AS21" s="55" t="n"/>
      <c r="AT21" s="55" t="n"/>
      <c r="AU21" s="55" t="n"/>
      <c r="AV21" s="55" t="n"/>
      <c r="AW21" s="55" t="n"/>
      <c r="AX21" s="55" t="n"/>
      <c r="AY21" s="55" t="n"/>
      <c r="AZ21" s="55" t="n"/>
      <c r="BA21" s="55" t="n"/>
      <c r="BB21" s="55" t="n"/>
      <c r="BC21" s="55" t="n"/>
      <c r="BD21" s="55" t="n"/>
      <c r="BE21" s="55" t="n"/>
      <c r="BF21" s="55" t="n"/>
      <c r="BG21" s="55" t="n"/>
      <c r="BH21" s="55" t="n"/>
      <c r="BI21" s="55" t="n"/>
      <c r="BJ21" s="55" t="n"/>
      <c r="BK21" s="55" t="n"/>
      <c r="BL21" s="55" t="n"/>
      <c r="BM21" s="55" t="n"/>
      <c r="BN21" s="55" t="n"/>
      <c r="BO21" s="55" t="n"/>
      <c r="BP21" s="55" t="n"/>
      <c r="BQ21" s="55" t="n"/>
      <c r="BR21" s="55" t="n"/>
      <c r="BS21" s="55" t="n"/>
      <c r="BT21" s="55" t="n"/>
      <c r="BU21" s="55" t="n"/>
      <c r="BV21" s="55" t="n"/>
      <c r="BW21" s="55" t="n"/>
      <c r="BX21" s="55" t="n"/>
      <c r="BY21" s="55" t="n"/>
    </row>
    <row r="22" ht="15.75" customHeight="1" s="194">
      <c r="B22" s="56" t="inlineStr">
        <is>
          <t>База CAPEX</t>
        </is>
      </c>
      <c r="C22" s="56" t="inlineStr">
        <is>
          <t>₽</t>
        </is>
      </c>
      <c r="D22" s="57" t="inlineStr">
        <is>
          <t>Выручка, от которой считается поддерживающий CAPEX</t>
        </is>
      </c>
      <c r="E22" s="85">
        <f>SUM(L22:W22)</f>
        <v/>
      </c>
      <c r="F22" s="85">
        <f>SUM(X22:AI22)</f>
        <v/>
      </c>
      <c r="G22" s="85">
        <f>SUM(AJ22:AU22)</f>
        <v/>
      </c>
      <c r="H22" s="85">
        <f>SUM(AV22:BG22)</f>
        <v/>
      </c>
      <c r="I22" s="85">
        <f>SUM(BH22:BS22)</f>
        <v/>
      </c>
      <c r="J22" s="86">
        <f>SUM(L22:BS22)</f>
        <v/>
      </c>
      <c r="L22" s="87">
        <f>IF(CAPEXБаза="С НДС",('04_Доходы'!L14+'04_Доходы'!L103/(1+НДС)+'04_Доходы'!L132)*(1+НДС),'04_Доходы'!L14+'04_Доходы'!L103/(1+НДС)+'04_Доходы'!L132)</f>
        <v/>
      </c>
      <c r="M22" s="87">
        <f>IF(CAPEXБаза="С НДС",('04_Доходы'!M14+'04_Доходы'!M103/(1+НДС)+'04_Доходы'!M132)*(1+НДС),'04_Доходы'!M14+'04_Доходы'!M103/(1+НДС)+'04_Доходы'!M132)</f>
        <v/>
      </c>
      <c r="N22" s="87">
        <f>IF(CAPEXБаза="С НДС",('04_Доходы'!N14+'04_Доходы'!N103/(1+НДС)+'04_Доходы'!N132)*(1+НДС),'04_Доходы'!N14+'04_Доходы'!N103/(1+НДС)+'04_Доходы'!N132)</f>
        <v/>
      </c>
      <c r="O22" s="87">
        <f>IF(CAPEXБаза="С НДС",('04_Доходы'!O14+'04_Доходы'!O103/(1+НДС)+'04_Доходы'!O132)*(1+НДС),'04_Доходы'!O14+'04_Доходы'!O103/(1+НДС)+'04_Доходы'!O132)</f>
        <v/>
      </c>
      <c r="P22" s="87">
        <f>IF(CAPEXБаза="С НДС",('04_Доходы'!P14+'04_Доходы'!P103/(1+НДС)+'04_Доходы'!P132)*(1+НДС),'04_Доходы'!P14+'04_Доходы'!P103/(1+НДС)+'04_Доходы'!P132)</f>
        <v/>
      </c>
      <c r="Q22" s="87">
        <f>IF(CAPEXБаза="С НДС",('04_Доходы'!Q14+'04_Доходы'!Q103/(1+НДС)+'04_Доходы'!Q132)*(1+НДС),'04_Доходы'!Q14+'04_Доходы'!Q103/(1+НДС)+'04_Доходы'!Q132)</f>
        <v/>
      </c>
      <c r="R22" s="87">
        <f>IF(CAPEXБаза="С НДС",('04_Доходы'!R14+'04_Доходы'!R103/(1+НДС)+'04_Доходы'!R132)*(1+НДС),'04_Доходы'!R14+'04_Доходы'!R103/(1+НДС)+'04_Доходы'!R132)</f>
        <v/>
      </c>
      <c r="S22" s="87">
        <f>IF(CAPEXБаза="С НДС",('04_Доходы'!S14+'04_Доходы'!S103/(1+НДС)+'04_Доходы'!S132)*(1+НДС),'04_Доходы'!S14+'04_Доходы'!S103/(1+НДС)+'04_Доходы'!S132)</f>
        <v/>
      </c>
      <c r="T22" s="87">
        <f>IF(CAPEXБаза="С НДС",('04_Доходы'!T14+'04_Доходы'!T103/(1+НДС)+'04_Доходы'!T132)*(1+НДС),'04_Доходы'!T14+'04_Доходы'!T103/(1+НДС)+'04_Доходы'!T132)</f>
        <v/>
      </c>
      <c r="U22" s="87">
        <f>IF(CAPEXБаза="С НДС",('04_Доходы'!U14+'04_Доходы'!U103/(1+НДС)+'04_Доходы'!U132)*(1+НДС),'04_Доходы'!U14+'04_Доходы'!U103/(1+НДС)+'04_Доходы'!U132)</f>
        <v/>
      </c>
      <c r="V22" s="87">
        <f>IF(CAPEXБаза="С НДС",('04_Доходы'!V14+'04_Доходы'!V103/(1+НДС)+'04_Доходы'!V132)*(1+НДС),'04_Доходы'!V14+'04_Доходы'!V103/(1+НДС)+'04_Доходы'!V132)</f>
        <v/>
      </c>
      <c r="W22" s="87">
        <f>IF(CAPEXБаза="С НДС",('04_Доходы'!W14+'04_Доходы'!W103/(1+НДС)+'04_Доходы'!W132)*(1+НДС),'04_Доходы'!W14+'04_Доходы'!W103/(1+НДС)+'04_Доходы'!W132)</f>
        <v/>
      </c>
      <c r="X22" s="87">
        <f>IF(CAPEXБаза="С НДС",('04_Доходы'!X14+'04_Доходы'!X103/(1+НДС)+'04_Доходы'!X132)*(1+НДС),'04_Доходы'!X14+'04_Доходы'!X103/(1+НДС)+'04_Доходы'!X132)</f>
        <v/>
      </c>
      <c r="Y22" s="87">
        <f>IF(CAPEXБаза="С НДС",('04_Доходы'!Y14+'04_Доходы'!Y103/(1+НДС)+'04_Доходы'!Y132)*(1+НДС),'04_Доходы'!Y14+'04_Доходы'!Y103/(1+НДС)+'04_Доходы'!Y132)</f>
        <v/>
      </c>
      <c r="Z22" s="87">
        <f>IF(CAPEXБаза="С НДС",('04_Доходы'!Z14+'04_Доходы'!Z103/(1+НДС)+'04_Доходы'!Z132)*(1+НДС),'04_Доходы'!Z14+'04_Доходы'!Z103/(1+НДС)+'04_Доходы'!Z132)</f>
        <v/>
      </c>
      <c r="AA22" s="87">
        <f>IF(CAPEXБаза="С НДС",('04_Доходы'!AA14+'04_Доходы'!AA103/(1+НДС)+'04_Доходы'!AA132)*(1+НДС),'04_Доходы'!AA14+'04_Доходы'!AA103/(1+НДС)+'04_Доходы'!AA132)</f>
        <v/>
      </c>
      <c r="AB22" s="87">
        <f>IF(CAPEXБаза="С НДС",('04_Доходы'!AB14+'04_Доходы'!AB103/(1+НДС)+'04_Доходы'!AB132)*(1+НДС),'04_Доходы'!AB14+'04_Доходы'!AB103/(1+НДС)+'04_Доходы'!AB132)</f>
        <v/>
      </c>
      <c r="AC22" s="87">
        <f>IF(CAPEXБаза="С НДС",('04_Доходы'!AC14+'04_Доходы'!AC103/(1+НДС)+'04_Доходы'!AC132)*(1+НДС),'04_Доходы'!AC14+'04_Доходы'!AC103/(1+НДС)+'04_Доходы'!AC132)</f>
        <v/>
      </c>
      <c r="AD22" s="87">
        <f>IF(CAPEXБаза="С НДС",('04_Доходы'!AD14+'04_Доходы'!AD103/(1+НДС)+'04_Доходы'!AD132)*(1+НДС),'04_Доходы'!AD14+'04_Доходы'!AD103/(1+НДС)+'04_Доходы'!AD132)</f>
        <v/>
      </c>
      <c r="AE22" s="87">
        <f>IF(CAPEXБаза="С НДС",('04_Доходы'!AE14+'04_Доходы'!AE103/(1+НДС)+'04_Доходы'!AE132)*(1+НДС),'04_Доходы'!AE14+'04_Доходы'!AE103/(1+НДС)+'04_Доходы'!AE132)</f>
        <v/>
      </c>
      <c r="AF22" s="87">
        <f>IF(CAPEXБаза="С НДС",('04_Доходы'!AF14+'04_Доходы'!AF103/(1+НДС)+'04_Доходы'!AF132)*(1+НДС),'04_Доходы'!AF14+'04_Доходы'!AF103/(1+НДС)+'04_Доходы'!AF132)</f>
        <v/>
      </c>
      <c r="AG22" s="87">
        <f>IF(CAPEXБаза="С НДС",('04_Доходы'!AG14+'04_Доходы'!AG103/(1+НДС)+'04_Доходы'!AG132)*(1+НДС),'04_Доходы'!AG14+'04_Доходы'!AG103/(1+НДС)+'04_Доходы'!AG132)</f>
        <v/>
      </c>
      <c r="AH22" s="87">
        <f>IF(CAPEXБаза="С НДС",('04_Доходы'!AH14+'04_Доходы'!AH103/(1+НДС)+'04_Доходы'!AH132)*(1+НДС),'04_Доходы'!AH14+'04_Доходы'!AH103/(1+НДС)+'04_Доходы'!AH132)</f>
        <v/>
      </c>
      <c r="AI22" s="87">
        <f>IF(CAPEXБаза="С НДС",('04_Доходы'!AI14+'04_Доходы'!AI103/(1+НДС)+'04_Доходы'!AI132)*(1+НДС),'04_Доходы'!AI14+'04_Доходы'!AI103/(1+НДС)+'04_Доходы'!AI132)</f>
        <v/>
      </c>
      <c r="AJ22" s="87">
        <f>IF(CAPEXБаза="С НДС",('04_Доходы'!AJ14+'04_Доходы'!AJ103/(1+НДС)+'04_Доходы'!AJ132)*(1+НДС),'04_Доходы'!AJ14+'04_Доходы'!AJ103/(1+НДС)+'04_Доходы'!AJ132)</f>
        <v/>
      </c>
      <c r="AK22" s="87">
        <f>IF(CAPEXБаза="С НДС",('04_Доходы'!AK14+'04_Доходы'!AK103/(1+НДС)+'04_Доходы'!AK132)*(1+НДС),'04_Доходы'!AK14+'04_Доходы'!AK103/(1+НДС)+'04_Доходы'!AK132)</f>
        <v/>
      </c>
      <c r="AL22" s="87">
        <f>IF(CAPEXБаза="С НДС",('04_Доходы'!AL14+'04_Доходы'!AL103/(1+НДС)+'04_Доходы'!AL132)*(1+НДС),'04_Доходы'!AL14+'04_Доходы'!AL103/(1+НДС)+'04_Доходы'!AL132)</f>
        <v/>
      </c>
      <c r="AM22" s="87">
        <f>IF(CAPEXБаза="С НДС",('04_Доходы'!AM14+'04_Доходы'!AM103/(1+НДС)+'04_Доходы'!AM132)*(1+НДС),'04_Доходы'!AM14+'04_Доходы'!AM103/(1+НДС)+'04_Доходы'!AM132)</f>
        <v/>
      </c>
      <c r="AN22" s="87">
        <f>IF(CAPEXБаза="С НДС",('04_Доходы'!AN14+'04_Доходы'!AN103/(1+НДС)+'04_Доходы'!AN132)*(1+НДС),'04_Доходы'!AN14+'04_Доходы'!AN103/(1+НДС)+'04_Доходы'!AN132)</f>
        <v/>
      </c>
      <c r="AO22" s="87">
        <f>IF(CAPEXБаза="С НДС",('04_Доходы'!AO14+'04_Доходы'!AO103/(1+НДС)+'04_Доходы'!AO132)*(1+НДС),'04_Доходы'!AO14+'04_Доходы'!AO103/(1+НДС)+'04_Доходы'!AO132)</f>
        <v/>
      </c>
      <c r="AP22" s="87">
        <f>IF(CAPEXБаза="С НДС",('04_Доходы'!AP14+'04_Доходы'!AP103/(1+НДС)+'04_Доходы'!AP132)*(1+НДС),'04_Доходы'!AP14+'04_Доходы'!AP103/(1+НДС)+'04_Доходы'!AP132)</f>
        <v/>
      </c>
      <c r="AQ22" s="87">
        <f>IF(CAPEXБаза="С НДС",('04_Доходы'!AQ14+'04_Доходы'!AQ103/(1+НДС)+'04_Доходы'!AQ132)*(1+НДС),'04_Доходы'!AQ14+'04_Доходы'!AQ103/(1+НДС)+'04_Доходы'!AQ132)</f>
        <v/>
      </c>
      <c r="AR22" s="87">
        <f>IF(CAPEXБаза="С НДС",('04_Доходы'!AR14+'04_Доходы'!AR103/(1+НДС)+'04_Доходы'!AR132)*(1+НДС),'04_Доходы'!AR14+'04_Доходы'!AR103/(1+НДС)+'04_Доходы'!AR132)</f>
        <v/>
      </c>
      <c r="AS22" s="87">
        <f>IF(CAPEXБаза="С НДС",('04_Доходы'!AS14+'04_Доходы'!AS103/(1+НДС)+'04_Доходы'!AS132)*(1+НДС),'04_Доходы'!AS14+'04_Доходы'!AS103/(1+НДС)+'04_Доходы'!AS132)</f>
        <v/>
      </c>
      <c r="AT22" s="87">
        <f>IF(CAPEXБаза="С НДС",('04_Доходы'!AT14+'04_Доходы'!AT103/(1+НДС)+'04_Доходы'!AT132)*(1+НДС),'04_Доходы'!AT14+'04_Доходы'!AT103/(1+НДС)+'04_Доходы'!AT132)</f>
        <v/>
      </c>
      <c r="AU22" s="87">
        <f>IF(CAPEXБаза="С НДС",('04_Доходы'!AU14+'04_Доходы'!AU103/(1+НДС)+'04_Доходы'!AU132)*(1+НДС),'04_Доходы'!AU14+'04_Доходы'!AU103/(1+НДС)+'04_Доходы'!AU132)</f>
        <v/>
      </c>
      <c r="AV22" s="87">
        <f>IF(CAPEXБаза="С НДС",('04_Доходы'!AV14+'04_Доходы'!AV103/(1+НДС)+'04_Доходы'!AV132)*(1+НДС),'04_Доходы'!AV14+'04_Доходы'!AV103/(1+НДС)+'04_Доходы'!AV132)</f>
        <v/>
      </c>
      <c r="AW22" s="87">
        <f>IF(CAPEXБаза="С НДС",('04_Доходы'!AW14+'04_Доходы'!AW103/(1+НДС)+'04_Доходы'!AW132)*(1+НДС),'04_Доходы'!AW14+'04_Доходы'!AW103/(1+НДС)+'04_Доходы'!AW132)</f>
        <v/>
      </c>
      <c r="AX22" s="87">
        <f>IF(CAPEXБаза="С НДС",('04_Доходы'!AX14+'04_Доходы'!AX103/(1+НДС)+'04_Доходы'!AX132)*(1+НДС),'04_Доходы'!AX14+'04_Доходы'!AX103/(1+НДС)+'04_Доходы'!AX132)</f>
        <v/>
      </c>
      <c r="AY22" s="87">
        <f>IF(CAPEXБаза="С НДС",('04_Доходы'!AY14+'04_Доходы'!AY103/(1+НДС)+'04_Доходы'!AY132)*(1+НДС),'04_Доходы'!AY14+'04_Доходы'!AY103/(1+НДС)+'04_Доходы'!AY132)</f>
        <v/>
      </c>
      <c r="AZ22" s="87">
        <f>IF(CAPEXБаза="С НДС",('04_Доходы'!AZ14+'04_Доходы'!AZ103/(1+НДС)+'04_Доходы'!AZ132)*(1+НДС),'04_Доходы'!AZ14+'04_Доходы'!AZ103/(1+НДС)+'04_Доходы'!AZ132)</f>
        <v/>
      </c>
      <c r="BA22" s="87">
        <f>IF(CAPEXБаза="С НДС",('04_Доходы'!BA14+'04_Доходы'!BA103/(1+НДС)+'04_Доходы'!BA132)*(1+НДС),'04_Доходы'!BA14+'04_Доходы'!BA103/(1+НДС)+'04_Доходы'!BA132)</f>
        <v/>
      </c>
      <c r="BB22" s="87">
        <f>IF(CAPEXБаза="С НДС",('04_Доходы'!BB14+'04_Доходы'!BB103/(1+НДС)+'04_Доходы'!BB132)*(1+НДС),'04_Доходы'!BB14+'04_Доходы'!BB103/(1+НДС)+'04_Доходы'!BB132)</f>
        <v/>
      </c>
      <c r="BC22" s="87">
        <f>IF(CAPEXБаза="С НДС",('04_Доходы'!BC14+'04_Доходы'!BC103/(1+НДС)+'04_Доходы'!BC132)*(1+НДС),'04_Доходы'!BC14+'04_Доходы'!BC103/(1+НДС)+'04_Доходы'!BC132)</f>
        <v/>
      </c>
      <c r="BD22" s="87">
        <f>IF(CAPEXБаза="С НДС",('04_Доходы'!BD14+'04_Доходы'!BD103/(1+НДС)+'04_Доходы'!BD132)*(1+НДС),'04_Доходы'!BD14+'04_Доходы'!BD103/(1+НДС)+'04_Доходы'!BD132)</f>
        <v/>
      </c>
      <c r="BE22" s="87">
        <f>IF(CAPEXБаза="С НДС",('04_Доходы'!BE14+'04_Доходы'!BE103/(1+НДС)+'04_Доходы'!BE132)*(1+НДС),'04_Доходы'!BE14+'04_Доходы'!BE103/(1+НДС)+'04_Доходы'!BE132)</f>
        <v/>
      </c>
      <c r="BF22" s="87">
        <f>IF(CAPEXБаза="С НДС",('04_Доходы'!BF14+'04_Доходы'!BF103/(1+НДС)+'04_Доходы'!BF132)*(1+НДС),'04_Доходы'!BF14+'04_Доходы'!BF103/(1+НДС)+'04_Доходы'!BF132)</f>
        <v/>
      </c>
      <c r="BG22" s="87">
        <f>IF(CAPEXБаза="С НДС",('04_Доходы'!BG14+'04_Доходы'!BG103/(1+НДС)+'04_Доходы'!BG132)*(1+НДС),'04_Доходы'!BG14+'04_Доходы'!BG103/(1+НДС)+'04_Доходы'!BG132)</f>
        <v/>
      </c>
      <c r="BH22" s="87">
        <f>IF(CAPEXБаза="С НДС",('04_Доходы'!BH14+'04_Доходы'!BH103/(1+НДС)+'04_Доходы'!BH132)*(1+НДС),'04_Доходы'!BH14+'04_Доходы'!BH103/(1+НДС)+'04_Доходы'!BH132)</f>
        <v/>
      </c>
      <c r="BI22" s="87">
        <f>IF(CAPEXБаза="С НДС",('04_Доходы'!BI14+'04_Доходы'!BI103/(1+НДС)+'04_Доходы'!BI132)*(1+НДС),'04_Доходы'!BI14+'04_Доходы'!BI103/(1+НДС)+'04_Доходы'!BI132)</f>
        <v/>
      </c>
      <c r="BJ22" s="87">
        <f>IF(CAPEXБаза="С НДС",('04_Доходы'!BJ14+'04_Доходы'!BJ103/(1+НДС)+'04_Доходы'!BJ132)*(1+НДС),'04_Доходы'!BJ14+'04_Доходы'!BJ103/(1+НДС)+'04_Доходы'!BJ132)</f>
        <v/>
      </c>
      <c r="BK22" s="87">
        <f>IF(CAPEXБаза="С НДС",('04_Доходы'!BK14+'04_Доходы'!BK103/(1+НДС)+'04_Доходы'!BK132)*(1+НДС),'04_Доходы'!BK14+'04_Доходы'!BK103/(1+НДС)+'04_Доходы'!BK132)</f>
        <v/>
      </c>
      <c r="BL22" s="87">
        <f>IF(CAPEXБаза="С НДС",('04_Доходы'!BL14+'04_Доходы'!BL103/(1+НДС)+'04_Доходы'!BL132)*(1+НДС),'04_Доходы'!BL14+'04_Доходы'!BL103/(1+НДС)+'04_Доходы'!BL132)</f>
        <v/>
      </c>
      <c r="BM22" s="87">
        <f>IF(CAPEXБаза="С НДС",('04_Доходы'!BM14+'04_Доходы'!BM103/(1+НДС)+'04_Доходы'!BM132)*(1+НДС),'04_Доходы'!BM14+'04_Доходы'!BM103/(1+НДС)+'04_Доходы'!BM132)</f>
        <v/>
      </c>
      <c r="BN22" s="87">
        <f>IF(CAPEXБаза="С НДС",('04_Доходы'!BN14+'04_Доходы'!BN103/(1+НДС)+'04_Доходы'!BN132)*(1+НДС),'04_Доходы'!BN14+'04_Доходы'!BN103/(1+НДС)+'04_Доходы'!BN132)</f>
        <v/>
      </c>
      <c r="BO22" s="87">
        <f>IF(CAPEXБаза="С НДС",('04_Доходы'!BO14+'04_Доходы'!BO103/(1+НДС)+'04_Доходы'!BO132)*(1+НДС),'04_Доходы'!BO14+'04_Доходы'!BO103/(1+НДС)+'04_Доходы'!BO132)</f>
        <v/>
      </c>
      <c r="BP22" s="87">
        <f>IF(CAPEXБаза="С НДС",('04_Доходы'!BP14+'04_Доходы'!BP103/(1+НДС)+'04_Доходы'!BP132)*(1+НДС),'04_Доходы'!BP14+'04_Доходы'!BP103/(1+НДС)+'04_Доходы'!BP132)</f>
        <v/>
      </c>
      <c r="BQ22" s="87">
        <f>IF(CAPEXБаза="С НДС",('04_Доходы'!BQ14+'04_Доходы'!BQ103/(1+НДС)+'04_Доходы'!BQ132)*(1+НДС),'04_Доходы'!BQ14+'04_Доходы'!BQ103/(1+НДС)+'04_Доходы'!BQ132)</f>
        <v/>
      </c>
      <c r="BR22" s="87">
        <f>IF(CAPEXБаза="С НДС",('04_Доходы'!BR14+'04_Доходы'!BR103/(1+НДС)+'04_Доходы'!BR132)*(1+НДС),'04_Доходы'!BR14+'04_Доходы'!BR103/(1+НДС)+'04_Доходы'!BR132)</f>
        <v/>
      </c>
      <c r="BS22" s="87">
        <f>IF(CAPEXБаза="С НДС",('04_Доходы'!BS14+'04_Доходы'!BS103/(1+НДС)+'04_Доходы'!BS132)*(1+НДС),'04_Доходы'!BS14+'04_Доходы'!BS103/(1+НДС)+'04_Доходы'!BS132)</f>
        <v/>
      </c>
      <c r="BT22" s="87">
        <f>IF(CAPEXБаза="С НДС",('04_Доходы'!BT14+'04_Доходы'!BT103/(1+НДС)+'04_Доходы'!BT132)*(1+НДС),'04_Доходы'!BT14+'04_Доходы'!BT103/(1+НДС)+'04_Доходы'!BT132)</f>
        <v/>
      </c>
      <c r="BU22" s="87">
        <f>IF(CAPEXБаза="С НДС",('04_Доходы'!BU14+'04_Доходы'!BU103/(1+НДС)+'04_Доходы'!BU132)*(1+НДС),'04_Доходы'!BU14+'04_Доходы'!BU103/(1+НДС)+'04_Доходы'!BU132)</f>
        <v/>
      </c>
      <c r="BV22" s="87">
        <f>IF(CAPEXБаза="С НДС",('04_Доходы'!BV14+'04_Доходы'!BV103/(1+НДС)+'04_Доходы'!BV132)*(1+НДС),'04_Доходы'!BV14+'04_Доходы'!BV103/(1+НДС)+'04_Доходы'!BV132)</f>
        <v/>
      </c>
      <c r="BW22" s="87">
        <f>IF(CAPEXБаза="С НДС",('04_Доходы'!BW14+'04_Доходы'!BW103/(1+НДС)+'04_Доходы'!BW132)*(1+НДС),'04_Доходы'!BW14+'04_Доходы'!BW103/(1+НДС)+'04_Доходы'!BW132)</f>
        <v/>
      </c>
      <c r="BX22" s="87">
        <f>IF(CAPEXБаза="С НДС",('04_Доходы'!BX14+'04_Доходы'!BX103/(1+НДС)+'04_Доходы'!BX132)*(1+НДС),'04_Доходы'!BX14+'04_Доходы'!BX103/(1+НДС)+'04_Доходы'!BX132)</f>
        <v/>
      </c>
      <c r="BY22" s="87">
        <f>IF(CAPEXБаза="С НДС",('04_Доходы'!BY14+'04_Доходы'!BY103/(1+НДС)+'04_Доходы'!BY132)*(1+НДС),'04_Доходы'!BY14+'04_Доходы'!BY103/(1+НДС)+'04_Доходы'!BY132)</f>
        <v/>
      </c>
    </row>
    <row r="23" ht="15.75" customHeight="1" s="194">
      <c r="B23" s="56" t="inlineStr">
        <is>
          <t>CAPEX — всего</t>
        </is>
      </c>
      <c r="C23" s="56" t="inlineStr">
        <is>
          <t>₽</t>
        </is>
      </c>
      <c r="D23" s="57" t="n"/>
      <c r="E23" s="85">
        <f>SUM(L23:W23)</f>
        <v/>
      </c>
      <c r="F23" s="85">
        <f>SUM(X23:AI23)</f>
        <v/>
      </c>
      <c r="G23" s="85">
        <f>SUM(AJ23:AU23)</f>
        <v/>
      </c>
      <c r="H23" s="85">
        <f>SUM(AV23:BG23)</f>
        <v/>
      </c>
      <c r="I23" s="85">
        <f>SUM(BH23:BS23)</f>
        <v/>
      </c>
      <c r="J23" s="86">
        <f>SUM(L23:BS23)</f>
        <v/>
      </c>
      <c r="L23" s="87">
        <f>IF(CAPEXВключён="Да",L22*CAPEXДоля,0)+IF(AND(CAPEXВключён="Да",'03_Сеть'!L7=CAPEXДата),CAPEXРазовый,0)</f>
        <v/>
      </c>
      <c r="M23" s="87">
        <f>IF(CAPEXВключён="Да",M22*CAPEXДоля,0)+IF(AND(CAPEXВключён="Да",'03_Сеть'!M7=CAPEXДата),CAPEXРазовый,0)</f>
        <v/>
      </c>
      <c r="N23" s="87">
        <f>IF(CAPEXВключён="Да",N22*CAPEXДоля,0)+IF(AND(CAPEXВключён="Да",'03_Сеть'!N7=CAPEXДата),CAPEXРазовый,0)</f>
        <v/>
      </c>
      <c r="O23" s="87">
        <f>IF(CAPEXВключён="Да",O22*CAPEXДоля,0)+IF(AND(CAPEXВключён="Да",'03_Сеть'!O7=CAPEXДата),CAPEXРазовый,0)</f>
        <v/>
      </c>
      <c r="P23" s="87">
        <f>IF(CAPEXВключён="Да",P22*CAPEXДоля,0)+IF(AND(CAPEXВключён="Да",'03_Сеть'!P7=CAPEXДата),CAPEXРазовый,0)</f>
        <v/>
      </c>
      <c r="Q23" s="87">
        <f>IF(CAPEXВключён="Да",Q22*CAPEXДоля,0)+IF(AND(CAPEXВключён="Да",'03_Сеть'!Q7=CAPEXДата),CAPEXРазовый,0)</f>
        <v/>
      </c>
      <c r="R23" s="87">
        <f>IF(CAPEXВключён="Да",R22*CAPEXДоля,0)+IF(AND(CAPEXВключён="Да",'03_Сеть'!R7=CAPEXДата),CAPEXРазовый,0)</f>
        <v/>
      </c>
      <c r="S23" s="87">
        <f>IF(CAPEXВключён="Да",S22*CAPEXДоля,0)+IF(AND(CAPEXВключён="Да",'03_Сеть'!S7=CAPEXДата),CAPEXРазовый,0)</f>
        <v/>
      </c>
      <c r="T23" s="87">
        <f>IF(CAPEXВключён="Да",T22*CAPEXДоля,0)+IF(AND(CAPEXВключён="Да",'03_Сеть'!T7=CAPEXДата),CAPEXРазовый,0)</f>
        <v/>
      </c>
      <c r="U23" s="87">
        <f>IF(CAPEXВключён="Да",U22*CAPEXДоля,0)+IF(AND(CAPEXВключён="Да",'03_Сеть'!U7=CAPEXДата),CAPEXРазовый,0)</f>
        <v/>
      </c>
      <c r="V23" s="87">
        <f>IF(CAPEXВключён="Да",V22*CAPEXДоля,0)+IF(AND(CAPEXВключён="Да",'03_Сеть'!V7=CAPEXДата),CAPEXРазовый,0)</f>
        <v/>
      </c>
      <c r="W23" s="87">
        <f>IF(CAPEXВключён="Да",W22*CAPEXДоля,0)+IF(AND(CAPEXВключён="Да",'03_Сеть'!W7=CAPEXДата),CAPEXРазовый,0)</f>
        <v/>
      </c>
      <c r="X23" s="87">
        <f>IF(CAPEXВключён="Да",X22*CAPEXДоля,0)+IF(AND(CAPEXВключён="Да",'03_Сеть'!X7=CAPEXДата),CAPEXРазовый,0)</f>
        <v/>
      </c>
      <c r="Y23" s="87">
        <f>IF(CAPEXВключён="Да",Y22*CAPEXДоля,0)+IF(AND(CAPEXВключён="Да",'03_Сеть'!Y7=CAPEXДата),CAPEXРазовый,0)</f>
        <v/>
      </c>
      <c r="Z23" s="87">
        <f>IF(CAPEXВключён="Да",Z22*CAPEXДоля,0)+IF(AND(CAPEXВключён="Да",'03_Сеть'!Z7=CAPEXДата),CAPEXРазовый,0)</f>
        <v/>
      </c>
      <c r="AA23" s="87">
        <f>IF(CAPEXВключён="Да",AA22*CAPEXДоля,0)+IF(AND(CAPEXВключён="Да",'03_Сеть'!AA7=CAPEXДата),CAPEXРазовый,0)</f>
        <v/>
      </c>
      <c r="AB23" s="87">
        <f>IF(CAPEXВключён="Да",AB22*CAPEXДоля,0)+IF(AND(CAPEXВключён="Да",'03_Сеть'!AB7=CAPEXДата),CAPEXРазовый,0)</f>
        <v/>
      </c>
      <c r="AC23" s="87">
        <f>IF(CAPEXВключён="Да",AC22*CAPEXДоля,0)+IF(AND(CAPEXВключён="Да",'03_Сеть'!AC7=CAPEXДата),CAPEXРазовый,0)</f>
        <v/>
      </c>
      <c r="AD23" s="87">
        <f>IF(CAPEXВключён="Да",AD22*CAPEXДоля,0)+IF(AND(CAPEXВключён="Да",'03_Сеть'!AD7=CAPEXДата),CAPEXРазовый,0)</f>
        <v/>
      </c>
      <c r="AE23" s="87">
        <f>IF(CAPEXВключён="Да",AE22*CAPEXДоля,0)+IF(AND(CAPEXВключён="Да",'03_Сеть'!AE7=CAPEXДата),CAPEXРазовый,0)</f>
        <v/>
      </c>
      <c r="AF23" s="87">
        <f>IF(CAPEXВключён="Да",AF22*CAPEXДоля,0)+IF(AND(CAPEXВключён="Да",'03_Сеть'!AF7=CAPEXДата),CAPEXРазовый,0)</f>
        <v/>
      </c>
      <c r="AG23" s="87">
        <f>IF(CAPEXВключён="Да",AG22*CAPEXДоля,0)+IF(AND(CAPEXВключён="Да",'03_Сеть'!AG7=CAPEXДата),CAPEXРазовый,0)</f>
        <v/>
      </c>
      <c r="AH23" s="87">
        <f>IF(CAPEXВключён="Да",AH22*CAPEXДоля,0)+IF(AND(CAPEXВключён="Да",'03_Сеть'!AH7=CAPEXДата),CAPEXРазовый,0)</f>
        <v/>
      </c>
      <c r="AI23" s="87">
        <f>IF(CAPEXВключён="Да",AI22*CAPEXДоля,0)+IF(AND(CAPEXВключён="Да",'03_Сеть'!AI7=CAPEXДата),CAPEXРазовый,0)</f>
        <v/>
      </c>
      <c r="AJ23" s="87">
        <f>IF(CAPEXВключён="Да",AJ22*CAPEXДоля,0)+IF(AND(CAPEXВключён="Да",'03_Сеть'!AJ7=CAPEXДата),CAPEXРазовый,0)</f>
        <v/>
      </c>
      <c r="AK23" s="87">
        <f>IF(CAPEXВключён="Да",AK22*CAPEXДоля,0)+IF(AND(CAPEXВключён="Да",'03_Сеть'!AK7=CAPEXДата),CAPEXРазовый,0)</f>
        <v/>
      </c>
      <c r="AL23" s="87">
        <f>IF(CAPEXВключён="Да",AL22*CAPEXДоля,0)+IF(AND(CAPEXВключён="Да",'03_Сеть'!AL7=CAPEXДата),CAPEXРазовый,0)</f>
        <v/>
      </c>
      <c r="AM23" s="87">
        <f>IF(CAPEXВключён="Да",AM22*CAPEXДоля,0)+IF(AND(CAPEXВключён="Да",'03_Сеть'!AM7=CAPEXДата),CAPEXРазовый,0)</f>
        <v/>
      </c>
      <c r="AN23" s="87">
        <f>IF(CAPEXВключён="Да",AN22*CAPEXДоля,0)+IF(AND(CAPEXВключён="Да",'03_Сеть'!AN7=CAPEXДата),CAPEXРазовый,0)</f>
        <v/>
      </c>
      <c r="AO23" s="87">
        <f>IF(CAPEXВключён="Да",AO22*CAPEXДоля,0)+IF(AND(CAPEXВключён="Да",'03_Сеть'!AO7=CAPEXДата),CAPEXРазовый,0)</f>
        <v/>
      </c>
      <c r="AP23" s="87">
        <f>IF(CAPEXВключён="Да",AP22*CAPEXДоля,0)+IF(AND(CAPEXВключён="Да",'03_Сеть'!AP7=CAPEXДата),CAPEXРазовый,0)</f>
        <v/>
      </c>
      <c r="AQ23" s="87">
        <f>IF(CAPEXВключён="Да",AQ22*CAPEXДоля,0)+IF(AND(CAPEXВключён="Да",'03_Сеть'!AQ7=CAPEXДата),CAPEXРазовый,0)</f>
        <v/>
      </c>
      <c r="AR23" s="87">
        <f>IF(CAPEXВключён="Да",AR22*CAPEXДоля,0)+IF(AND(CAPEXВключён="Да",'03_Сеть'!AR7=CAPEXДата),CAPEXРазовый,0)</f>
        <v/>
      </c>
      <c r="AS23" s="87">
        <f>IF(CAPEXВключён="Да",AS22*CAPEXДоля,0)+IF(AND(CAPEXВключён="Да",'03_Сеть'!AS7=CAPEXДата),CAPEXРазовый,0)</f>
        <v/>
      </c>
      <c r="AT23" s="87">
        <f>IF(CAPEXВключён="Да",AT22*CAPEXДоля,0)+IF(AND(CAPEXВключён="Да",'03_Сеть'!AT7=CAPEXДата),CAPEXРазовый,0)</f>
        <v/>
      </c>
      <c r="AU23" s="87">
        <f>IF(CAPEXВключён="Да",AU22*CAPEXДоля,0)+IF(AND(CAPEXВключён="Да",'03_Сеть'!AU7=CAPEXДата),CAPEXРазовый,0)</f>
        <v/>
      </c>
      <c r="AV23" s="87">
        <f>IF(CAPEXВключён="Да",AV22*CAPEXДоля,0)+IF(AND(CAPEXВключён="Да",'03_Сеть'!AV7=CAPEXДата),CAPEXРазовый,0)</f>
        <v/>
      </c>
      <c r="AW23" s="87">
        <f>IF(CAPEXВключён="Да",AW22*CAPEXДоля,0)+IF(AND(CAPEXВключён="Да",'03_Сеть'!AW7=CAPEXДата),CAPEXРазовый,0)</f>
        <v/>
      </c>
      <c r="AX23" s="87">
        <f>IF(CAPEXВключён="Да",AX22*CAPEXДоля,0)+IF(AND(CAPEXВключён="Да",'03_Сеть'!AX7=CAPEXДата),CAPEXРазовый,0)</f>
        <v/>
      </c>
      <c r="AY23" s="87">
        <f>IF(CAPEXВключён="Да",AY22*CAPEXДоля,0)+IF(AND(CAPEXВключён="Да",'03_Сеть'!AY7=CAPEXДата),CAPEXРазовый,0)</f>
        <v/>
      </c>
      <c r="AZ23" s="87">
        <f>IF(CAPEXВключён="Да",AZ22*CAPEXДоля,0)+IF(AND(CAPEXВключён="Да",'03_Сеть'!AZ7=CAPEXДата),CAPEXРазовый,0)</f>
        <v/>
      </c>
      <c r="BA23" s="87">
        <f>IF(CAPEXВключён="Да",BA22*CAPEXДоля,0)+IF(AND(CAPEXВключён="Да",'03_Сеть'!BA7=CAPEXДата),CAPEXРазовый,0)</f>
        <v/>
      </c>
      <c r="BB23" s="87">
        <f>IF(CAPEXВключён="Да",BB22*CAPEXДоля,0)+IF(AND(CAPEXВключён="Да",'03_Сеть'!BB7=CAPEXДата),CAPEXРазовый,0)</f>
        <v/>
      </c>
      <c r="BC23" s="87">
        <f>IF(CAPEXВключён="Да",BC22*CAPEXДоля,0)+IF(AND(CAPEXВключён="Да",'03_Сеть'!BC7=CAPEXДата),CAPEXРазовый,0)</f>
        <v/>
      </c>
      <c r="BD23" s="87">
        <f>IF(CAPEXВключён="Да",BD22*CAPEXДоля,0)+IF(AND(CAPEXВключён="Да",'03_Сеть'!BD7=CAPEXДата),CAPEXРазовый,0)</f>
        <v/>
      </c>
      <c r="BE23" s="87">
        <f>IF(CAPEXВключён="Да",BE22*CAPEXДоля,0)+IF(AND(CAPEXВключён="Да",'03_Сеть'!BE7=CAPEXДата),CAPEXРазовый,0)</f>
        <v/>
      </c>
      <c r="BF23" s="87">
        <f>IF(CAPEXВключён="Да",BF22*CAPEXДоля,0)+IF(AND(CAPEXВключён="Да",'03_Сеть'!BF7=CAPEXДата),CAPEXРазовый,0)</f>
        <v/>
      </c>
      <c r="BG23" s="87">
        <f>IF(CAPEXВключён="Да",BG22*CAPEXДоля,0)+IF(AND(CAPEXВключён="Да",'03_Сеть'!BG7=CAPEXДата),CAPEXРазовый,0)</f>
        <v/>
      </c>
      <c r="BH23" s="87">
        <f>IF(CAPEXВключён="Да",BH22*CAPEXДоля,0)+IF(AND(CAPEXВключён="Да",'03_Сеть'!BH7=CAPEXДата),CAPEXРазовый,0)</f>
        <v/>
      </c>
      <c r="BI23" s="87">
        <f>IF(CAPEXВключён="Да",BI22*CAPEXДоля,0)+IF(AND(CAPEXВключён="Да",'03_Сеть'!BI7=CAPEXДата),CAPEXРазовый,0)</f>
        <v/>
      </c>
      <c r="BJ23" s="87">
        <f>IF(CAPEXВключён="Да",BJ22*CAPEXДоля,0)+IF(AND(CAPEXВключён="Да",'03_Сеть'!BJ7=CAPEXДата),CAPEXРазовый,0)</f>
        <v/>
      </c>
      <c r="BK23" s="87">
        <f>IF(CAPEXВключён="Да",BK22*CAPEXДоля,0)+IF(AND(CAPEXВключён="Да",'03_Сеть'!BK7=CAPEXДата),CAPEXРазовый,0)</f>
        <v/>
      </c>
      <c r="BL23" s="87">
        <f>IF(CAPEXВключён="Да",BL22*CAPEXДоля,0)+IF(AND(CAPEXВключён="Да",'03_Сеть'!BL7=CAPEXДата),CAPEXРазовый,0)</f>
        <v/>
      </c>
      <c r="BM23" s="87">
        <f>IF(CAPEXВключён="Да",BM22*CAPEXДоля,0)+IF(AND(CAPEXВключён="Да",'03_Сеть'!BM7=CAPEXДата),CAPEXРазовый,0)</f>
        <v/>
      </c>
      <c r="BN23" s="87">
        <f>IF(CAPEXВключён="Да",BN22*CAPEXДоля,0)+IF(AND(CAPEXВключён="Да",'03_Сеть'!BN7=CAPEXДата),CAPEXРазовый,0)</f>
        <v/>
      </c>
      <c r="BO23" s="87">
        <f>IF(CAPEXВключён="Да",BO22*CAPEXДоля,0)+IF(AND(CAPEXВключён="Да",'03_Сеть'!BO7=CAPEXДата),CAPEXРазовый,0)</f>
        <v/>
      </c>
      <c r="BP23" s="87">
        <f>IF(CAPEXВключён="Да",BP22*CAPEXДоля,0)+IF(AND(CAPEXВключён="Да",'03_Сеть'!BP7=CAPEXДата),CAPEXРазовый,0)</f>
        <v/>
      </c>
      <c r="BQ23" s="87">
        <f>IF(CAPEXВключён="Да",BQ22*CAPEXДоля,0)+IF(AND(CAPEXВключён="Да",'03_Сеть'!BQ7=CAPEXДата),CAPEXРазовый,0)</f>
        <v/>
      </c>
      <c r="BR23" s="87">
        <f>IF(CAPEXВключён="Да",BR22*CAPEXДоля,0)+IF(AND(CAPEXВключён="Да",'03_Сеть'!BR7=CAPEXДата),CAPEXРазовый,0)</f>
        <v/>
      </c>
      <c r="BS23" s="87">
        <f>IF(CAPEXВключён="Да",BS22*CAPEXДоля,0)+IF(AND(CAPEXВключён="Да",'03_Сеть'!BS7=CAPEXДата),CAPEXРазовый,0)</f>
        <v/>
      </c>
      <c r="BT23" s="87">
        <f>IF(CAPEXВключён="Да",BT22*CAPEXДоля,0)+IF(AND(CAPEXВключён="Да",'03_Сеть'!BT7=CAPEXДата),CAPEXРазовый,0)</f>
        <v/>
      </c>
      <c r="BU23" s="87">
        <f>IF(CAPEXВключён="Да",BU22*CAPEXДоля,0)+IF(AND(CAPEXВключён="Да",'03_Сеть'!BU7=CAPEXДата),CAPEXРазовый,0)</f>
        <v/>
      </c>
      <c r="BV23" s="87">
        <f>IF(CAPEXВключён="Да",BV22*CAPEXДоля,0)+IF(AND(CAPEXВключён="Да",'03_Сеть'!BV7=CAPEXДата),CAPEXРазовый,0)</f>
        <v/>
      </c>
      <c r="BW23" s="87">
        <f>IF(CAPEXВключён="Да",BW22*CAPEXДоля,0)+IF(AND(CAPEXВключён="Да",'03_Сеть'!BW7=CAPEXДата),CAPEXРазовый,0)</f>
        <v/>
      </c>
      <c r="BX23" s="87">
        <f>IF(CAPEXВключён="Да",BX22*CAPEXДоля,0)+IF(AND(CAPEXВключён="Да",'03_Сеть'!BX7=CAPEXДата),CAPEXРазовый,0)</f>
        <v/>
      </c>
      <c r="BY23" s="87">
        <f>IF(CAPEXВключён="Да",BY22*CAPEXДоля,0)+IF(AND(CAPEXВключён="Да",'03_Сеть'!BY7=CAPEXДата),CAPEXРазовый,0)</f>
        <v/>
      </c>
    </row>
    <row r="24" ht="15.75" customHeight="1" s="194">
      <c r="B24" s="56" t="inlineStr">
        <is>
          <t>УСН / минимальный налог</t>
        </is>
      </c>
      <c r="C24" s="56" t="inlineStr">
        <is>
          <t>₽</t>
        </is>
      </c>
      <c r="D24" s="57" t="inlineStr">
        <is>
          <t>Что больше: минимальный налог с выручки или УСН с прибыли</t>
        </is>
      </c>
      <c r="E24" s="85">
        <f>SUM(L24:W24)</f>
        <v/>
      </c>
      <c r="F24" s="85">
        <f>SUM(X24:AI24)</f>
        <v/>
      </c>
      <c r="G24" s="85">
        <f>SUM(AJ24:AU24)</f>
        <v/>
      </c>
      <c r="H24" s="85">
        <f>SUM(AV24:BG24)</f>
        <v/>
      </c>
      <c r="I24" s="85">
        <f>SUM(BH24:BS24)</f>
        <v/>
      </c>
      <c r="J24" s="86">
        <f>SUM(L24:BS24)</f>
        <v/>
      </c>
      <c r="L24" s="87">
        <f>MAX(МинНалог*'02_Результат'!L16,СтавкаУСН*MAX(0,'02_Результат'!L33))</f>
        <v/>
      </c>
      <c r="M24" s="87">
        <f>MAX(МинНалог*'02_Результат'!M16,СтавкаУСН*MAX(0,'02_Результат'!M33))</f>
        <v/>
      </c>
      <c r="N24" s="87">
        <f>MAX(МинНалог*'02_Результат'!N16,СтавкаУСН*MAX(0,'02_Результат'!N33))</f>
        <v/>
      </c>
      <c r="O24" s="87">
        <f>MAX(МинНалог*'02_Результат'!O16,СтавкаУСН*MAX(0,'02_Результат'!O33))</f>
        <v/>
      </c>
      <c r="P24" s="87">
        <f>MAX(МинНалог*'02_Результат'!P16,СтавкаУСН*MAX(0,'02_Результат'!P33))</f>
        <v/>
      </c>
      <c r="Q24" s="87">
        <f>MAX(МинНалог*'02_Результат'!Q16,СтавкаУСН*MAX(0,'02_Результат'!Q33))</f>
        <v/>
      </c>
      <c r="R24" s="87">
        <f>MAX(МинНалог*'02_Результат'!R16,СтавкаУСН*MAX(0,'02_Результат'!R33))</f>
        <v/>
      </c>
      <c r="S24" s="87">
        <f>MAX(МинНалог*'02_Результат'!S16,СтавкаУСН*MAX(0,'02_Результат'!S33))</f>
        <v/>
      </c>
      <c r="T24" s="87">
        <f>MAX(МинНалог*'02_Результат'!T16,СтавкаУСН*MAX(0,'02_Результат'!T33))</f>
        <v/>
      </c>
      <c r="U24" s="87">
        <f>MAX(МинНалог*'02_Результат'!U16,СтавкаУСН*MAX(0,'02_Результат'!U33))</f>
        <v/>
      </c>
      <c r="V24" s="87">
        <f>MAX(МинНалог*'02_Результат'!V16,СтавкаУСН*MAX(0,'02_Результат'!V33))</f>
        <v/>
      </c>
      <c r="W24" s="87">
        <f>MAX(МинНалог*'02_Результат'!W16,СтавкаУСН*MAX(0,'02_Результат'!W33))</f>
        <v/>
      </c>
      <c r="X24" s="87">
        <f>MAX(МинНалог*'02_Результат'!X16,СтавкаУСН*MAX(0,'02_Результат'!X33))</f>
        <v/>
      </c>
      <c r="Y24" s="87">
        <f>MAX(МинНалог*'02_Результат'!Y16,СтавкаУСН*MAX(0,'02_Результат'!Y33))</f>
        <v/>
      </c>
      <c r="Z24" s="87">
        <f>MAX(МинНалог*'02_Результат'!Z16,СтавкаУСН*MAX(0,'02_Результат'!Z33))</f>
        <v/>
      </c>
      <c r="AA24" s="87">
        <f>MAX(МинНалог*'02_Результат'!AA16,СтавкаУСН*MAX(0,'02_Результат'!AA33))</f>
        <v/>
      </c>
      <c r="AB24" s="87">
        <f>MAX(МинНалог*'02_Результат'!AB16,СтавкаУСН*MAX(0,'02_Результат'!AB33))</f>
        <v/>
      </c>
      <c r="AC24" s="87">
        <f>MAX(МинНалог*'02_Результат'!AC16,СтавкаУСН*MAX(0,'02_Результат'!AC33))</f>
        <v/>
      </c>
      <c r="AD24" s="87">
        <f>MAX(МинНалог*'02_Результат'!AD16,СтавкаУСН*MAX(0,'02_Результат'!AD33))</f>
        <v/>
      </c>
      <c r="AE24" s="87">
        <f>MAX(МинНалог*'02_Результат'!AE16,СтавкаУСН*MAX(0,'02_Результат'!AE33))</f>
        <v/>
      </c>
      <c r="AF24" s="87">
        <f>MAX(МинНалог*'02_Результат'!AF16,СтавкаУСН*MAX(0,'02_Результат'!AF33))</f>
        <v/>
      </c>
      <c r="AG24" s="87">
        <f>MAX(МинНалог*'02_Результат'!AG16,СтавкаУСН*MAX(0,'02_Результат'!AG33))</f>
        <v/>
      </c>
      <c r="AH24" s="87">
        <f>MAX(МинНалог*'02_Результат'!AH16,СтавкаУСН*MAX(0,'02_Результат'!AH33))</f>
        <v/>
      </c>
      <c r="AI24" s="87">
        <f>MAX(МинНалог*'02_Результат'!AI16,СтавкаУСН*MAX(0,'02_Результат'!AI33))</f>
        <v/>
      </c>
      <c r="AJ24" s="87">
        <f>MAX(МинНалог*'02_Результат'!AJ16,СтавкаУСН*MAX(0,'02_Результат'!AJ33))</f>
        <v/>
      </c>
      <c r="AK24" s="87">
        <f>MAX(МинНалог*'02_Результат'!AK16,СтавкаУСН*MAX(0,'02_Результат'!AK33))</f>
        <v/>
      </c>
      <c r="AL24" s="87">
        <f>MAX(МинНалог*'02_Результат'!AL16,СтавкаУСН*MAX(0,'02_Результат'!AL33))</f>
        <v/>
      </c>
      <c r="AM24" s="87">
        <f>MAX(МинНалог*'02_Результат'!AM16,СтавкаУСН*MAX(0,'02_Результат'!AM33))</f>
        <v/>
      </c>
      <c r="AN24" s="87">
        <f>MAX(МинНалог*'02_Результат'!AN16,СтавкаУСН*MAX(0,'02_Результат'!AN33))</f>
        <v/>
      </c>
      <c r="AO24" s="87">
        <f>MAX(МинНалог*'02_Результат'!AO16,СтавкаУСН*MAX(0,'02_Результат'!AO33))</f>
        <v/>
      </c>
      <c r="AP24" s="87">
        <f>MAX(МинНалог*'02_Результат'!AP16,СтавкаУСН*MAX(0,'02_Результат'!AP33))</f>
        <v/>
      </c>
      <c r="AQ24" s="87">
        <f>MAX(МинНалог*'02_Результат'!AQ16,СтавкаУСН*MAX(0,'02_Результат'!AQ33))</f>
        <v/>
      </c>
      <c r="AR24" s="87">
        <f>MAX(МинНалог*'02_Результат'!AR16,СтавкаУСН*MAX(0,'02_Результат'!AR33))</f>
        <v/>
      </c>
      <c r="AS24" s="87">
        <f>MAX(МинНалог*'02_Результат'!AS16,СтавкаУСН*MAX(0,'02_Результат'!AS33))</f>
        <v/>
      </c>
      <c r="AT24" s="87">
        <f>MAX(МинНалог*'02_Результат'!AT16,СтавкаУСН*MAX(0,'02_Результат'!AT33))</f>
        <v/>
      </c>
      <c r="AU24" s="87">
        <f>MAX(МинНалог*'02_Результат'!AU16,СтавкаУСН*MAX(0,'02_Результат'!AU33))</f>
        <v/>
      </c>
      <c r="AV24" s="87">
        <f>MAX(МинНалог*'02_Результат'!AV16,СтавкаУСН*MAX(0,'02_Результат'!AV33))</f>
        <v/>
      </c>
      <c r="AW24" s="87">
        <f>MAX(МинНалог*'02_Результат'!AW16,СтавкаУСН*MAX(0,'02_Результат'!AW33))</f>
        <v/>
      </c>
      <c r="AX24" s="87">
        <f>MAX(МинНалог*'02_Результат'!AX16,СтавкаУСН*MAX(0,'02_Результат'!AX33))</f>
        <v/>
      </c>
      <c r="AY24" s="87">
        <f>MAX(МинНалог*'02_Результат'!AY16,СтавкаУСН*MAX(0,'02_Результат'!AY33))</f>
        <v/>
      </c>
      <c r="AZ24" s="87">
        <f>MAX(МинНалог*'02_Результат'!AZ16,СтавкаУСН*MAX(0,'02_Результат'!AZ33))</f>
        <v/>
      </c>
      <c r="BA24" s="87">
        <f>MAX(МинНалог*'02_Результат'!BA16,СтавкаУСН*MAX(0,'02_Результат'!BA33))</f>
        <v/>
      </c>
      <c r="BB24" s="87">
        <f>MAX(МинНалог*'02_Результат'!BB16,СтавкаУСН*MAX(0,'02_Результат'!BB33))</f>
        <v/>
      </c>
      <c r="BC24" s="87">
        <f>MAX(МинНалог*'02_Результат'!BC16,СтавкаУСН*MAX(0,'02_Результат'!BC33))</f>
        <v/>
      </c>
      <c r="BD24" s="87">
        <f>MAX(МинНалог*'02_Результат'!BD16,СтавкаУСН*MAX(0,'02_Результат'!BD33))</f>
        <v/>
      </c>
      <c r="BE24" s="87">
        <f>MAX(МинНалог*'02_Результат'!BE16,СтавкаУСН*MAX(0,'02_Результат'!BE33))</f>
        <v/>
      </c>
      <c r="BF24" s="87">
        <f>MAX(МинНалог*'02_Результат'!BF16,СтавкаУСН*MAX(0,'02_Результат'!BF33))</f>
        <v/>
      </c>
      <c r="BG24" s="87">
        <f>MAX(МинНалог*'02_Результат'!BG16,СтавкаУСН*MAX(0,'02_Результат'!BG33))</f>
        <v/>
      </c>
      <c r="BH24" s="87">
        <f>MAX(МинНалог*'02_Результат'!BH16,СтавкаУСН*MAX(0,'02_Результат'!BH33))</f>
        <v/>
      </c>
      <c r="BI24" s="87">
        <f>MAX(МинНалог*'02_Результат'!BI16,СтавкаУСН*MAX(0,'02_Результат'!BI33))</f>
        <v/>
      </c>
      <c r="BJ24" s="87">
        <f>MAX(МинНалог*'02_Результат'!BJ16,СтавкаУСН*MAX(0,'02_Результат'!BJ33))</f>
        <v/>
      </c>
      <c r="BK24" s="87">
        <f>MAX(МинНалог*'02_Результат'!BK16,СтавкаУСН*MAX(0,'02_Результат'!BK33))</f>
        <v/>
      </c>
      <c r="BL24" s="87">
        <f>MAX(МинНалог*'02_Результат'!BL16,СтавкаУСН*MAX(0,'02_Результат'!BL33))</f>
        <v/>
      </c>
      <c r="BM24" s="87">
        <f>MAX(МинНалог*'02_Результат'!BM16,СтавкаУСН*MAX(0,'02_Результат'!BM33))</f>
        <v/>
      </c>
      <c r="BN24" s="87">
        <f>MAX(МинНалог*'02_Результат'!BN16,СтавкаУСН*MAX(0,'02_Результат'!BN33))</f>
        <v/>
      </c>
      <c r="BO24" s="87">
        <f>MAX(МинНалог*'02_Результат'!BO16,СтавкаУСН*MAX(0,'02_Результат'!BO33))</f>
        <v/>
      </c>
      <c r="BP24" s="87">
        <f>MAX(МинНалог*'02_Результат'!BP16,СтавкаУСН*MAX(0,'02_Результат'!BP33))</f>
        <v/>
      </c>
      <c r="BQ24" s="87">
        <f>MAX(МинНалог*'02_Результат'!BQ16,СтавкаУСН*MAX(0,'02_Результат'!BQ33))</f>
        <v/>
      </c>
      <c r="BR24" s="87">
        <f>MAX(МинНалог*'02_Результат'!BR16,СтавкаУСН*MAX(0,'02_Результат'!BR33))</f>
        <v/>
      </c>
      <c r="BS24" s="87">
        <f>MAX(МинНалог*'02_Результат'!BS16,СтавкаУСН*MAX(0,'02_Результат'!BS33))</f>
        <v/>
      </c>
      <c r="BT24" s="87">
        <f>MAX(МинНалог*'02_Результат'!BT16,СтавкаУСН*MAX(0,'02_Результат'!BT33))</f>
        <v/>
      </c>
      <c r="BU24" s="87">
        <f>MAX(МинНалог*'02_Результат'!BU16,СтавкаУСН*MAX(0,'02_Результат'!BU33))</f>
        <v/>
      </c>
      <c r="BV24" s="87">
        <f>MAX(МинНалог*'02_Результат'!BV16,СтавкаУСН*MAX(0,'02_Результат'!BV33))</f>
        <v/>
      </c>
      <c r="BW24" s="87">
        <f>MAX(МинНалог*'02_Результат'!BW16,СтавкаУСН*MAX(0,'02_Результат'!BW33))</f>
        <v/>
      </c>
      <c r="BX24" s="87">
        <f>MAX(МинНалог*'02_Результат'!BX16,СтавкаУСН*MAX(0,'02_Результат'!BX33))</f>
        <v/>
      </c>
      <c r="BY24" s="87">
        <f>MAX(МинНалог*'02_Результат'!BY16,СтавкаУСН*MAX(0,'02_Результат'!BY33))</f>
        <v/>
      </c>
    </row>
    <row r="25" ht="15.75" customHeight="1" s="194">
      <c r="B25" s="56" t="inlineStr">
        <is>
          <t>НДС основной деятельности</t>
        </is>
      </c>
      <c r="C25" s="56" t="inlineStr">
        <is>
          <t>₽</t>
        </is>
      </c>
      <c r="D25" s="57" t="n"/>
      <c r="E25" s="85">
        <f>SUM(L25:W25)</f>
        <v/>
      </c>
      <c r="F25" s="85">
        <f>SUM(X25:AI25)</f>
        <v/>
      </c>
      <c r="G25" s="85">
        <f>SUM(AJ25:AU25)</f>
        <v/>
      </c>
      <c r="H25" s="85">
        <f>SUM(AV25:BG25)</f>
        <v/>
      </c>
      <c r="I25" s="85">
        <f>SUM(BH25:BS25)</f>
        <v/>
      </c>
      <c r="J25" s="86">
        <f>SUM(L25:BS25)</f>
        <v/>
      </c>
      <c r="L25" s="87">
        <f>('02_Результат'!L40+'02_Результат'!L41+'02_Результат'!L42)-('02_Результат'!L40+'02_Результат'!L41+'02_Результат'!L42)/(1+НДС)</f>
        <v/>
      </c>
      <c r="M25" s="87">
        <f>('02_Результат'!M40+'02_Результат'!M41+'02_Результат'!M42)-('02_Результат'!M40+'02_Результат'!M41+'02_Результат'!M42)/(1+НДС)</f>
        <v/>
      </c>
      <c r="N25" s="87">
        <f>('02_Результат'!N40+'02_Результат'!N41+'02_Результат'!N42)-('02_Результат'!N40+'02_Результат'!N41+'02_Результат'!N42)/(1+НДС)</f>
        <v/>
      </c>
      <c r="O25" s="87">
        <f>('02_Результат'!O40+'02_Результат'!O41+'02_Результат'!O42)-('02_Результат'!O40+'02_Результат'!O41+'02_Результат'!O42)/(1+НДС)</f>
        <v/>
      </c>
      <c r="P25" s="87">
        <f>('02_Результат'!P40+'02_Результат'!P41+'02_Результат'!P42)-('02_Результат'!P40+'02_Результат'!P41+'02_Результат'!P42)/(1+НДС)</f>
        <v/>
      </c>
      <c r="Q25" s="87">
        <f>('02_Результат'!Q40+'02_Результат'!Q41+'02_Результат'!Q42)-('02_Результат'!Q40+'02_Результат'!Q41+'02_Результат'!Q42)/(1+НДС)</f>
        <v/>
      </c>
      <c r="R25" s="87">
        <f>('02_Результат'!R40+'02_Результат'!R41+'02_Результат'!R42)-('02_Результат'!R40+'02_Результат'!R41+'02_Результат'!R42)/(1+НДС)</f>
        <v/>
      </c>
      <c r="S25" s="87">
        <f>('02_Результат'!S40+'02_Результат'!S41+'02_Результат'!S42)-('02_Результат'!S40+'02_Результат'!S41+'02_Результат'!S42)/(1+НДС)</f>
        <v/>
      </c>
      <c r="T25" s="87">
        <f>('02_Результат'!T40+'02_Результат'!T41+'02_Результат'!T42)-('02_Результат'!T40+'02_Результат'!T41+'02_Результат'!T42)/(1+НДС)</f>
        <v/>
      </c>
      <c r="U25" s="87">
        <f>('02_Результат'!U40+'02_Результат'!U41+'02_Результат'!U42)-('02_Результат'!U40+'02_Результат'!U41+'02_Результат'!U42)/(1+НДС)</f>
        <v/>
      </c>
      <c r="V25" s="87">
        <f>('02_Результат'!V40+'02_Результат'!V41+'02_Результат'!V42)-('02_Результат'!V40+'02_Результат'!V41+'02_Результат'!V42)/(1+НДС)</f>
        <v/>
      </c>
      <c r="W25" s="87">
        <f>('02_Результат'!W40+'02_Результат'!W41+'02_Результат'!W42)-('02_Результат'!W40+'02_Результат'!W41+'02_Результат'!W42)/(1+НДС)</f>
        <v/>
      </c>
      <c r="X25" s="87">
        <f>('02_Результат'!X40+'02_Результат'!X41+'02_Результат'!X42)-('02_Результат'!X40+'02_Результат'!X41+'02_Результат'!X42)/(1+НДС)</f>
        <v/>
      </c>
      <c r="Y25" s="87">
        <f>('02_Результат'!Y40+'02_Результат'!Y41+'02_Результат'!Y42)-('02_Результат'!Y40+'02_Результат'!Y41+'02_Результат'!Y42)/(1+НДС)</f>
        <v/>
      </c>
      <c r="Z25" s="87">
        <f>('02_Результат'!Z40+'02_Результат'!Z41+'02_Результат'!Z42)-('02_Результат'!Z40+'02_Результат'!Z41+'02_Результат'!Z42)/(1+НДС)</f>
        <v/>
      </c>
      <c r="AA25" s="87">
        <f>('02_Результат'!AA40+'02_Результат'!AA41+'02_Результат'!AA42)-('02_Результат'!AA40+'02_Результат'!AA41+'02_Результат'!AA42)/(1+НДС)</f>
        <v/>
      </c>
      <c r="AB25" s="87">
        <f>('02_Результат'!AB40+'02_Результат'!AB41+'02_Результат'!AB42)-('02_Результат'!AB40+'02_Результат'!AB41+'02_Результат'!AB42)/(1+НДС)</f>
        <v/>
      </c>
      <c r="AC25" s="87">
        <f>('02_Результат'!AC40+'02_Результат'!AC41+'02_Результат'!AC42)-('02_Результат'!AC40+'02_Результат'!AC41+'02_Результат'!AC42)/(1+НДС)</f>
        <v/>
      </c>
      <c r="AD25" s="87">
        <f>('02_Результат'!AD40+'02_Результат'!AD41+'02_Результат'!AD42)-('02_Результат'!AD40+'02_Результат'!AD41+'02_Результат'!AD42)/(1+НДС)</f>
        <v/>
      </c>
      <c r="AE25" s="87">
        <f>('02_Результат'!AE40+'02_Результат'!AE41+'02_Результат'!AE42)-('02_Результат'!AE40+'02_Результат'!AE41+'02_Результат'!AE42)/(1+НДС)</f>
        <v/>
      </c>
      <c r="AF25" s="87">
        <f>('02_Результат'!AF40+'02_Результат'!AF41+'02_Результат'!AF42)-('02_Результат'!AF40+'02_Результат'!AF41+'02_Результат'!AF42)/(1+НДС)</f>
        <v/>
      </c>
      <c r="AG25" s="87">
        <f>('02_Результат'!AG40+'02_Результат'!AG41+'02_Результат'!AG42)-('02_Результат'!AG40+'02_Результат'!AG41+'02_Результат'!AG42)/(1+НДС)</f>
        <v/>
      </c>
      <c r="AH25" s="87">
        <f>('02_Результат'!AH40+'02_Результат'!AH41+'02_Результат'!AH42)-('02_Результат'!AH40+'02_Результат'!AH41+'02_Результат'!AH42)/(1+НДС)</f>
        <v/>
      </c>
      <c r="AI25" s="87">
        <f>('02_Результат'!AI40+'02_Результат'!AI41+'02_Результат'!AI42)-('02_Результат'!AI40+'02_Результат'!AI41+'02_Результат'!AI42)/(1+НДС)</f>
        <v/>
      </c>
      <c r="AJ25" s="87">
        <f>('02_Результат'!AJ40+'02_Результат'!AJ41+'02_Результат'!AJ42)-('02_Результат'!AJ40+'02_Результат'!AJ41+'02_Результат'!AJ42)/(1+НДС)</f>
        <v/>
      </c>
      <c r="AK25" s="87">
        <f>('02_Результат'!AK40+'02_Результат'!AK41+'02_Результат'!AK42)-('02_Результат'!AK40+'02_Результат'!AK41+'02_Результат'!AK42)/(1+НДС)</f>
        <v/>
      </c>
      <c r="AL25" s="87">
        <f>('02_Результат'!AL40+'02_Результат'!AL41+'02_Результат'!AL42)-('02_Результат'!AL40+'02_Результат'!AL41+'02_Результат'!AL42)/(1+НДС)</f>
        <v/>
      </c>
      <c r="AM25" s="87">
        <f>('02_Результат'!AM40+'02_Результат'!AM41+'02_Результат'!AM42)-('02_Результат'!AM40+'02_Результат'!AM41+'02_Результат'!AM42)/(1+НДС)</f>
        <v/>
      </c>
      <c r="AN25" s="87">
        <f>('02_Результат'!AN40+'02_Результат'!AN41+'02_Результат'!AN42)-('02_Результат'!AN40+'02_Результат'!AN41+'02_Результат'!AN42)/(1+НДС)</f>
        <v/>
      </c>
      <c r="AO25" s="87">
        <f>('02_Результат'!AO40+'02_Результат'!AO41+'02_Результат'!AO42)-('02_Результат'!AO40+'02_Результат'!AO41+'02_Результат'!AO42)/(1+НДС)</f>
        <v/>
      </c>
      <c r="AP25" s="87">
        <f>('02_Результат'!AP40+'02_Результат'!AP41+'02_Результат'!AP42)-('02_Результат'!AP40+'02_Результат'!AP41+'02_Результат'!AP42)/(1+НДС)</f>
        <v/>
      </c>
      <c r="AQ25" s="87">
        <f>('02_Результат'!AQ40+'02_Результат'!AQ41+'02_Результат'!AQ42)-('02_Результат'!AQ40+'02_Результат'!AQ41+'02_Результат'!AQ42)/(1+НДС)</f>
        <v/>
      </c>
      <c r="AR25" s="87">
        <f>('02_Результат'!AR40+'02_Результат'!AR41+'02_Результат'!AR42)-('02_Результат'!AR40+'02_Результат'!AR41+'02_Результат'!AR42)/(1+НДС)</f>
        <v/>
      </c>
      <c r="AS25" s="87">
        <f>('02_Результат'!AS40+'02_Результат'!AS41+'02_Результат'!AS42)-('02_Результат'!AS40+'02_Результат'!AS41+'02_Результат'!AS42)/(1+НДС)</f>
        <v/>
      </c>
      <c r="AT25" s="87">
        <f>('02_Результат'!AT40+'02_Результат'!AT41+'02_Результат'!AT42)-('02_Результат'!AT40+'02_Результат'!AT41+'02_Результат'!AT42)/(1+НДС)</f>
        <v/>
      </c>
      <c r="AU25" s="87">
        <f>('02_Результат'!AU40+'02_Результат'!AU41+'02_Результат'!AU42)-('02_Результат'!AU40+'02_Результат'!AU41+'02_Результат'!AU42)/(1+НДС)</f>
        <v/>
      </c>
      <c r="AV25" s="87">
        <f>('02_Результат'!AV40+'02_Результат'!AV41+'02_Результат'!AV42)-('02_Результат'!AV40+'02_Результат'!AV41+'02_Результат'!AV42)/(1+НДС)</f>
        <v/>
      </c>
      <c r="AW25" s="87">
        <f>('02_Результат'!AW40+'02_Результат'!AW41+'02_Результат'!AW42)-('02_Результат'!AW40+'02_Результат'!AW41+'02_Результат'!AW42)/(1+НДС)</f>
        <v/>
      </c>
      <c r="AX25" s="87">
        <f>('02_Результат'!AX40+'02_Результат'!AX41+'02_Результат'!AX42)-('02_Результат'!AX40+'02_Результат'!AX41+'02_Результат'!AX42)/(1+НДС)</f>
        <v/>
      </c>
      <c r="AY25" s="87">
        <f>('02_Результат'!AY40+'02_Результат'!AY41+'02_Результат'!AY42)-('02_Результат'!AY40+'02_Результат'!AY41+'02_Результат'!AY42)/(1+НДС)</f>
        <v/>
      </c>
      <c r="AZ25" s="87">
        <f>('02_Результат'!AZ40+'02_Результат'!AZ41+'02_Результат'!AZ42)-('02_Результат'!AZ40+'02_Результат'!AZ41+'02_Результат'!AZ42)/(1+НДС)</f>
        <v/>
      </c>
      <c r="BA25" s="87">
        <f>('02_Результат'!BA40+'02_Результат'!BA41+'02_Результат'!BA42)-('02_Результат'!BA40+'02_Результат'!BA41+'02_Результат'!BA42)/(1+НДС)</f>
        <v/>
      </c>
      <c r="BB25" s="87">
        <f>('02_Результат'!BB40+'02_Результат'!BB41+'02_Результат'!BB42)-('02_Результат'!BB40+'02_Результат'!BB41+'02_Результат'!BB42)/(1+НДС)</f>
        <v/>
      </c>
      <c r="BC25" s="87">
        <f>('02_Результат'!BC40+'02_Результат'!BC41+'02_Результат'!BC42)-('02_Результат'!BC40+'02_Результат'!BC41+'02_Результат'!BC42)/(1+НДС)</f>
        <v/>
      </c>
      <c r="BD25" s="87">
        <f>('02_Результат'!BD40+'02_Результат'!BD41+'02_Результат'!BD42)-('02_Результат'!BD40+'02_Результат'!BD41+'02_Результат'!BD42)/(1+НДС)</f>
        <v/>
      </c>
      <c r="BE25" s="87">
        <f>('02_Результат'!BE40+'02_Результат'!BE41+'02_Результат'!BE42)-('02_Результат'!BE40+'02_Результат'!BE41+'02_Результат'!BE42)/(1+НДС)</f>
        <v/>
      </c>
      <c r="BF25" s="87">
        <f>('02_Результат'!BF40+'02_Результат'!BF41+'02_Результат'!BF42)-('02_Результат'!BF40+'02_Результат'!BF41+'02_Результат'!BF42)/(1+НДС)</f>
        <v/>
      </c>
      <c r="BG25" s="87">
        <f>('02_Результат'!BG40+'02_Результат'!BG41+'02_Результат'!BG42)-('02_Результат'!BG40+'02_Результат'!BG41+'02_Результат'!BG42)/(1+НДС)</f>
        <v/>
      </c>
      <c r="BH25" s="87">
        <f>('02_Результат'!BH40+'02_Результат'!BH41+'02_Результат'!BH42)-('02_Результат'!BH40+'02_Результат'!BH41+'02_Результат'!BH42)/(1+НДС)</f>
        <v/>
      </c>
      <c r="BI25" s="87">
        <f>('02_Результат'!BI40+'02_Результат'!BI41+'02_Результат'!BI42)-('02_Результат'!BI40+'02_Результат'!BI41+'02_Результат'!BI42)/(1+НДС)</f>
        <v/>
      </c>
      <c r="BJ25" s="87">
        <f>('02_Результат'!BJ40+'02_Результат'!BJ41+'02_Результат'!BJ42)-('02_Результат'!BJ40+'02_Результат'!BJ41+'02_Результат'!BJ42)/(1+НДС)</f>
        <v/>
      </c>
      <c r="BK25" s="87">
        <f>('02_Результат'!BK40+'02_Результат'!BK41+'02_Результат'!BK42)-('02_Результат'!BK40+'02_Результат'!BK41+'02_Результат'!BK42)/(1+НДС)</f>
        <v/>
      </c>
      <c r="BL25" s="87">
        <f>('02_Результат'!BL40+'02_Результат'!BL41+'02_Результат'!BL42)-('02_Результат'!BL40+'02_Результат'!BL41+'02_Результат'!BL42)/(1+НДС)</f>
        <v/>
      </c>
      <c r="BM25" s="87">
        <f>('02_Результат'!BM40+'02_Результат'!BM41+'02_Результат'!BM42)-('02_Результат'!BM40+'02_Результат'!BM41+'02_Результат'!BM42)/(1+НДС)</f>
        <v/>
      </c>
      <c r="BN25" s="87">
        <f>('02_Результат'!BN40+'02_Результат'!BN41+'02_Результат'!BN42)-('02_Результат'!BN40+'02_Результат'!BN41+'02_Результат'!BN42)/(1+НДС)</f>
        <v/>
      </c>
      <c r="BO25" s="87">
        <f>('02_Результат'!BO40+'02_Результат'!BO41+'02_Результат'!BO42)-('02_Результат'!BO40+'02_Результат'!BO41+'02_Результат'!BO42)/(1+НДС)</f>
        <v/>
      </c>
      <c r="BP25" s="87">
        <f>('02_Результат'!BP40+'02_Результат'!BP41+'02_Результат'!BP42)-('02_Результат'!BP40+'02_Результат'!BP41+'02_Результат'!BP42)/(1+НДС)</f>
        <v/>
      </c>
      <c r="BQ25" s="87">
        <f>('02_Результат'!BQ40+'02_Результат'!BQ41+'02_Результат'!BQ42)-('02_Результат'!BQ40+'02_Результат'!BQ41+'02_Результат'!BQ42)/(1+НДС)</f>
        <v/>
      </c>
      <c r="BR25" s="87">
        <f>('02_Результат'!BR40+'02_Результат'!BR41+'02_Результат'!BR42)-('02_Результат'!BR40+'02_Результат'!BR41+'02_Результат'!BR42)/(1+НДС)</f>
        <v/>
      </c>
      <c r="BS25" s="87">
        <f>('02_Результат'!BS40+'02_Результат'!BS41+'02_Результат'!BS42)-('02_Результат'!BS40+'02_Результат'!BS41+'02_Результат'!BS42)/(1+НДС)</f>
        <v/>
      </c>
      <c r="BT25" s="87">
        <f>('02_Результат'!BT40+'02_Результат'!BT41+'02_Результат'!BT42)-('02_Результат'!BT40+'02_Результат'!BT41+'02_Результат'!BT42)/(1+НДС)</f>
        <v/>
      </c>
      <c r="BU25" s="87">
        <f>('02_Результат'!BU40+'02_Результат'!BU41+'02_Результат'!BU42)-('02_Результат'!BU40+'02_Результат'!BU41+'02_Результат'!BU42)/(1+НДС)</f>
        <v/>
      </c>
      <c r="BV25" s="87">
        <f>('02_Результат'!BV40+'02_Результат'!BV41+'02_Результат'!BV42)-('02_Результат'!BV40+'02_Результат'!BV41+'02_Результат'!BV42)/(1+НДС)</f>
        <v/>
      </c>
      <c r="BW25" s="87">
        <f>('02_Результат'!BW40+'02_Результат'!BW41+'02_Результат'!BW42)-('02_Результат'!BW40+'02_Результат'!BW41+'02_Результат'!BW42)/(1+НДС)</f>
        <v/>
      </c>
      <c r="BX25" s="87">
        <f>('02_Результат'!BX40+'02_Результат'!BX41+'02_Результат'!BX42)-('02_Результат'!BX40+'02_Результат'!BX41+'02_Результат'!BX42)/(1+НДС)</f>
        <v/>
      </c>
      <c r="BY25" s="87">
        <f>('02_Результат'!BY40+'02_Результат'!BY41+'02_Результат'!BY42)-('02_Результат'!BY40+'02_Результат'!BY41+'02_Результат'!BY42)/(1+НДС)</f>
        <v/>
      </c>
    </row>
    <row r="26" ht="15.75" customHeight="1" s="194"/>
    <row r="27" ht="15.75" customHeight="1" s="194">
      <c r="B27" s="54" t="inlineStr">
        <is>
          <t>Оборотный капитал</t>
        </is>
      </c>
      <c r="C27" s="55" t="n"/>
      <c r="D27" s="55" t="n"/>
      <c r="E27" s="55" t="n"/>
      <c r="F27" s="55" t="n"/>
      <c r="G27" s="55" t="n"/>
      <c r="H27" s="55" t="n"/>
      <c r="I27" s="55" t="n"/>
      <c r="J27" s="55" t="n"/>
      <c r="K27" s="55" t="n"/>
      <c r="L27" s="55" t="n"/>
      <c r="M27" s="55" t="n"/>
      <c r="N27" s="55" t="n"/>
      <c r="O27" s="55" t="n"/>
      <c r="P27" s="55" t="n"/>
      <c r="Q27" s="55" t="n"/>
      <c r="R27" s="55" t="n"/>
      <c r="S27" s="55" t="n"/>
      <c r="T27" s="55" t="n"/>
      <c r="U27" s="55" t="n"/>
      <c r="V27" s="55" t="n"/>
      <c r="W27" s="55" t="n"/>
      <c r="X27" s="55" t="n"/>
      <c r="Y27" s="55" t="n"/>
      <c r="Z27" s="55" t="n"/>
      <c r="AA27" s="55" t="n"/>
      <c r="AB27" s="55" t="n"/>
      <c r="AC27" s="55" t="n"/>
      <c r="AD27" s="55" t="n"/>
      <c r="AE27" s="55" t="n"/>
      <c r="AF27" s="55" t="n"/>
      <c r="AG27" s="55" t="n"/>
      <c r="AH27" s="55" t="n"/>
      <c r="AI27" s="55" t="n"/>
      <c r="AJ27" s="55" t="n"/>
      <c r="AK27" s="55" t="n"/>
      <c r="AL27" s="55" t="n"/>
      <c r="AM27" s="55" t="n"/>
      <c r="AN27" s="55" t="n"/>
      <c r="AO27" s="55" t="n"/>
      <c r="AP27" s="55" t="n"/>
      <c r="AQ27" s="55" t="n"/>
      <c r="AR27" s="55" t="n"/>
      <c r="AS27" s="55" t="n"/>
      <c r="AT27" s="55" t="n"/>
      <c r="AU27" s="55" t="n"/>
      <c r="AV27" s="55" t="n"/>
      <c r="AW27" s="55" t="n"/>
      <c r="AX27" s="55" t="n"/>
      <c r="AY27" s="55" t="n"/>
      <c r="AZ27" s="55" t="n"/>
      <c r="BA27" s="55" t="n"/>
      <c r="BB27" s="55" t="n"/>
      <c r="BC27" s="55" t="n"/>
      <c r="BD27" s="55" t="n"/>
      <c r="BE27" s="55" t="n"/>
      <c r="BF27" s="55" t="n"/>
      <c r="BG27" s="55" t="n"/>
      <c r="BH27" s="55" t="n"/>
      <c r="BI27" s="55" t="n"/>
      <c r="BJ27" s="55" t="n"/>
      <c r="BK27" s="55" t="n"/>
      <c r="BL27" s="55" t="n"/>
      <c r="BM27" s="55" t="n"/>
      <c r="BN27" s="55" t="n"/>
      <c r="BO27" s="55" t="n"/>
      <c r="BP27" s="55" t="n"/>
      <c r="BQ27" s="55" t="n"/>
      <c r="BR27" s="55" t="n"/>
      <c r="BS27" s="55" t="n"/>
      <c r="BT27" s="55" t="n"/>
      <c r="BU27" s="55" t="n"/>
      <c r="BV27" s="55" t="n"/>
      <c r="BW27" s="55" t="n"/>
      <c r="BX27" s="55" t="n"/>
      <c r="BY27" s="55" t="n"/>
    </row>
    <row r="28" ht="15.75" customHeight="1" s="194">
      <c r="B28" s="56" t="inlineStr">
        <is>
          <t>Дебиторка роялти на конец</t>
        </is>
      </c>
      <c r="C28" s="56" t="inlineStr">
        <is>
          <t>₽</t>
        </is>
      </c>
      <c r="D28" s="57" t="inlineStr">
        <is>
          <t>Начислили минус получили В колонках лет — значение на конец года, в «Итого» — на конец пятого года. Это остаток, а не сумма.</t>
        </is>
      </c>
      <c r="E28" s="85">
        <f>W28</f>
        <v/>
      </c>
      <c r="F28" s="85">
        <f>AI28</f>
        <v/>
      </c>
      <c r="G28" s="85">
        <f>AU28</f>
        <v/>
      </c>
      <c r="H28" s="85">
        <f>BG28</f>
        <v/>
      </c>
      <c r="I28" s="85">
        <f>BS28</f>
        <v/>
      </c>
      <c r="J28" s="86">
        <f>BS28</f>
        <v/>
      </c>
      <c r="L28" s="87">
        <f>'04_Доходы'!$L103/(1+НДС)-'02_Результат'!L41/(1+НДС)</f>
        <v/>
      </c>
      <c r="M28" s="87">
        <f>L28+'04_Доходы'!M103/(1+НДС)-'02_Результат'!M41/(1+НДС)</f>
        <v/>
      </c>
      <c r="N28" s="87">
        <f>M28+'04_Доходы'!N103/(1+НДС)-'02_Результат'!N41/(1+НДС)</f>
        <v/>
      </c>
      <c r="O28" s="87">
        <f>N28+'04_Доходы'!O103/(1+НДС)-'02_Результат'!O41/(1+НДС)</f>
        <v/>
      </c>
      <c r="P28" s="87">
        <f>O28+'04_Доходы'!P103/(1+НДС)-'02_Результат'!P41/(1+НДС)</f>
        <v/>
      </c>
      <c r="Q28" s="87">
        <f>P28+'04_Доходы'!Q103/(1+НДС)-'02_Результат'!Q41/(1+НДС)</f>
        <v/>
      </c>
      <c r="R28" s="87">
        <f>Q28+'04_Доходы'!R103/(1+НДС)-'02_Результат'!R41/(1+НДС)</f>
        <v/>
      </c>
      <c r="S28" s="87">
        <f>R28+'04_Доходы'!S103/(1+НДС)-'02_Результат'!S41/(1+НДС)</f>
        <v/>
      </c>
      <c r="T28" s="87">
        <f>S28+'04_Доходы'!T103/(1+НДС)-'02_Результат'!T41/(1+НДС)</f>
        <v/>
      </c>
      <c r="U28" s="87">
        <f>T28+'04_Доходы'!U103/(1+НДС)-'02_Результат'!U41/(1+НДС)</f>
        <v/>
      </c>
      <c r="V28" s="87">
        <f>U28+'04_Доходы'!V103/(1+НДС)-'02_Результат'!V41/(1+НДС)</f>
        <v/>
      </c>
      <c r="W28" s="87">
        <f>V28+'04_Доходы'!W103/(1+НДС)-'02_Результат'!W41/(1+НДС)</f>
        <v/>
      </c>
      <c r="X28" s="87">
        <f>W28+'04_Доходы'!X103/(1+НДС)-'02_Результат'!X41/(1+НДС)</f>
        <v/>
      </c>
      <c r="Y28" s="87">
        <f>X28+'04_Доходы'!Y103/(1+НДС)-'02_Результат'!Y41/(1+НДС)</f>
        <v/>
      </c>
      <c r="Z28" s="87">
        <f>Y28+'04_Доходы'!Z103/(1+НДС)-'02_Результат'!Z41/(1+НДС)</f>
        <v/>
      </c>
      <c r="AA28" s="87">
        <f>Z28+'04_Доходы'!AA103/(1+НДС)-'02_Результат'!AA41/(1+НДС)</f>
        <v/>
      </c>
      <c r="AB28" s="87">
        <f>AA28+'04_Доходы'!AB103/(1+НДС)-'02_Результат'!AB41/(1+НДС)</f>
        <v/>
      </c>
      <c r="AC28" s="87">
        <f>AB28+'04_Доходы'!AC103/(1+НДС)-'02_Результат'!AC41/(1+НДС)</f>
        <v/>
      </c>
      <c r="AD28" s="87">
        <f>AC28+'04_Доходы'!AD103/(1+НДС)-'02_Результат'!AD41/(1+НДС)</f>
        <v/>
      </c>
      <c r="AE28" s="87">
        <f>AD28+'04_Доходы'!AE103/(1+НДС)-'02_Результат'!AE41/(1+НДС)</f>
        <v/>
      </c>
      <c r="AF28" s="87">
        <f>AE28+'04_Доходы'!AF103/(1+НДС)-'02_Результат'!AF41/(1+НДС)</f>
        <v/>
      </c>
      <c r="AG28" s="87">
        <f>AF28+'04_Доходы'!AG103/(1+НДС)-'02_Результат'!AG41/(1+НДС)</f>
        <v/>
      </c>
      <c r="AH28" s="87">
        <f>AG28+'04_Доходы'!AH103/(1+НДС)-'02_Результат'!AH41/(1+НДС)</f>
        <v/>
      </c>
      <c r="AI28" s="87">
        <f>AH28+'04_Доходы'!AI103/(1+НДС)-'02_Результат'!AI41/(1+НДС)</f>
        <v/>
      </c>
      <c r="AJ28" s="87">
        <f>AI28+'04_Доходы'!AJ103/(1+НДС)-'02_Результат'!AJ41/(1+НДС)</f>
        <v/>
      </c>
      <c r="AK28" s="87">
        <f>AJ28+'04_Доходы'!AK103/(1+НДС)-'02_Результат'!AK41/(1+НДС)</f>
        <v/>
      </c>
      <c r="AL28" s="87">
        <f>AK28+'04_Доходы'!AL103/(1+НДС)-'02_Результат'!AL41/(1+НДС)</f>
        <v/>
      </c>
      <c r="AM28" s="87">
        <f>AL28+'04_Доходы'!AM103/(1+НДС)-'02_Результат'!AM41/(1+НДС)</f>
        <v/>
      </c>
      <c r="AN28" s="87">
        <f>AM28+'04_Доходы'!AN103/(1+НДС)-'02_Результат'!AN41/(1+НДС)</f>
        <v/>
      </c>
      <c r="AO28" s="87">
        <f>AN28+'04_Доходы'!AO103/(1+НДС)-'02_Результат'!AO41/(1+НДС)</f>
        <v/>
      </c>
      <c r="AP28" s="87">
        <f>AO28+'04_Доходы'!AP103/(1+НДС)-'02_Результат'!AP41/(1+НДС)</f>
        <v/>
      </c>
      <c r="AQ28" s="87">
        <f>AP28+'04_Доходы'!AQ103/(1+НДС)-'02_Результат'!AQ41/(1+НДС)</f>
        <v/>
      </c>
      <c r="AR28" s="87">
        <f>AQ28+'04_Доходы'!AR103/(1+НДС)-'02_Результат'!AR41/(1+НДС)</f>
        <v/>
      </c>
      <c r="AS28" s="87">
        <f>AR28+'04_Доходы'!AS103/(1+НДС)-'02_Результат'!AS41/(1+НДС)</f>
        <v/>
      </c>
      <c r="AT28" s="87">
        <f>AS28+'04_Доходы'!AT103/(1+НДС)-'02_Результат'!AT41/(1+НДС)</f>
        <v/>
      </c>
      <c r="AU28" s="87">
        <f>AT28+'04_Доходы'!AU103/(1+НДС)-'02_Результат'!AU41/(1+НДС)</f>
        <v/>
      </c>
      <c r="AV28" s="87">
        <f>AU28+'04_Доходы'!AV103/(1+НДС)-'02_Результат'!AV41/(1+НДС)</f>
        <v/>
      </c>
      <c r="AW28" s="87">
        <f>AV28+'04_Доходы'!AW103/(1+НДС)-'02_Результат'!AW41/(1+НДС)</f>
        <v/>
      </c>
      <c r="AX28" s="87">
        <f>AW28+'04_Доходы'!AX103/(1+НДС)-'02_Результат'!AX41/(1+НДС)</f>
        <v/>
      </c>
      <c r="AY28" s="87">
        <f>AX28+'04_Доходы'!AY103/(1+НДС)-'02_Результат'!AY41/(1+НДС)</f>
        <v/>
      </c>
      <c r="AZ28" s="87">
        <f>AY28+'04_Доходы'!AZ103/(1+НДС)-'02_Результат'!AZ41/(1+НДС)</f>
        <v/>
      </c>
      <c r="BA28" s="87">
        <f>AZ28+'04_Доходы'!BA103/(1+НДС)-'02_Результат'!BA41/(1+НДС)</f>
        <v/>
      </c>
      <c r="BB28" s="87">
        <f>BA28+'04_Доходы'!BB103/(1+НДС)-'02_Результат'!BB41/(1+НДС)</f>
        <v/>
      </c>
      <c r="BC28" s="87">
        <f>BB28+'04_Доходы'!BC103/(1+НДС)-'02_Результат'!BC41/(1+НДС)</f>
        <v/>
      </c>
      <c r="BD28" s="87">
        <f>BC28+'04_Доходы'!BD103/(1+НДС)-'02_Результат'!BD41/(1+НДС)</f>
        <v/>
      </c>
      <c r="BE28" s="87">
        <f>BD28+'04_Доходы'!BE103/(1+НДС)-'02_Результат'!BE41/(1+НДС)</f>
        <v/>
      </c>
      <c r="BF28" s="87">
        <f>BE28+'04_Доходы'!BF103/(1+НДС)-'02_Результат'!BF41/(1+НДС)</f>
        <v/>
      </c>
      <c r="BG28" s="87">
        <f>BF28+'04_Доходы'!BG103/(1+НДС)-'02_Результат'!BG41/(1+НДС)</f>
        <v/>
      </c>
      <c r="BH28" s="87">
        <f>BG28+'04_Доходы'!BH103/(1+НДС)-'02_Результат'!BH41/(1+НДС)</f>
        <v/>
      </c>
      <c r="BI28" s="87">
        <f>BH28+'04_Доходы'!BI103/(1+НДС)-'02_Результат'!BI41/(1+НДС)</f>
        <v/>
      </c>
      <c r="BJ28" s="87">
        <f>BI28+'04_Доходы'!BJ103/(1+НДС)-'02_Результат'!BJ41/(1+НДС)</f>
        <v/>
      </c>
      <c r="BK28" s="87">
        <f>BJ28+'04_Доходы'!BK103/(1+НДС)-'02_Результат'!BK41/(1+НДС)</f>
        <v/>
      </c>
      <c r="BL28" s="87">
        <f>BK28+'04_Доходы'!BL103/(1+НДС)-'02_Результат'!BL41/(1+НДС)</f>
        <v/>
      </c>
      <c r="BM28" s="87">
        <f>BL28+'04_Доходы'!BM103/(1+НДС)-'02_Результат'!BM41/(1+НДС)</f>
        <v/>
      </c>
      <c r="BN28" s="87">
        <f>BM28+'04_Доходы'!BN103/(1+НДС)-'02_Результат'!BN41/(1+НДС)</f>
        <v/>
      </c>
      <c r="BO28" s="87">
        <f>BN28+'04_Доходы'!BO103/(1+НДС)-'02_Результат'!BO41/(1+НДС)</f>
        <v/>
      </c>
      <c r="BP28" s="87">
        <f>BO28+'04_Доходы'!BP103/(1+НДС)-'02_Результат'!BP41/(1+НДС)</f>
        <v/>
      </c>
      <c r="BQ28" s="87">
        <f>BP28+'04_Доходы'!BQ103/(1+НДС)-'02_Результат'!BQ41/(1+НДС)</f>
        <v/>
      </c>
      <c r="BR28" s="87">
        <f>BQ28+'04_Доходы'!BR103/(1+НДС)-'02_Результат'!BR41/(1+НДС)</f>
        <v/>
      </c>
      <c r="BS28" s="87">
        <f>BR28+'04_Доходы'!BS103/(1+НДС)-'02_Результат'!BS41/(1+НДС)</f>
        <v/>
      </c>
      <c r="BT28" s="87">
        <f>BS28+'04_Доходы'!BT103/(1+НДС)-'02_Результат'!BT41/(1+НДС)</f>
        <v/>
      </c>
      <c r="BU28" s="87">
        <f>BT28+'04_Доходы'!BU103/(1+НДС)-'02_Результат'!BU41/(1+НДС)</f>
        <v/>
      </c>
      <c r="BV28" s="87">
        <f>BU28+'04_Доходы'!BV103/(1+НДС)-'02_Результат'!BV41/(1+НДС)</f>
        <v/>
      </c>
      <c r="BW28" s="87">
        <f>BV28+'04_Доходы'!BW103/(1+НДС)-'02_Результат'!BW41/(1+НДС)</f>
        <v/>
      </c>
      <c r="BX28" s="87">
        <f>BW28+'04_Доходы'!BX103/(1+НДС)-'02_Результат'!BX41/(1+НДС)</f>
        <v/>
      </c>
      <c r="BY28" s="87">
        <f>BX28+'04_Доходы'!BY103/(1+НДС)-'02_Результат'!BY41/(1+НДС)</f>
        <v/>
      </c>
    </row>
    <row r="29" ht="15.75" customHeight="1" s="194">
      <c r="B29" s="56" t="inlineStr">
        <is>
          <t>Кредиторка перед поставщиками</t>
        </is>
      </c>
      <c r="C29" s="56" t="inlineStr">
        <is>
          <t>₽</t>
        </is>
      </c>
      <c r="D29" s="57" t="inlineStr">
        <is>
          <t>Начислили минус оплатили В колонках лет — значение на конец года, в «Итого» — на конец пятого года. Это остаток, а не сумма.</t>
        </is>
      </c>
      <c r="E29" s="85">
        <f>W29</f>
        <v/>
      </c>
      <c r="F29" s="85">
        <f>AI29</f>
        <v/>
      </c>
      <c r="G29" s="85">
        <f>AU29</f>
        <v/>
      </c>
      <c r="H29" s="85">
        <f>BG29</f>
        <v/>
      </c>
      <c r="I29" s="85">
        <f>BS29</f>
        <v/>
      </c>
      <c r="J29" s="86">
        <f>BS29</f>
        <v/>
      </c>
      <c r="L29" s="87">
        <f>'05_Расходы'!$L44+$L10-'02_Результат'!L47</f>
        <v/>
      </c>
      <c r="M29" s="87">
        <f>L29+'05_Расходы'!M44+M10-'02_Результат'!M47</f>
        <v/>
      </c>
      <c r="N29" s="87">
        <f>M29+'05_Расходы'!N44+N10-'02_Результат'!N47</f>
        <v/>
      </c>
      <c r="O29" s="87">
        <f>N29+'05_Расходы'!O44+O10-'02_Результат'!O47</f>
        <v/>
      </c>
      <c r="P29" s="87">
        <f>O29+'05_Расходы'!P44+P10-'02_Результат'!P47</f>
        <v/>
      </c>
      <c r="Q29" s="87">
        <f>P29+'05_Расходы'!Q44+Q10-'02_Результат'!Q47</f>
        <v/>
      </c>
      <c r="R29" s="87">
        <f>Q29+'05_Расходы'!R44+R10-'02_Результат'!R47</f>
        <v/>
      </c>
      <c r="S29" s="87">
        <f>R29+'05_Расходы'!S44+S10-'02_Результат'!S47</f>
        <v/>
      </c>
      <c r="T29" s="87">
        <f>S29+'05_Расходы'!T44+T10-'02_Результат'!T47</f>
        <v/>
      </c>
      <c r="U29" s="87">
        <f>T29+'05_Расходы'!U44+U10-'02_Результат'!U47</f>
        <v/>
      </c>
      <c r="V29" s="87">
        <f>U29+'05_Расходы'!V44+V10-'02_Результат'!V47</f>
        <v/>
      </c>
      <c r="W29" s="87">
        <f>V29+'05_Расходы'!W44+W10-'02_Результат'!W47</f>
        <v/>
      </c>
      <c r="X29" s="87">
        <f>W29+'05_Расходы'!X44+X10-'02_Результат'!X47</f>
        <v/>
      </c>
      <c r="Y29" s="87">
        <f>X29+'05_Расходы'!Y44+Y10-'02_Результат'!Y47</f>
        <v/>
      </c>
      <c r="Z29" s="87">
        <f>Y29+'05_Расходы'!Z44+Z10-'02_Результат'!Z47</f>
        <v/>
      </c>
      <c r="AA29" s="87">
        <f>Z29+'05_Расходы'!AA44+AA10-'02_Результат'!AA47</f>
        <v/>
      </c>
      <c r="AB29" s="87">
        <f>AA29+'05_Расходы'!AB44+AB10-'02_Результат'!AB47</f>
        <v/>
      </c>
      <c r="AC29" s="87">
        <f>AB29+'05_Расходы'!AC44+AC10-'02_Результат'!AC47</f>
        <v/>
      </c>
      <c r="AD29" s="87">
        <f>AC29+'05_Расходы'!AD44+AD10-'02_Результат'!AD47</f>
        <v/>
      </c>
      <c r="AE29" s="87">
        <f>AD29+'05_Расходы'!AE44+AE10-'02_Результат'!AE47</f>
        <v/>
      </c>
      <c r="AF29" s="87">
        <f>AE29+'05_Расходы'!AF44+AF10-'02_Результат'!AF47</f>
        <v/>
      </c>
      <c r="AG29" s="87">
        <f>AF29+'05_Расходы'!AG44+AG10-'02_Результат'!AG47</f>
        <v/>
      </c>
      <c r="AH29" s="87">
        <f>AG29+'05_Расходы'!AH44+AH10-'02_Результат'!AH47</f>
        <v/>
      </c>
      <c r="AI29" s="87">
        <f>AH29+'05_Расходы'!AI44+AI10-'02_Результат'!AI47</f>
        <v/>
      </c>
      <c r="AJ29" s="87">
        <f>AI29+'05_Расходы'!AJ44+AJ10-'02_Результат'!AJ47</f>
        <v/>
      </c>
      <c r="AK29" s="87">
        <f>AJ29+'05_Расходы'!AK44+AK10-'02_Результат'!AK47</f>
        <v/>
      </c>
      <c r="AL29" s="87">
        <f>AK29+'05_Расходы'!AL44+AL10-'02_Результат'!AL47</f>
        <v/>
      </c>
      <c r="AM29" s="87">
        <f>AL29+'05_Расходы'!AM44+AM10-'02_Результат'!AM47</f>
        <v/>
      </c>
      <c r="AN29" s="87">
        <f>AM29+'05_Расходы'!AN44+AN10-'02_Результат'!AN47</f>
        <v/>
      </c>
      <c r="AO29" s="87">
        <f>AN29+'05_Расходы'!AO44+AO10-'02_Результат'!AO47</f>
        <v/>
      </c>
      <c r="AP29" s="87">
        <f>AO29+'05_Расходы'!AP44+AP10-'02_Результат'!AP47</f>
        <v/>
      </c>
      <c r="AQ29" s="87">
        <f>AP29+'05_Расходы'!AQ44+AQ10-'02_Результат'!AQ47</f>
        <v/>
      </c>
      <c r="AR29" s="87">
        <f>AQ29+'05_Расходы'!AR44+AR10-'02_Результат'!AR47</f>
        <v/>
      </c>
      <c r="AS29" s="87">
        <f>AR29+'05_Расходы'!AS44+AS10-'02_Результат'!AS47</f>
        <v/>
      </c>
      <c r="AT29" s="87">
        <f>AS29+'05_Расходы'!AT44+AT10-'02_Результат'!AT47</f>
        <v/>
      </c>
      <c r="AU29" s="87">
        <f>AT29+'05_Расходы'!AU44+AU10-'02_Результат'!AU47</f>
        <v/>
      </c>
      <c r="AV29" s="87">
        <f>AU29+'05_Расходы'!AV44+AV10-'02_Результат'!AV47</f>
        <v/>
      </c>
      <c r="AW29" s="87">
        <f>AV29+'05_Расходы'!AW44+AW10-'02_Результат'!AW47</f>
        <v/>
      </c>
      <c r="AX29" s="87">
        <f>AW29+'05_Расходы'!AX44+AX10-'02_Результат'!AX47</f>
        <v/>
      </c>
      <c r="AY29" s="87">
        <f>AX29+'05_Расходы'!AY44+AY10-'02_Результат'!AY47</f>
        <v/>
      </c>
      <c r="AZ29" s="87">
        <f>AY29+'05_Расходы'!AZ44+AZ10-'02_Результат'!AZ47</f>
        <v/>
      </c>
      <c r="BA29" s="87">
        <f>AZ29+'05_Расходы'!BA44+BA10-'02_Результат'!BA47</f>
        <v/>
      </c>
      <c r="BB29" s="87">
        <f>BA29+'05_Расходы'!BB44+BB10-'02_Результат'!BB47</f>
        <v/>
      </c>
      <c r="BC29" s="87">
        <f>BB29+'05_Расходы'!BC44+BC10-'02_Результат'!BC47</f>
        <v/>
      </c>
      <c r="BD29" s="87">
        <f>BC29+'05_Расходы'!BD44+BD10-'02_Результат'!BD47</f>
        <v/>
      </c>
      <c r="BE29" s="87">
        <f>BD29+'05_Расходы'!BE44+BE10-'02_Результат'!BE47</f>
        <v/>
      </c>
      <c r="BF29" s="87">
        <f>BE29+'05_Расходы'!BF44+BF10-'02_Результат'!BF47</f>
        <v/>
      </c>
      <c r="BG29" s="87">
        <f>BF29+'05_Расходы'!BG44+BG10-'02_Результат'!BG47</f>
        <v/>
      </c>
      <c r="BH29" s="87">
        <f>BG29+'05_Расходы'!BH44+BH10-'02_Результат'!BH47</f>
        <v/>
      </c>
      <c r="BI29" s="87">
        <f>BH29+'05_Расходы'!BI44+BI10-'02_Результат'!BI47</f>
        <v/>
      </c>
      <c r="BJ29" s="87">
        <f>BI29+'05_Расходы'!BJ44+BJ10-'02_Результат'!BJ47</f>
        <v/>
      </c>
      <c r="BK29" s="87">
        <f>BJ29+'05_Расходы'!BK44+BK10-'02_Результат'!BK47</f>
        <v/>
      </c>
      <c r="BL29" s="87">
        <f>BK29+'05_Расходы'!BL44+BL10-'02_Результат'!BL47</f>
        <v/>
      </c>
      <c r="BM29" s="87">
        <f>BL29+'05_Расходы'!BM44+BM10-'02_Результат'!BM47</f>
        <v/>
      </c>
      <c r="BN29" s="87">
        <f>BM29+'05_Расходы'!BN44+BN10-'02_Результат'!BN47</f>
        <v/>
      </c>
      <c r="BO29" s="87">
        <f>BN29+'05_Расходы'!BO44+BO10-'02_Результат'!BO47</f>
        <v/>
      </c>
      <c r="BP29" s="87">
        <f>BO29+'05_Расходы'!BP44+BP10-'02_Результат'!BP47</f>
        <v/>
      </c>
      <c r="BQ29" s="87">
        <f>BP29+'05_Расходы'!BQ44+BQ10-'02_Результат'!BQ47</f>
        <v/>
      </c>
      <c r="BR29" s="87">
        <f>BQ29+'05_Расходы'!BR44+BR10-'02_Результат'!BR47</f>
        <v/>
      </c>
      <c r="BS29" s="87">
        <f>BR29+'05_Расходы'!BS44+BS10-'02_Результат'!BS47</f>
        <v/>
      </c>
      <c r="BT29" s="87">
        <f>BS29+'05_Расходы'!BT44+BT10-'02_Результат'!BT47</f>
        <v/>
      </c>
      <c r="BU29" s="87">
        <f>BT29+'05_Расходы'!BU44+BU10-'02_Результат'!BU47</f>
        <v/>
      </c>
      <c r="BV29" s="87">
        <f>BU29+'05_Расходы'!BV44+BV10-'02_Результат'!BV47</f>
        <v/>
      </c>
      <c r="BW29" s="87">
        <f>BV29+'05_Расходы'!BW44+BW10-'02_Результат'!BW47</f>
        <v/>
      </c>
      <c r="BX29" s="87">
        <f>BW29+'05_Расходы'!BX44+BX10-'02_Результат'!BX47</f>
        <v/>
      </c>
      <c r="BY29" s="87">
        <f>BX29+'05_Расходы'!BY44+BY10-'02_Результат'!BY47</f>
        <v/>
      </c>
    </row>
    <row r="30" ht="15.75" customHeight="1" s="194">
      <c r="B30" s="56" t="inlineStr">
        <is>
          <t>Долг перед клубом по операционным выплатам</t>
        </is>
      </c>
      <c r="C30" s="56" t="inlineStr">
        <is>
          <t>₽</t>
        </is>
      </c>
      <c r="D30" s="57" t="inlineStr">
        <is>
          <t>В колонках лет — значение на конец года, в «Итого» — на конец пятого года. Это остаток, а не сумма.</t>
        </is>
      </c>
      <c r="E30" s="85">
        <f>W30</f>
        <v/>
      </c>
      <c r="F30" s="85">
        <f>AI30</f>
        <v/>
      </c>
      <c r="G30" s="85">
        <f>AU30</f>
        <v/>
      </c>
      <c r="H30" s="85">
        <f>BG30</f>
        <v/>
      </c>
      <c r="I30" s="85">
        <f>BS30</f>
        <v/>
      </c>
      <c r="J30" s="86">
        <f>BS30</f>
        <v/>
      </c>
      <c r="L30" s="87">
        <f>'05_Расходы'!$L50-'02_Результат'!L49</f>
        <v/>
      </c>
      <c r="M30" s="87">
        <f>L30+'05_Расходы'!M50-'02_Результат'!M49</f>
        <v/>
      </c>
      <c r="N30" s="87">
        <f>M30+'05_Расходы'!N50-'02_Результат'!N49</f>
        <v/>
      </c>
      <c r="O30" s="87">
        <f>N30+'05_Расходы'!O50-'02_Результат'!O49</f>
        <v/>
      </c>
      <c r="P30" s="87">
        <f>O30+'05_Расходы'!P50-'02_Результат'!P49</f>
        <v/>
      </c>
      <c r="Q30" s="87">
        <f>P30+'05_Расходы'!Q50-'02_Результат'!Q49</f>
        <v/>
      </c>
      <c r="R30" s="87">
        <f>Q30+'05_Расходы'!R50-'02_Результат'!R49</f>
        <v/>
      </c>
      <c r="S30" s="87">
        <f>R30+'05_Расходы'!S50-'02_Результат'!S49</f>
        <v/>
      </c>
      <c r="T30" s="87">
        <f>S30+'05_Расходы'!T50-'02_Результат'!T49</f>
        <v/>
      </c>
      <c r="U30" s="87">
        <f>T30+'05_Расходы'!U50-'02_Результат'!U49</f>
        <v/>
      </c>
      <c r="V30" s="87">
        <f>U30+'05_Расходы'!V50-'02_Результат'!V49</f>
        <v/>
      </c>
      <c r="W30" s="87">
        <f>V30+'05_Расходы'!W50-'02_Результат'!W49</f>
        <v/>
      </c>
      <c r="X30" s="87">
        <f>W30+'05_Расходы'!X50-'02_Результат'!X49</f>
        <v/>
      </c>
      <c r="Y30" s="87">
        <f>X30+'05_Расходы'!Y50-'02_Результат'!Y49</f>
        <v/>
      </c>
      <c r="Z30" s="87">
        <f>Y30+'05_Расходы'!Z50-'02_Результат'!Z49</f>
        <v/>
      </c>
      <c r="AA30" s="87">
        <f>Z30+'05_Расходы'!AA50-'02_Результат'!AA49</f>
        <v/>
      </c>
      <c r="AB30" s="87">
        <f>AA30+'05_Расходы'!AB50-'02_Результат'!AB49</f>
        <v/>
      </c>
      <c r="AC30" s="87">
        <f>AB30+'05_Расходы'!AC50-'02_Результат'!AC49</f>
        <v/>
      </c>
      <c r="AD30" s="87">
        <f>AC30+'05_Расходы'!AD50-'02_Результат'!AD49</f>
        <v/>
      </c>
      <c r="AE30" s="87">
        <f>AD30+'05_Расходы'!AE50-'02_Результат'!AE49</f>
        <v/>
      </c>
      <c r="AF30" s="87">
        <f>AE30+'05_Расходы'!AF50-'02_Результат'!AF49</f>
        <v/>
      </c>
      <c r="AG30" s="87">
        <f>AF30+'05_Расходы'!AG50-'02_Результат'!AG49</f>
        <v/>
      </c>
      <c r="AH30" s="87">
        <f>AG30+'05_Расходы'!AH50-'02_Результат'!AH49</f>
        <v/>
      </c>
      <c r="AI30" s="87">
        <f>AH30+'05_Расходы'!AI50-'02_Результат'!AI49</f>
        <v/>
      </c>
      <c r="AJ30" s="87">
        <f>AI30+'05_Расходы'!AJ50-'02_Результат'!AJ49</f>
        <v/>
      </c>
      <c r="AK30" s="87">
        <f>AJ30+'05_Расходы'!AK50-'02_Результат'!AK49</f>
        <v/>
      </c>
      <c r="AL30" s="87">
        <f>AK30+'05_Расходы'!AL50-'02_Результат'!AL49</f>
        <v/>
      </c>
      <c r="AM30" s="87">
        <f>AL30+'05_Расходы'!AM50-'02_Результат'!AM49</f>
        <v/>
      </c>
      <c r="AN30" s="87">
        <f>AM30+'05_Расходы'!AN50-'02_Результат'!AN49</f>
        <v/>
      </c>
      <c r="AO30" s="87">
        <f>AN30+'05_Расходы'!AO50-'02_Результат'!AO49</f>
        <v/>
      </c>
      <c r="AP30" s="87">
        <f>AO30+'05_Расходы'!AP50-'02_Результат'!AP49</f>
        <v/>
      </c>
      <c r="AQ30" s="87">
        <f>AP30+'05_Расходы'!AQ50-'02_Результат'!AQ49</f>
        <v/>
      </c>
      <c r="AR30" s="87">
        <f>AQ30+'05_Расходы'!AR50-'02_Результат'!AR49</f>
        <v/>
      </c>
      <c r="AS30" s="87">
        <f>AR30+'05_Расходы'!AS50-'02_Результат'!AS49</f>
        <v/>
      </c>
      <c r="AT30" s="87">
        <f>AS30+'05_Расходы'!AT50-'02_Результат'!AT49</f>
        <v/>
      </c>
      <c r="AU30" s="87">
        <f>AT30+'05_Расходы'!AU50-'02_Результат'!AU49</f>
        <v/>
      </c>
      <c r="AV30" s="87">
        <f>AU30+'05_Расходы'!AV50-'02_Результат'!AV49</f>
        <v/>
      </c>
      <c r="AW30" s="87">
        <f>AV30+'05_Расходы'!AW50-'02_Результат'!AW49</f>
        <v/>
      </c>
      <c r="AX30" s="87">
        <f>AW30+'05_Расходы'!AX50-'02_Результат'!AX49</f>
        <v/>
      </c>
      <c r="AY30" s="87">
        <f>AX30+'05_Расходы'!AY50-'02_Результат'!AY49</f>
        <v/>
      </c>
      <c r="AZ30" s="87">
        <f>AY30+'05_Расходы'!AZ50-'02_Результат'!AZ49</f>
        <v/>
      </c>
      <c r="BA30" s="87">
        <f>AZ30+'05_Расходы'!BA50-'02_Результат'!BA49</f>
        <v/>
      </c>
      <c r="BB30" s="87">
        <f>BA30+'05_Расходы'!BB50-'02_Результат'!BB49</f>
        <v/>
      </c>
      <c r="BC30" s="87">
        <f>BB30+'05_Расходы'!BC50-'02_Результат'!BC49</f>
        <v/>
      </c>
      <c r="BD30" s="87">
        <f>BC30+'05_Расходы'!BD50-'02_Результат'!BD49</f>
        <v/>
      </c>
      <c r="BE30" s="87">
        <f>BD30+'05_Расходы'!BE50-'02_Результат'!BE49</f>
        <v/>
      </c>
      <c r="BF30" s="87">
        <f>BE30+'05_Расходы'!BF50-'02_Результат'!BF49</f>
        <v/>
      </c>
      <c r="BG30" s="87">
        <f>BF30+'05_Расходы'!BG50-'02_Результат'!BG49</f>
        <v/>
      </c>
      <c r="BH30" s="87">
        <f>BG30+'05_Расходы'!BH50-'02_Результат'!BH49</f>
        <v/>
      </c>
      <c r="BI30" s="87">
        <f>BH30+'05_Расходы'!BI50-'02_Результат'!BI49</f>
        <v/>
      </c>
      <c r="BJ30" s="87">
        <f>BI30+'05_Расходы'!BJ50-'02_Результат'!BJ49</f>
        <v/>
      </c>
      <c r="BK30" s="87">
        <f>BJ30+'05_Расходы'!BK50-'02_Результат'!BK49</f>
        <v/>
      </c>
      <c r="BL30" s="87">
        <f>BK30+'05_Расходы'!BL50-'02_Результат'!BL49</f>
        <v/>
      </c>
      <c r="BM30" s="87">
        <f>BL30+'05_Расходы'!BM50-'02_Результат'!BM49</f>
        <v/>
      </c>
      <c r="BN30" s="87">
        <f>BM30+'05_Расходы'!BN50-'02_Результат'!BN49</f>
        <v/>
      </c>
      <c r="BO30" s="87">
        <f>BN30+'05_Расходы'!BO50-'02_Результат'!BO49</f>
        <v/>
      </c>
      <c r="BP30" s="87">
        <f>BO30+'05_Расходы'!BP50-'02_Результат'!BP49</f>
        <v/>
      </c>
      <c r="BQ30" s="87">
        <f>BP30+'05_Расходы'!BQ50-'02_Результат'!BQ49</f>
        <v/>
      </c>
      <c r="BR30" s="87">
        <f>BQ30+'05_Расходы'!BR50-'02_Результат'!BR49</f>
        <v/>
      </c>
      <c r="BS30" s="87">
        <f>BR30+'05_Расходы'!BS50-'02_Результат'!BS49</f>
        <v/>
      </c>
      <c r="BT30" s="87">
        <f>BS30+'05_Расходы'!BT50-'02_Результат'!BT49</f>
        <v/>
      </c>
      <c r="BU30" s="87">
        <f>BT30+'05_Расходы'!BU50-'02_Результат'!BU49</f>
        <v/>
      </c>
      <c r="BV30" s="87">
        <f>BU30+'05_Расходы'!BV50-'02_Результат'!BV49</f>
        <v/>
      </c>
      <c r="BW30" s="87">
        <f>BV30+'05_Расходы'!BW50-'02_Результат'!BW49</f>
        <v/>
      </c>
      <c r="BX30" s="87">
        <f>BW30+'05_Расходы'!BX50-'02_Результат'!BX49</f>
        <v/>
      </c>
      <c r="BY30" s="87">
        <f>BX30+'05_Расходы'!BY50-'02_Результат'!BY49</f>
        <v/>
      </c>
    </row>
    <row r="31" ht="15.75" customHeight="1" s="194"/>
    <row r="32" ht="15.75" customHeight="1" s="194"/>
    <row r="33" ht="15.75" customHeight="1" s="194"/>
    <row r="34" ht="15.75" customHeight="1" s="194"/>
    <row r="35" ht="15.75" customHeight="1" s="194"/>
    <row r="36" ht="15.75" customHeight="1" s="194"/>
    <row r="37" ht="15.75" customHeight="1" s="194"/>
    <row r="38" ht="15.75" customHeight="1" s="194"/>
    <row r="39" ht="15.75" customHeight="1" s="194"/>
    <row r="40" ht="15.75" customHeight="1" s="194"/>
    <row r="41" ht="15.75" customHeight="1" s="194"/>
    <row r="42" ht="15.75" customHeight="1" s="194"/>
    <row r="43" ht="15.75" customHeight="1" s="194"/>
    <row r="44" ht="15.75" customHeight="1" s="194"/>
    <row r="45" ht="15.75" customHeight="1" s="194"/>
    <row r="46" ht="15.75" customHeight="1" s="194"/>
    <row r="47" ht="15.75" customHeight="1" s="194"/>
    <row r="48" ht="15.75" customHeight="1" s="194"/>
    <row r="49" ht="15.75" customHeight="1" s="194"/>
    <row r="50" ht="15.75" customHeight="1" s="194"/>
    <row r="51" ht="15.75" customHeight="1" s="194"/>
    <row r="52" ht="15.75" customHeight="1" s="194"/>
    <row r="53" ht="15.75" customHeight="1" s="194"/>
    <row r="54" ht="15.75" customHeight="1" s="194"/>
    <row r="55" ht="15.75" customHeight="1" s="194"/>
    <row r="56" ht="15.75" customHeight="1" s="194"/>
    <row r="57" ht="15.75" customHeight="1" s="194"/>
    <row r="58" ht="15.75" customHeight="1" s="194"/>
    <row r="59" ht="15.75" customHeight="1" s="194"/>
    <row r="60" ht="15.75" customHeight="1" s="194"/>
    <row r="61" ht="15.75" customHeight="1" s="194"/>
    <row r="62" ht="15.75" customHeight="1" s="194"/>
    <row r="63" ht="15.75" customHeight="1" s="194"/>
    <row r="64" ht="15.75" customHeight="1" s="194"/>
    <row r="65" ht="15.75" customHeight="1" s="194"/>
    <row r="66" ht="15.75" customHeight="1" s="194"/>
    <row r="67" ht="15.75" customHeight="1" s="194"/>
    <row r="68" ht="15.75" customHeight="1" s="194"/>
    <row r="69" ht="15.75" customHeight="1" s="194"/>
    <row r="70" ht="15.75" customHeight="1" s="194"/>
    <row r="71" ht="15.75" customHeight="1" s="194"/>
    <row r="72" ht="15.75" customHeight="1" s="194"/>
    <row r="73" ht="15.75" customHeight="1" s="194"/>
    <row r="74" ht="15.75" customHeight="1" s="194"/>
    <row r="75" ht="15.75" customHeight="1" s="194"/>
    <row r="76" ht="15.75" customHeight="1" s="194"/>
    <row r="77" ht="15.75" customHeight="1" s="194"/>
    <row r="78" ht="15.75" customHeight="1" s="194"/>
    <row r="79" ht="15.75" customHeight="1" s="194"/>
    <row r="80" ht="15.75" customHeight="1" s="194"/>
    <row r="81" ht="15.75" customHeight="1" s="194"/>
    <row r="82" ht="15.75" customHeight="1" s="194"/>
    <row r="83" ht="15.75" customHeight="1" s="194"/>
    <row r="84" ht="15.75" customHeight="1" s="194"/>
    <row r="85" ht="15.75" customHeight="1" s="194"/>
    <row r="86" ht="15.75" customHeight="1" s="194"/>
    <row r="87" ht="15.75" customHeight="1" s="194"/>
    <row r="88" ht="15.75" customHeight="1" s="194"/>
    <row r="89" ht="15.75" customHeight="1" s="194"/>
    <row r="90" ht="15.75" customHeight="1" s="194"/>
    <row r="91" ht="15.75" customHeight="1" s="194"/>
    <row r="92" ht="15.75" customHeight="1" s="194"/>
    <row r="93" ht="15.75" customHeight="1" s="194"/>
    <row r="94" ht="15.75" customHeight="1" s="194"/>
    <row r="95" ht="15.75" customHeight="1" s="194"/>
    <row r="96" ht="15.75" customHeight="1" s="194"/>
    <row r="97" ht="15.75" customHeight="1" s="194"/>
    <row r="98" ht="15.75" customHeight="1" s="194"/>
    <row r="99" ht="15.75" customHeight="1" s="194"/>
    <row r="100" ht="15.75" customHeight="1" s="194"/>
    <row r="101" ht="15.75" customHeight="1" s="194"/>
    <row r="102" ht="15.75" customHeight="1" s="194"/>
    <row r="103" ht="15.75" customHeight="1" s="194"/>
    <row r="104" ht="15.75" customHeight="1" s="194"/>
    <row r="105" ht="15.75" customHeight="1" s="194"/>
    <row r="106" ht="15.75" customHeight="1" s="194"/>
    <row r="107" ht="15.75" customHeight="1" s="194"/>
    <row r="108" ht="15.75" customHeight="1" s="194"/>
    <row r="109" ht="15.75" customHeight="1" s="194"/>
    <row r="110" ht="15.75" customHeight="1" s="194"/>
    <row r="111" ht="15.75" customHeight="1" s="194"/>
    <row r="112" ht="15.75" customHeight="1" s="194"/>
    <row r="113" ht="15.75" customHeight="1" s="194"/>
    <row r="114" ht="15.75" customHeight="1" s="194"/>
    <row r="115" ht="15.75" customHeight="1" s="194"/>
    <row r="116" ht="15.75" customHeight="1" s="194"/>
    <row r="117" ht="15.75" customHeight="1" s="194"/>
    <row r="118" ht="15.75" customHeight="1" s="194"/>
    <row r="119" ht="15.75" customHeight="1" s="194"/>
    <row r="120" ht="15.75" customHeight="1" s="194"/>
    <row r="121" ht="15.75" customHeight="1" s="194"/>
    <row r="122" ht="15.75" customHeight="1" s="194"/>
    <row r="123" ht="15.75" customHeight="1" s="194"/>
    <row r="124" ht="15.75" customHeight="1" s="194"/>
    <row r="125" ht="15.75" customHeight="1" s="194"/>
    <row r="126" ht="15.75" customHeight="1" s="194"/>
    <row r="127" ht="15.75" customHeight="1" s="194"/>
    <row r="128" ht="15.75" customHeight="1" s="194"/>
    <row r="129" ht="15.75" customHeight="1" s="194"/>
    <row r="130" ht="15.75" customHeight="1" s="194"/>
    <row r="131" ht="15.75" customHeight="1" s="194"/>
    <row r="132" ht="15.75" customHeight="1" s="194"/>
    <row r="133" ht="15.75" customHeight="1" s="194"/>
    <row r="134" ht="15.75" customHeight="1" s="194"/>
    <row r="135" ht="15.75" customHeight="1" s="194"/>
    <row r="136" ht="15.75" customHeight="1" s="194"/>
    <row r="137" ht="15.75" customHeight="1" s="194"/>
    <row r="138" ht="15.75" customHeight="1" s="194"/>
    <row r="139" ht="15.75" customHeight="1" s="194"/>
    <row r="140" ht="15.75" customHeight="1" s="194"/>
    <row r="141" ht="15.75" customHeight="1" s="194"/>
    <row r="142" ht="15.75" customHeight="1" s="194"/>
    <row r="143" ht="15.75" customHeight="1" s="194"/>
    <row r="144" ht="15.75" customHeight="1" s="194"/>
    <row r="145" ht="15.75" customHeight="1" s="194"/>
    <row r="146" ht="15.75" customHeight="1" s="194"/>
    <row r="147" ht="15.75" customHeight="1" s="194"/>
    <row r="148" ht="15.75" customHeight="1" s="194"/>
    <row r="149" ht="15.75" customHeight="1" s="194"/>
    <row r="150" ht="15.75" customHeight="1" s="194"/>
    <row r="151" ht="15.75" customHeight="1" s="194"/>
    <row r="152" ht="15.75" customHeight="1" s="194"/>
    <row r="153" ht="15.75" customHeight="1" s="194"/>
    <row r="154" ht="15.75" customHeight="1" s="194"/>
    <row r="155" ht="15.75" customHeight="1" s="194"/>
    <row r="156" ht="15.75" customHeight="1" s="194"/>
    <row r="157" ht="15.75" customHeight="1" s="194"/>
    <row r="158" ht="15.75" customHeight="1" s="194"/>
    <row r="159" ht="15.75" customHeight="1" s="194"/>
    <row r="160" ht="15.75" customHeight="1" s="194"/>
    <row r="161" ht="15.75" customHeight="1" s="194"/>
    <row r="162" ht="15.75" customHeight="1" s="194"/>
    <row r="163" ht="15.75" customHeight="1" s="194"/>
    <row r="164" ht="15.75" customHeight="1" s="194"/>
    <row r="165" ht="15.75" customHeight="1" s="194"/>
    <row r="166" ht="15.75" customHeight="1" s="194"/>
    <row r="167" ht="15.75" customHeight="1" s="194"/>
    <row r="168" ht="15.75" customHeight="1" s="194"/>
    <row r="169" ht="15.75" customHeight="1" s="194"/>
    <row r="170" ht="15.75" customHeight="1" s="194"/>
    <row r="171" ht="15.75" customHeight="1" s="194"/>
    <row r="172" ht="15.75" customHeight="1" s="194"/>
    <row r="173" ht="15.75" customHeight="1" s="194"/>
    <row r="174" ht="15.75" customHeight="1" s="194"/>
    <row r="175" ht="15.75" customHeight="1" s="194"/>
    <row r="176" ht="15.75" customHeight="1" s="194"/>
    <row r="177" ht="15.75" customHeight="1" s="194"/>
    <row r="178" ht="15.75" customHeight="1" s="194"/>
    <row r="179" ht="15.75" customHeight="1" s="194"/>
    <row r="180" ht="15.75" customHeight="1" s="194"/>
    <row r="181" ht="15.75" customHeight="1" s="194"/>
    <row r="182" ht="15.75" customHeight="1" s="194"/>
    <row r="183" ht="15.75" customHeight="1" s="194"/>
    <row r="184" ht="15.75" customHeight="1" s="194"/>
    <row r="185" ht="15.75" customHeight="1" s="194"/>
    <row r="186" ht="15.75" customHeight="1" s="194"/>
    <row r="187" ht="15.75" customHeight="1" s="194"/>
    <row r="188" ht="15.75" customHeight="1" s="194"/>
    <row r="189" ht="15.75" customHeight="1" s="194"/>
    <row r="190" ht="15.75" customHeight="1" s="194"/>
    <row r="191" ht="15.75" customHeight="1" s="194"/>
    <row r="192" ht="15.75" customHeight="1" s="194"/>
    <row r="193" ht="15.75" customHeight="1" s="194"/>
    <row r="194" ht="15.75" customHeight="1" s="194"/>
    <row r="195" ht="15.75" customHeight="1" s="194"/>
    <row r="196" ht="15.75" customHeight="1" s="194"/>
    <row r="197" ht="15.75" customHeight="1" s="194"/>
    <row r="198" ht="15.75" customHeight="1" s="194"/>
    <row r="199" ht="15.75" customHeight="1" s="194"/>
    <row r="200" ht="15.75" customHeight="1" s="194"/>
    <row r="201" ht="15.75" customHeight="1" s="194"/>
    <row r="202" ht="15.75" customHeight="1" s="194"/>
    <row r="203" ht="15.75" customHeight="1" s="194"/>
    <row r="204" ht="15.75" customHeight="1" s="194"/>
    <row r="205" ht="15.75" customHeight="1" s="194"/>
    <row r="206" ht="15.75" customHeight="1" s="194"/>
    <row r="207" ht="15.75" customHeight="1" s="194"/>
    <row r="208" ht="15.75" customHeight="1" s="194"/>
    <row r="209" ht="15.75" customHeight="1" s="194"/>
    <row r="210" ht="15.75" customHeight="1" s="194"/>
    <row r="211" ht="15.75" customHeight="1" s="194"/>
    <row r="212" ht="15.75" customHeight="1" s="194"/>
    <row r="213" ht="15.75" customHeight="1" s="194"/>
    <row r="214" ht="15.75" customHeight="1" s="194"/>
    <row r="215" ht="15.75" customHeight="1" s="194"/>
    <row r="216" ht="15.75" customHeight="1" s="194"/>
    <row r="217" ht="15.75" customHeight="1" s="194"/>
    <row r="218" ht="15.75" customHeight="1" s="194"/>
    <row r="219" ht="15.75" customHeight="1" s="194"/>
    <row r="220" ht="15.75" customHeight="1" s="194"/>
    <row r="221" ht="15.75" customHeight="1" s="194"/>
    <row r="222" ht="15.75" customHeight="1" s="194"/>
    <row r="223" ht="15.75" customHeight="1" s="194"/>
    <row r="224" ht="15.75" customHeight="1" s="194"/>
    <row r="225" ht="15.75" customHeight="1" s="194"/>
    <row r="226" ht="15.75" customHeight="1" s="194"/>
    <row r="227" ht="15.75" customHeight="1" s="194"/>
    <row r="228" ht="15.75" customHeight="1" s="194"/>
    <row r="229" ht="15.75" customHeight="1" s="194"/>
    <row r="230" ht="15.75" customHeight="1" s="194"/>
    <row r="231" ht="15.75" customHeight="1" s="194"/>
    <row r="232" ht="15.75" customHeight="1" s="194"/>
    <row r="233" ht="15.75" customHeight="1" s="194"/>
    <row r="234" ht="15.75" customHeight="1" s="194"/>
    <row r="235" ht="15.75" customHeight="1" s="194"/>
    <row r="236" ht="15.75" customHeight="1" s="194"/>
    <row r="237" ht="15.75" customHeight="1" s="194"/>
    <row r="238" ht="15.75" customHeight="1" s="194"/>
    <row r="239" ht="15.75" customHeight="1" s="194"/>
    <row r="240" ht="15.75" customHeight="1" s="194"/>
    <row r="241" ht="15.75" customHeight="1" s="194"/>
    <row r="242" ht="15.75" customHeight="1" s="194"/>
    <row r="243" ht="15.75" customHeight="1" s="194"/>
    <row r="244" ht="15.75" customHeight="1" s="194"/>
    <row r="245" ht="15.75" customHeight="1" s="194"/>
    <row r="246" ht="15.75" customHeight="1" s="194"/>
    <row r="247" ht="15.75" customHeight="1" s="194"/>
    <row r="248" ht="15.75" customHeight="1" s="194"/>
    <row r="249" ht="15.75" customHeight="1" s="194"/>
    <row r="250" ht="15.75" customHeight="1" s="194"/>
    <row r="251" ht="15.75" customHeight="1" s="194"/>
    <row r="252" ht="15.75" customHeight="1" s="194"/>
    <row r="253" ht="15.75" customHeight="1" s="194"/>
    <row r="254" ht="15.75" customHeight="1" s="194"/>
    <row r="255" ht="15.75" customHeight="1" s="194"/>
    <row r="256" ht="15.75" customHeight="1" s="194"/>
    <row r="257" ht="15.75" customHeight="1" s="194"/>
    <row r="258" ht="15.75" customHeight="1" s="194"/>
    <row r="259" ht="15.75" customHeight="1" s="194"/>
    <row r="260" ht="15.75" customHeight="1" s="194"/>
    <row r="261" ht="15.75" customHeight="1" s="194"/>
    <row r="262" ht="15.75" customHeight="1" s="194"/>
    <row r="263" ht="15.75" customHeight="1" s="194"/>
    <row r="264" ht="15.75" customHeight="1" s="194"/>
    <row r="265" ht="15.75" customHeight="1" s="194"/>
    <row r="266" ht="15.75" customHeight="1" s="194"/>
    <row r="267" ht="15.75" customHeight="1" s="194"/>
    <row r="268" ht="15.75" customHeight="1" s="194"/>
    <row r="269" ht="15.75" customHeight="1" s="194"/>
    <row r="270" ht="15.75" customHeight="1" s="194"/>
    <row r="271" ht="15.75" customHeight="1" s="194"/>
    <row r="272" ht="15.75" customHeight="1" s="194"/>
    <row r="273" ht="15.75" customHeight="1" s="194"/>
    <row r="274" ht="15.75" customHeight="1" s="194"/>
    <row r="275" ht="15.75" customHeight="1" s="194"/>
    <row r="276" ht="15.75" customHeight="1" s="194"/>
    <row r="277" ht="15.75" customHeight="1" s="194"/>
    <row r="278" ht="15.75" customHeight="1" s="194"/>
    <row r="279" ht="15.75" customHeight="1" s="194"/>
    <row r="280" ht="15.75" customHeight="1" s="194"/>
    <row r="281" ht="15.75" customHeight="1" s="194"/>
    <row r="282" ht="15.75" customHeight="1" s="194"/>
    <row r="283" ht="15.75" customHeight="1" s="194"/>
    <row r="284" ht="15.75" customHeight="1" s="194"/>
    <row r="285" ht="15.75" customHeight="1" s="194"/>
    <row r="286" ht="15.75" customHeight="1" s="194"/>
    <row r="287" ht="15.75" customHeight="1" s="194"/>
    <row r="288" ht="15.75" customHeight="1" s="194"/>
    <row r="289" ht="15.75" customHeight="1" s="194"/>
    <row r="290" ht="15.75" customHeight="1" s="194"/>
    <row r="291" ht="15.75" customHeight="1" s="194"/>
    <row r="292" ht="15.75" customHeight="1" s="194"/>
    <row r="293" ht="15.75" customHeight="1" s="194"/>
    <row r="294" ht="15.75" customHeight="1" s="194"/>
    <row r="295" ht="15.75" customHeight="1" s="194"/>
    <row r="296" ht="15.75" customHeight="1" s="194"/>
    <row r="297" ht="15.75" customHeight="1" s="194"/>
    <row r="298" ht="15.75" customHeight="1" s="194"/>
    <row r="299" ht="15.75" customHeight="1" s="194"/>
    <row r="300" ht="15.75" customHeight="1" s="194"/>
    <row r="301" ht="15.75" customHeight="1" s="194"/>
    <row r="302" ht="15.75" customHeight="1" s="194"/>
    <row r="303" ht="15.75" customHeight="1" s="194"/>
    <row r="304" ht="15.75" customHeight="1" s="194"/>
    <row r="305" ht="15.75" customHeight="1" s="194"/>
    <row r="306" ht="15.75" customHeight="1" s="194"/>
    <row r="307" ht="15.75" customHeight="1" s="194"/>
    <row r="308" ht="15.75" customHeight="1" s="194"/>
    <row r="309" ht="15.75" customHeight="1" s="194"/>
    <row r="310" ht="15.75" customHeight="1" s="194"/>
    <row r="311" ht="15.75" customHeight="1" s="194"/>
    <row r="312" ht="15.75" customHeight="1" s="194"/>
    <row r="313" ht="15.75" customHeight="1" s="194"/>
    <row r="314" ht="15.75" customHeight="1" s="194"/>
    <row r="315" ht="15.75" customHeight="1" s="194"/>
    <row r="316" ht="15.75" customHeight="1" s="194"/>
    <row r="317" ht="15.75" customHeight="1" s="194"/>
    <row r="318" ht="15.75" customHeight="1" s="194"/>
    <row r="319" ht="15.75" customHeight="1" s="194"/>
    <row r="320" ht="15.75" customHeight="1" s="194"/>
    <row r="321" ht="15.75" customHeight="1" s="194"/>
    <row r="322" ht="15.75" customHeight="1" s="194"/>
    <row r="323" ht="15.75" customHeight="1" s="194"/>
    <row r="324" ht="15.75" customHeight="1" s="194"/>
    <row r="325" ht="15.75" customHeight="1" s="194"/>
    <row r="326" ht="15.75" customHeight="1" s="194"/>
    <row r="327" ht="15.75" customHeight="1" s="194"/>
    <row r="328" ht="15.75" customHeight="1" s="194"/>
    <row r="329" ht="15.75" customHeight="1" s="194"/>
    <row r="330" ht="15.75" customHeight="1" s="194"/>
    <row r="331" ht="15.75" customHeight="1" s="194"/>
    <row r="332" ht="15.75" customHeight="1" s="194"/>
    <row r="333" ht="15.75" customHeight="1" s="194"/>
    <row r="334" ht="15.75" customHeight="1" s="194"/>
    <row r="335" ht="15.75" customHeight="1" s="194"/>
    <row r="336" ht="15.75" customHeight="1" s="194"/>
    <row r="337" ht="15.75" customHeight="1" s="194"/>
    <row r="338" ht="15.75" customHeight="1" s="194"/>
    <row r="339" ht="15.75" customHeight="1" s="194"/>
    <row r="340" ht="15.75" customHeight="1" s="194"/>
    <row r="341" ht="15.75" customHeight="1" s="194"/>
    <row r="342" ht="15.75" customHeight="1" s="194"/>
    <row r="343" ht="15.75" customHeight="1" s="194"/>
    <row r="344" ht="15.75" customHeight="1" s="194"/>
    <row r="345" ht="15.75" customHeight="1" s="194"/>
    <row r="346" ht="15.75" customHeight="1" s="194"/>
    <row r="347" ht="15.75" customHeight="1" s="194"/>
    <row r="348" ht="15.75" customHeight="1" s="194"/>
    <row r="349" ht="15.75" customHeight="1" s="194"/>
    <row r="350" ht="15.75" customHeight="1" s="194"/>
    <row r="351" ht="15.75" customHeight="1" s="194"/>
    <row r="352" ht="15.75" customHeight="1" s="194"/>
    <row r="353" ht="15.75" customHeight="1" s="194"/>
    <row r="354" ht="15.75" customHeight="1" s="194"/>
    <row r="355" ht="15.75" customHeight="1" s="194"/>
    <row r="356" ht="15.75" customHeight="1" s="194"/>
    <row r="357" ht="15.75" customHeight="1" s="194"/>
    <row r="358" ht="15.75" customHeight="1" s="194"/>
    <row r="359" ht="15.75" customHeight="1" s="194"/>
    <row r="360" ht="15.75" customHeight="1" s="194"/>
    <row r="361" ht="15.75" customHeight="1" s="194"/>
    <row r="362" ht="15.75" customHeight="1" s="194"/>
    <row r="363" ht="15.75" customHeight="1" s="194"/>
    <row r="364" ht="15.75" customHeight="1" s="194"/>
    <row r="365" ht="15.75" customHeight="1" s="194"/>
    <row r="366" ht="15.75" customHeight="1" s="194"/>
    <row r="367" ht="15.75" customHeight="1" s="194"/>
    <row r="368" ht="15.75" customHeight="1" s="194"/>
    <row r="369" ht="15.75" customHeight="1" s="194"/>
    <row r="370" ht="15.75" customHeight="1" s="194"/>
    <row r="371" ht="15.75" customHeight="1" s="194"/>
    <row r="372" ht="15.75" customHeight="1" s="194"/>
    <row r="373" ht="15.75" customHeight="1" s="194"/>
    <row r="374" ht="15.75" customHeight="1" s="194"/>
    <row r="375" ht="15.75" customHeight="1" s="194"/>
    <row r="376" ht="15.75" customHeight="1" s="194"/>
    <row r="377" ht="15.75" customHeight="1" s="194"/>
    <row r="378" ht="15.75" customHeight="1" s="194"/>
    <row r="379" ht="15.75" customHeight="1" s="194"/>
    <row r="380" ht="15.75" customHeight="1" s="194"/>
    <row r="381" ht="15.75" customHeight="1" s="194"/>
    <row r="382" ht="15.75" customHeight="1" s="194"/>
    <row r="383" ht="15.75" customHeight="1" s="194"/>
    <row r="384" ht="15.75" customHeight="1" s="194"/>
    <row r="385" ht="15.75" customHeight="1" s="194"/>
    <row r="386" ht="15.75" customHeight="1" s="194"/>
    <row r="387" ht="15.75" customHeight="1" s="194"/>
    <row r="388" ht="15.75" customHeight="1" s="194"/>
    <row r="389" ht="15.75" customHeight="1" s="194"/>
    <row r="390" ht="15.75" customHeight="1" s="194"/>
    <row r="391" ht="15.75" customHeight="1" s="194"/>
    <row r="392" ht="15.75" customHeight="1" s="194"/>
    <row r="393" ht="15.75" customHeight="1" s="194"/>
    <row r="394" ht="15.75" customHeight="1" s="194"/>
    <row r="395" ht="15.75" customHeight="1" s="194"/>
    <row r="396" ht="15.75" customHeight="1" s="194"/>
    <row r="397" ht="15.75" customHeight="1" s="194"/>
    <row r="398" ht="15.75" customHeight="1" s="194"/>
    <row r="399" ht="15.75" customHeight="1" s="194"/>
    <row r="400" ht="15.75" customHeight="1" s="194"/>
    <row r="401" ht="15.75" customHeight="1" s="194"/>
    <row r="402" ht="15.75" customHeight="1" s="194"/>
    <row r="403" ht="15.75" customHeight="1" s="194"/>
    <row r="404" ht="15.75" customHeight="1" s="194"/>
    <row r="405" ht="15.75" customHeight="1" s="194"/>
    <row r="406" ht="15.75" customHeight="1" s="194"/>
    <row r="407" ht="15.75" customHeight="1" s="194"/>
    <row r="408" ht="15.75" customHeight="1" s="194"/>
    <row r="409" ht="15.75" customHeight="1" s="194"/>
    <row r="410" ht="15.75" customHeight="1" s="194"/>
    <row r="411" ht="15.75" customHeight="1" s="194"/>
    <row r="412" ht="15.75" customHeight="1" s="194"/>
    <row r="413" ht="15.75" customHeight="1" s="194"/>
    <row r="414" ht="15.75" customHeight="1" s="194"/>
    <row r="415" ht="15.75" customHeight="1" s="194"/>
    <row r="416" ht="15.75" customHeight="1" s="194"/>
    <row r="417" ht="15.75" customHeight="1" s="194"/>
    <row r="418" ht="15.75" customHeight="1" s="194"/>
    <row r="419" ht="15.75" customHeight="1" s="194"/>
    <row r="420" ht="15.75" customHeight="1" s="194"/>
    <row r="421" ht="15.75" customHeight="1" s="194"/>
    <row r="422" ht="15.75" customHeight="1" s="194"/>
    <row r="423" ht="15.75" customHeight="1" s="194"/>
    <row r="424" ht="15.75" customHeight="1" s="194"/>
    <row r="425" ht="15.75" customHeight="1" s="194"/>
    <row r="426" ht="15.75" customHeight="1" s="194"/>
    <row r="427" ht="15.75" customHeight="1" s="194"/>
    <row r="428" ht="15.75" customHeight="1" s="194"/>
    <row r="429" ht="15.75" customHeight="1" s="194"/>
    <row r="430" ht="15.75" customHeight="1" s="194"/>
    <row r="431" ht="15.75" customHeight="1" s="194"/>
    <row r="432" ht="15.75" customHeight="1" s="194"/>
    <row r="433" ht="15.75" customHeight="1" s="194"/>
    <row r="434" ht="15.75" customHeight="1" s="194"/>
    <row r="435" ht="15.75" customHeight="1" s="194"/>
    <row r="436" ht="15.75" customHeight="1" s="194"/>
    <row r="437" ht="15.75" customHeight="1" s="194"/>
    <row r="438" ht="15.75" customHeight="1" s="194"/>
    <row r="439" ht="15.75" customHeight="1" s="194"/>
    <row r="440" ht="15.75" customHeight="1" s="194"/>
    <row r="441" ht="15.75" customHeight="1" s="194"/>
    <row r="442" ht="15.75" customHeight="1" s="194"/>
    <row r="443" ht="15.75" customHeight="1" s="194"/>
    <row r="444" ht="15.75" customHeight="1" s="194"/>
    <row r="445" ht="15.75" customHeight="1" s="194"/>
    <row r="446" ht="15.75" customHeight="1" s="194"/>
    <row r="447" ht="15.75" customHeight="1" s="194"/>
    <row r="448" ht="15.75" customHeight="1" s="194"/>
    <row r="449" ht="15.75" customHeight="1" s="194"/>
    <row r="450" ht="15.75" customHeight="1" s="194"/>
    <row r="451" ht="15.75" customHeight="1" s="194"/>
    <row r="452" ht="15.75" customHeight="1" s="194"/>
    <row r="453" ht="15.75" customHeight="1" s="194"/>
    <row r="454" ht="15.75" customHeight="1" s="194"/>
    <row r="455" ht="15.75" customHeight="1" s="194"/>
    <row r="456" ht="15.75" customHeight="1" s="194"/>
    <row r="457" ht="15.75" customHeight="1" s="194"/>
    <row r="458" ht="15.75" customHeight="1" s="194"/>
    <row r="459" ht="15.75" customHeight="1" s="194"/>
    <row r="460" ht="15.75" customHeight="1" s="194"/>
    <row r="461" ht="15.75" customHeight="1" s="194"/>
    <row r="462" ht="15.75" customHeight="1" s="194"/>
    <row r="463" ht="15.75" customHeight="1" s="194"/>
    <row r="464" ht="15.75" customHeight="1" s="194"/>
    <row r="465" ht="15.75" customHeight="1" s="194"/>
    <row r="466" ht="15.75" customHeight="1" s="194"/>
    <row r="467" ht="15.75" customHeight="1" s="194"/>
    <row r="468" ht="15.75" customHeight="1" s="194"/>
    <row r="469" ht="15.75" customHeight="1" s="194"/>
    <row r="470" ht="15.75" customHeight="1" s="194"/>
    <row r="471" ht="15.75" customHeight="1" s="194"/>
    <row r="472" ht="15.75" customHeight="1" s="194"/>
    <row r="473" ht="15.75" customHeight="1" s="194"/>
    <row r="474" ht="15.75" customHeight="1" s="194"/>
    <row r="475" ht="15.75" customHeight="1" s="194"/>
    <row r="476" ht="15.75" customHeight="1" s="194"/>
    <row r="477" ht="15.75" customHeight="1" s="194"/>
    <row r="478" ht="15.75" customHeight="1" s="194"/>
    <row r="479" ht="15.75" customHeight="1" s="194"/>
    <row r="480" ht="15.75" customHeight="1" s="194"/>
    <row r="481" ht="15.75" customHeight="1" s="194"/>
    <row r="482" ht="15.75" customHeight="1" s="194"/>
    <row r="483" ht="15.75" customHeight="1" s="194"/>
    <row r="484" ht="15.75" customHeight="1" s="194"/>
    <row r="485" ht="15.75" customHeight="1" s="194"/>
    <row r="486" ht="15.75" customHeight="1" s="194"/>
    <row r="487" ht="15.75" customHeight="1" s="194"/>
    <row r="488" ht="15.75" customHeight="1" s="194"/>
    <row r="489" ht="15.75" customHeight="1" s="194"/>
    <row r="490" ht="15.75" customHeight="1" s="194"/>
    <row r="491" ht="15.75" customHeight="1" s="194"/>
    <row r="492" ht="15.75" customHeight="1" s="194"/>
    <row r="493" ht="15.75" customHeight="1" s="194"/>
    <row r="494" ht="15.75" customHeight="1" s="194"/>
    <row r="495" ht="15.75" customHeight="1" s="194"/>
    <row r="496" ht="15.75" customHeight="1" s="194"/>
    <row r="497" ht="15.75" customHeight="1" s="194"/>
    <row r="498" ht="15.75" customHeight="1" s="194"/>
    <row r="499" ht="15.75" customHeight="1" s="194"/>
    <row r="500" ht="15.75" customHeight="1" s="194"/>
    <row r="501" ht="15.75" customHeight="1" s="194"/>
    <row r="502" ht="15.75" customHeight="1" s="194"/>
    <row r="503" ht="15.75" customHeight="1" s="194"/>
    <row r="504" ht="15.75" customHeight="1" s="194"/>
    <row r="505" ht="15.75" customHeight="1" s="194"/>
    <row r="506" ht="15.75" customHeight="1" s="194"/>
    <row r="507" ht="15.75" customHeight="1" s="194"/>
    <row r="508" ht="15.75" customHeight="1" s="194"/>
    <row r="509" ht="15.75" customHeight="1" s="194"/>
    <row r="510" ht="15.75" customHeight="1" s="194"/>
    <row r="511" ht="15.75" customHeight="1" s="194"/>
    <row r="512" ht="15.75" customHeight="1" s="194"/>
    <row r="513" ht="15.75" customHeight="1" s="194"/>
    <row r="514" ht="15.75" customHeight="1" s="194"/>
    <row r="515" ht="15.75" customHeight="1" s="194"/>
    <row r="516" ht="15.75" customHeight="1" s="194"/>
    <row r="517" ht="15.75" customHeight="1" s="194"/>
    <row r="518" ht="15.75" customHeight="1" s="194"/>
    <row r="519" ht="15.75" customHeight="1" s="194"/>
    <row r="520" ht="15.75" customHeight="1" s="194"/>
    <row r="521" ht="15.75" customHeight="1" s="194"/>
    <row r="522" ht="15.75" customHeight="1" s="194"/>
    <row r="523" ht="15.75" customHeight="1" s="194"/>
    <row r="524" ht="15.75" customHeight="1" s="194"/>
    <row r="525" ht="15.75" customHeight="1" s="194"/>
    <row r="526" ht="15.75" customHeight="1" s="194"/>
    <row r="527" ht="15.75" customHeight="1" s="194"/>
    <row r="528" ht="15.75" customHeight="1" s="194"/>
    <row r="529" ht="15.75" customHeight="1" s="194"/>
    <row r="530" ht="15.75" customHeight="1" s="194"/>
    <row r="531" ht="15.75" customHeight="1" s="194"/>
    <row r="532" ht="15.75" customHeight="1" s="194"/>
    <row r="533" ht="15.75" customHeight="1" s="194"/>
    <row r="534" ht="15.75" customHeight="1" s="194"/>
    <row r="535" ht="15.75" customHeight="1" s="194"/>
    <row r="536" ht="15.75" customHeight="1" s="194"/>
    <row r="537" ht="15.75" customHeight="1" s="194"/>
    <row r="538" ht="15.75" customHeight="1" s="194"/>
    <row r="539" ht="15.75" customHeight="1" s="194"/>
    <row r="540" ht="15.75" customHeight="1" s="194"/>
    <row r="541" ht="15.75" customHeight="1" s="194"/>
    <row r="542" ht="15.75" customHeight="1" s="194"/>
    <row r="543" ht="15.75" customHeight="1" s="194"/>
    <row r="544" ht="15.75" customHeight="1" s="194"/>
    <row r="545" ht="15.75" customHeight="1" s="194"/>
    <row r="546" ht="15.75" customHeight="1" s="194"/>
    <row r="547" ht="15.75" customHeight="1" s="194"/>
    <row r="548" ht="15.75" customHeight="1" s="194"/>
    <row r="549" ht="15.75" customHeight="1" s="194"/>
    <row r="550" ht="15.75" customHeight="1" s="194"/>
    <row r="551" ht="15.75" customHeight="1" s="194"/>
    <row r="552" ht="15.75" customHeight="1" s="194"/>
    <row r="553" ht="15.75" customHeight="1" s="194"/>
    <row r="554" ht="15.75" customHeight="1" s="194"/>
    <row r="555" ht="15.75" customHeight="1" s="194"/>
    <row r="556" ht="15.75" customHeight="1" s="194"/>
    <row r="557" ht="15.75" customHeight="1" s="194"/>
    <row r="558" ht="15.75" customHeight="1" s="194"/>
    <row r="559" ht="15.75" customHeight="1" s="194"/>
    <row r="560" ht="15.75" customHeight="1" s="194"/>
    <row r="561" ht="15.75" customHeight="1" s="194"/>
    <row r="562" ht="15.75" customHeight="1" s="194"/>
    <row r="563" ht="15.75" customHeight="1" s="194"/>
    <row r="564" ht="15.75" customHeight="1" s="194"/>
    <row r="565" ht="15.75" customHeight="1" s="194"/>
    <row r="566" ht="15.75" customHeight="1" s="194"/>
    <row r="567" ht="15.75" customHeight="1" s="194"/>
    <row r="568" ht="15.75" customHeight="1" s="194"/>
    <row r="569" ht="15.75" customHeight="1" s="194"/>
    <row r="570" ht="15.75" customHeight="1" s="194"/>
    <row r="571" ht="15.75" customHeight="1" s="194"/>
    <row r="572" ht="15.75" customHeight="1" s="194"/>
    <row r="573" ht="15.75" customHeight="1" s="194"/>
    <row r="574" ht="15.75" customHeight="1" s="194"/>
    <row r="575" ht="15.75" customHeight="1" s="194"/>
    <row r="576" ht="15.75" customHeight="1" s="194"/>
    <row r="577" ht="15.75" customHeight="1" s="194"/>
    <row r="578" ht="15.75" customHeight="1" s="194"/>
    <row r="579" ht="15.75" customHeight="1" s="194"/>
    <row r="580" ht="15.75" customHeight="1" s="194"/>
    <row r="581" ht="15.75" customHeight="1" s="194"/>
    <row r="582" ht="15.75" customHeight="1" s="194"/>
    <row r="583" ht="15.75" customHeight="1" s="194"/>
    <row r="584" ht="15.75" customHeight="1" s="194"/>
    <row r="585" ht="15.75" customHeight="1" s="194"/>
    <row r="586" ht="15.75" customHeight="1" s="194"/>
    <row r="587" ht="15.75" customHeight="1" s="194"/>
    <row r="588" ht="15.75" customHeight="1" s="194"/>
    <row r="589" ht="15.75" customHeight="1" s="194"/>
    <row r="590" ht="15.75" customHeight="1" s="194"/>
    <row r="591" ht="15.75" customHeight="1" s="194"/>
    <row r="592" ht="15.75" customHeight="1" s="194"/>
    <row r="593" ht="15.75" customHeight="1" s="194"/>
    <row r="594" ht="15.75" customHeight="1" s="194"/>
    <row r="595" ht="15.75" customHeight="1" s="194"/>
    <row r="596" ht="15.75" customHeight="1" s="194"/>
    <row r="597" ht="15.75" customHeight="1" s="194"/>
    <row r="598" ht="15.75" customHeight="1" s="194"/>
    <row r="599" ht="15.75" customHeight="1" s="194"/>
    <row r="600" ht="15.75" customHeight="1" s="194"/>
    <row r="601" ht="15.75" customHeight="1" s="194"/>
    <row r="602" ht="15.75" customHeight="1" s="194"/>
    <row r="603" ht="15.75" customHeight="1" s="194"/>
    <row r="604" ht="15.75" customHeight="1" s="194"/>
    <row r="605" ht="15.75" customHeight="1" s="194"/>
    <row r="606" ht="15.75" customHeight="1" s="194"/>
    <row r="607" ht="15.75" customHeight="1" s="194"/>
    <row r="608" ht="15.75" customHeight="1" s="194"/>
    <row r="609" ht="15.75" customHeight="1" s="194"/>
    <row r="610" ht="15.75" customHeight="1" s="194"/>
    <row r="611" ht="15.75" customHeight="1" s="194"/>
    <row r="612" ht="15.75" customHeight="1" s="194"/>
    <row r="613" ht="15.75" customHeight="1" s="194"/>
    <row r="614" ht="15.75" customHeight="1" s="194"/>
    <row r="615" ht="15.75" customHeight="1" s="194"/>
    <row r="616" ht="15.75" customHeight="1" s="194"/>
    <row r="617" ht="15.75" customHeight="1" s="194"/>
    <row r="618" ht="15.75" customHeight="1" s="194"/>
    <row r="619" ht="15.75" customHeight="1" s="194"/>
    <row r="620" ht="15.75" customHeight="1" s="194"/>
    <row r="621" ht="15.75" customHeight="1" s="194"/>
    <row r="622" ht="15.75" customHeight="1" s="194"/>
    <row r="623" ht="15.75" customHeight="1" s="194"/>
    <row r="624" ht="15.75" customHeight="1" s="194"/>
    <row r="625" ht="15.75" customHeight="1" s="194"/>
    <row r="626" ht="15.75" customHeight="1" s="194"/>
    <row r="627" ht="15.75" customHeight="1" s="194"/>
    <row r="628" ht="15.75" customHeight="1" s="194"/>
    <row r="629" ht="15.75" customHeight="1" s="194"/>
    <row r="630" ht="15.75" customHeight="1" s="194"/>
    <row r="631" ht="15.75" customHeight="1" s="194"/>
    <row r="632" ht="15.75" customHeight="1" s="194"/>
    <row r="633" ht="15.75" customHeight="1" s="194"/>
    <row r="634" ht="15.75" customHeight="1" s="194"/>
    <row r="635" ht="15.75" customHeight="1" s="194"/>
    <row r="636" ht="15.75" customHeight="1" s="194"/>
    <row r="637" ht="15.75" customHeight="1" s="194"/>
    <row r="638" ht="15.75" customHeight="1" s="194"/>
    <row r="639" ht="15.75" customHeight="1" s="194"/>
    <row r="640" ht="15.75" customHeight="1" s="194"/>
    <row r="641" ht="15.75" customHeight="1" s="194"/>
    <row r="642" ht="15.75" customHeight="1" s="194"/>
    <row r="643" ht="15.75" customHeight="1" s="194"/>
    <row r="644" ht="15.75" customHeight="1" s="194"/>
    <row r="645" ht="15.75" customHeight="1" s="194"/>
    <row r="646" ht="15.75" customHeight="1" s="194"/>
    <row r="647" ht="15.75" customHeight="1" s="194"/>
    <row r="648" ht="15.75" customHeight="1" s="194"/>
    <row r="649" ht="15.75" customHeight="1" s="194"/>
    <row r="650" ht="15.75" customHeight="1" s="194"/>
    <row r="651" ht="15.75" customHeight="1" s="194"/>
    <row r="652" ht="15.75" customHeight="1" s="194"/>
    <row r="653" ht="15.75" customHeight="1" s="194"/>
    <row r="654" ht="15.75" customHeight="1" s="194"/>
    <row r="655" ht="15.75" customHeight="1" s="194"/>
    <row r="656" ht="15.75" customHeight="1" s="194"/>
    <row r="657" ht="15.75" customHeight="1" s="194"/>
    <row r="658" ht="15.75" customHeight="1" s="194"/>
    <row r="659" ht="15.75" customHeight="1" s="194"/>
    <row r="660" ht="15.75" customHeight="1" s="194"/>
    <row r="661" ht="15.75" customHeight="1" s="194"/>
    <row r="662" ht="15.75" customHeight="1" s="194"/>
    <row r="663" ht="15.75" customHeight="1" s="194"/>
    <row r="664" ht="15.75" customHeight="1" s="194"/>
    <row r="665" ht="15.75" customHeight="1" s="194"/>
    <row r="666" ht="15.75" customHeight="1" s="194"/>
    <row r="667" ht="15.75" customHeight="1" s="194"/>
    <row r="668" ht="15.75" customHeight="1" s="194"/>
    <row r="669" ht="15.75" customHeight="1" s="194"/>
    <row r="670" ht="15.75" customHeight="1" s="194"/>
    <row r="671" ht="15.75" customHeight="1" s="194"/>
    <row r="672" ht="15.75" customHeight="1" s="194"/>
    <row r="673" ht="15.75" customHeight="1" s="194"/>
    <row r="674" ht="15.75" customHeight="1" s="194"/>
    <row r="675" ht="15.75" customHeight="1" s="194"/>
    <row r="676" ht="15.75" customHeight="1" s="194"/>
    <row r="677" ht="15.75" customHeight="1" s="194"/>
    <row r="678" ht="15.75" customHeight="1" s="194"/>
    <row r="679" ht="15.75" customHeight="1" s="194"/>
    <row r="680" ht="15.75" customHeight="1" s="194"/>
    <row r="681" ht="15.75" customHeight="1" s="194"/>
    <row r="682" ht="15.75" customHeight="1" s="194"/>
    <row r="683" ht="15.75" customHeight="1" s="194"/>
    <row r="684" ht="15.75" customHeight="1" s="194"/>
    <row r="685" ht="15.75" customHeight="1" s="194"/>
    <row r="686" ht="15.75" customHeight="1" s="194"/>
    <row r="687" ht="15.75" customHeight="1" s="194"/>
    <row r="688" ht="15.75" customHeight="1" s="194"/>
    <row r="689" ht="15.75" customHeight="1" s="194"/>
    <row r="690" ht="15.75" customHeight="1" s="194"/>
    <row r="691" ht="15.75" customHeight="1" s="194"/>
    <row r="692" ht="15.75" customHeight="1" s="194"/>
    <row r="693" ht="15.75" customHeight="1" s="194"/>
    <row r="694" ht="15.75" customHeight="1" s="194"/>
    <row r="695" ht="15.75" customHeight="1" s="194"/>
    <row r="696" ht="15.75" customHeight="1" s="194"/>
    <row r="697" ht="15.75" customHeight="1" s="194"/>
    <row r="698" ht="15.75" customHeight="1" s="194"/>
    <row r="699" ht="15.75" customHeight="1" s="194"/>
    <row r="700" ht="15.75" customHeight="1" s="194"/>
    <row r="701" ht="15.75" customHeight="1" s="194"/>
    <row r="702" ht="15.75" customHeight="1" s="194"/>
    <row r="703" ht="15.75" customHeight="1" s="194"/>
    <row r="704" ht="15.75" customHeight="1" s="194"/>
    <row r="705" ht="15.75" customHeight="1" s="194"/>
    <row r="706" ht="15.75" customHeight="1" s="194"/>
    <row r="707" ht="15.75" customHeight="1" s="194"/>
    <row r="708" ht="15.75" customHeight="1" s="194"/>
    <row r="709" ht="15.75" customHeight="1" s="194"/>
    <row r="710" ht="15.75" customHeight="1" s="194"/>
    <row r="711" ht="15.75" customHeight="1" s="194"/>
    <row r="712" ht="15.75" customHeight="1" s="194"/>
    <row r="713" ht="15.75" customHeight="1" s="194"/>
    <row r="714" ht="15.75" customHeight="1" s="194"/>
    <row r="715" ht="15.75" customHeight="1" s="194"/>
    <row r="716" ht="15.75" customHeight="1" s="194"/>
    <row r="717" ht="15.75" customHeight="1" s="194"/>
    <row r="718" ht="15.75" customHeight="1" s="194"/>
    <row r="719" ht="15.75" customHeight="1" s="194"/>
    <row r="720" ht="15.75" customHeight="1" s="194"/>
    <row r="721" ht="15.75" customHeight="1" s="194"/>
    <row r="722" ht="15.75" customHeight="1" s="194"/>
    <row r="723" ht="15.75" customHeight="1" s="194"/>
    <row r="724" ht="15.75" customHeight="1" s="194"/>
    <row r="725" ht="15.75" customHeight="1" s="194"/>
    <row r="726" ht="15.75" customHeight="1" s="194"/>
    <row r="727" ht="15.75" customHeight="1" s="194"/>
    <row r="728" ht="15.75" customHeight="1" s="194"/>
    <row r="729" ht="15.75" customHeight="1" s="194"/>
    <row r="730" ht="15.75" customHeight="1" s="194"/>
    <row r="731" ht="15.75" customHeight="1" s="194"/>
    <row r="732" ht="15.75" customHeight="1" s="194"/>
    <row r="733" ht="15.75" customHeight="1" s="194"/>
    <row r="734" ht="15.75" customHeight="1" s="194"/>
    <row r="735" ht="15.75" customHeight="1" s="194"/>
    <row r="736" ht="15.75" customHeight="1" s="194"/>
    <row r="737" ht="15.75" customHeight="1" s="194"/>
    <row r="738" ht="15.75" customHeight="1" s="194"/>
    <row r="739" ht="15.75" customHeight="1" s="194"/>
    <row r="740" ht="15.75" customHeight="1" s="194"/>
    <row r="741" ht="15.75" customHeight="1" s="194"/>
    <row r="742" ht="15.75" customHeight="1" s="194"/>
    <row r="743" ht="15.75" customHeight="1" s="194"/>
    <row r="744" ht="15.75" customHeight="1" s="194"/>
    <row r="745" ht="15.75" customHeight="1" s="194"/>
    <row r="746" ht="15.75" customHeight="1" s="194"/>
    <row r="747" ht="15.75" customHeight="1" s="194"/>
    <row r="748" ht="15.75" customHeight="1" s="194"/>
    <row r="749" ht="15.75" customHeight="1" s="194"/>
    <row r="750" ht="15.75" customHeight="1" s="194"/>
    <row r="751" ht="15.75" customHeight="1" s="194"/>
    <row r="752" ht="15.75" customHeight="1" s="194"/>
    <row r="753" ht="15.75" customHeight="1" s="194"/>
    <row r="754" ht="15.75" customHeight="1" s="194"/>
    <row r="755" ht="15.75" customHeight="1" s="194"/>
    <row r="756" ht="15.75" customHeight="1" s="194"/>
    <row r="757" ht="15.75" customHeight="1" s="194"/>
    <row r="758" ht="15.75" customHeight="1" s="194"/>
    <row r="759" ht="15.75" customHeight="1" s="194"/>
    <row r="760" ht="15.75" customHeight="1" s="194"/>
    <row r="761" ht="15.75" customHeight="1" s="194"/>
    <row r="762" ht="15.75" customHeight="1" s="194"/>
    <row r="763" ht="15.75" customHeight="1" s="194"/>
    <row r="764" ht="15.75" customHeight="1" s="194"/>
    <row r="765" ht="15.75" customHeight="1" s="194"/>
    <row r="766" ht="15.75" customHeight="1" s="194"/>
    <row r="767" ht="15.75" customHeight="1" s="194"/>
    <row r="768" ht="15.75" customHeight="1" s="194"/>
    <row r="769" ht="15.75" customHeight="1" s="194"/>
    <row r="770" ht="15.75" customHeight="1" s="194"/>
    <row r="771" ht="15.75" customHeight="1" s="194"/>
    <row r="772" ht="15.75" customHeight="1" s="194"/>
    <row r="773" ht="15.75" customHeight="1" s="194"/>
    <row r="774" ht="15.75" customHeight="1" s="194"/>
    <row r="775" ht="15.75" customHeight="1" s="194"/>
    <row r="776" ht="15.75" customHeight="1" s="194"/>
    <row r="777" ht="15.75" customHeight="1" s="194"/>
    <row r="778" ht="15.75" customHeight="1" s="194"/>
    <row r="779" ht="15.75" customHeight="1" s="194"/>
    <row r="780" ht="15.75" customHeight="1" s="194"/>
    <row r="781" ht="15.75" customHeight="1" s="194"/>
    <row r="782" ht="15.75" customHeight="1" s="194"/>
    <row r="783" ht="15.75" customHeight="1" s="194"/>
    <row r="784" ht="15.75" customHeight="1" s="194"/>
    <row r="785" ht="15.75" customHeight="1" s="194"/>
    <row r="786" ht="15.75" customHeight="1" s="194"/>
    <row r="787" ht="15.75" customHeight="1" s="194"/>
    <row r="788" ht="15.75" customHeight="1" s="194"/>
    <row r="789" ht="15.75" customHeight="1" s="194"/>
    <row r="790" ht="15.75" customHeight="1" s="194"/>
    <row r="791" ht="15.75" customHeight="1" s="194"/>
    <row r="792" ht="15.75" customHeight="1" s="194"/>
    <row r="793" ht="15.75" customHeight="1" s="194"/>
    <row r="794" ht="15.75" customHeight="1" s="194"/>
    <row r="795" ht="15.75" customHeight="1" s="194"/>
    <row r="796" ht="15.75" customHeight="1" s="194"/>
    <row r="797" ht="15.75" customHeight="1" s="194"/>
    <row r="798" ht="15.75" customHeight="1" s="194"/>
    <row r="799" ht="15.75" customHeight="1" s="194"/>
    <row r="800" ht="15.75" customHeight="1" s="194"/>
    <row r="801" ht="15.75" customHeight="1" s="194"/>
    <row r="802" ht="15.75" customHeight="1" s="194"/>
    <row r="803" ht="15.75" customHeight="1" s="194"/>
    <row r="804" ht="15.75" customHeight="1" s="194"/>
    <row r="805" ht="15.75" customHeight="1" s="194"/>
    <row r="806" ht="15.75" customHeight="1" s="194"/>
    <row r="807" ht="15.75" customHeight="1" s="194"/>
    <row r="808" ht="15.75" customHeight="1" s="194"/>
    <row r="809" ht="15.75" customHeight="1" s="194"/>
    <row r="810" ht="15.75" customHeight="1" s="194"/>
    <row r="811" ht="15.75" customHeight="1" s="194"/>
    <row r="812" ht="15.75" customHeight="1" s="194"/>
    <row r="813" ht="15.75" customHeight="1" s="194"/>
    <row r="814" ht="15.75" customHeight="1" s="194"/>
    <row r="815" ht="15.75" customHeight="1" s="194"/>
    <row r="816" ht="15.75" customHeight="1" s="194"/>
    <row r="817" ht="15.75" customHeight="1" s="194"/>
    <row r="818" ht="15.75" customHeight="1" s="194"/>
    <row r="819" ht="15.75" customHeight="1" s="194"/>
    <row r="820" ht="15.75" customHeight="1" s="194"/>
    <row r="821" ht="15.75" customHeight="1" s="194"/>
    <row r="822" ht="15.75" customHeight="1" s="194"/>
    <row r="823" ht="15.75" customHeight="1" s="194"/>
    <row r="824" ht="15.75" customHeight="1" s="194"/>
    <row r="825" ht="15.75" customHeight="1" s="194"/>
    <row r="826" ht="15.75" customHeight="1" s="194"/>
    <row r="827" ht="15.75" customHeight="1" s="194"/>
    <row r="828" ht="15.75" customHeight="1" s="194"/>
    <row r="829" ht="15.75" customHeight="1" s="194"/>
    <row r="830" ht="15.75" customHeight="1" s="194"/>
    <row r="831" ht="15.75" customHeight="1" s="194"/>
    <row r="832" ht="15.75" customHeight="1" s="194"/>
    <row r="833" ht="15.75" customHeight="1" s="194"/>
    <row r="834" ht="15.75" customHeight="1" s="194"/>
    <row r="835" ht="15.75" customHeight="1" s="194"/>
    <row r="836" ht="15.75" customHeight="1" s="194"/>
    <row r="837" ht="15.75" customHeight="1" s="194"/>
    <row r="838" ht="15.75" customHeight="1" s="194"/>
    <row r="839" ht="15.75" customHeight="1" s="194"/>
    <row r="840" ht="15.75" customHeight="1" s="194"/>
    <row r="841" ht="15.75" customHeight="1" s="194"/>
    <row r="842" ht="15.75" customHeight="1" s="194"/>
    <row r="843" ht="15.75" customHeight="1" s="194"/>
    <row r="844" ht="15.75" customHeight="1" s="194"/>
    <row r="845" ht="15.75" customHeight="1" s="194"/>
    <row r="846" ht="15.75" customHeight="1" s="194"/>
    <row r="847" ht="15.75" customHeight="1" s="194"/>
    <row r="848" ht="15.75" customHeight="1" s="194"/>
    <row r="849" ht="15.75" customHeight="1" s="194"/>
    <row r="850" ht="15.75" customHeight="1" s="194"/>
    <row r="851" ht="15.75" customHeight="1" s="194"/>
    <row r="852" ht="15.75" customHeight="1" s="194"/>
    <row r="853" ht="15.75" customHeight="1" s="194"/>
    <row r="854" ht="15.75" customHeight="1" s="194"/>
    <row r="855" ht="15.75" customHeight="1" s="194"/>
    <row r="856" ht="15.75" customHeight="1" s="194"/>
    <row r="857" ht="15.75" customHeight="1" s="194"/>
    <row r="858" ht="15.75" customHeight="1" s="194"/>
    <row r="859" ht="15.75" customHeight="1" s="194"/>
    <row r="860" ht="15.75" customHeight="1" s="194"/>
    <row r="861" ht="15.75" customHeight="1" s="194"/>
    <row r="862" ht="15.75" customHeight="1" s="194"/>
    <row r="863" ht="15.75" customHeight="1" s="194"/>
    <row r="864" ht="15.75" customHeight="1" s="194"/>
    <row r="865" ht="15.75" customHeight="1" s="194"/>
    <row r="866" ht="15.75" customHeight="1" s="194"/>
    <row r="867" ht="15.75" customHeight="1" s="194"/>
    <row r="868" ht="15.75" customHeight="1" s="194"/>
    <row r="869" ht="15.75" customHeight="1" s="194"/>
    <row r="870" ht="15.75" customHeight="1" s="194"/>
    <row r="871" ht="15.75" customHeight="1" s="194"/>
    <row r="872" ht="15.75" customHeight="1" s="194"/>
    <row r="873" ht="15.75" customHeight="1" s="194"/>
    <row r="874" ht="15.75" customHeight="1" s="194"/>
    <row r="875" ht="15.75" customHeight="1" s="194"/>
    <row r="876" ht="15.75" customHeight="1" s="194"/>
    <row r="877" ht="15.75" customHeight="1" s="194"/>
    <row r="878" ht="15.75" customHeight="1" s="194"/>
    <row r="879" ht="15.75" customHeight="1" s="194"/>
    <row r="880" ht="15.75" customHeight="1" s="194"/>
    <row r="881" ht="15.75" customHeight="1" s="194"/>
    <row r="882" ht="15.75" customHeight="1" s="194"/>
    <row r="883" ht="15.75" customHeight="1" s="194"/>
    <row r="884" ht="15.75" customHeight="1" s="194"/>
    <row r="885" ht="15.75" customHeight="1" s="194"/>
    <row r="886" ht="15.75" customHeight="1" s="194"/>
    <row r="887" ht="15.75" customHeight="1" s="194"/>
    <row r="888" ht="15.75" customHeight="1" s="194"/>
    <row r="889" ht="15.75" customHeight="1" s="194"/>
    <row r="890" ht="15.75" customHeight="1" s="194"/>
    <row r="891" ht="15.75" customHeight="1" s="194"/>
    <row r="892" ht="15.75" customHeight="1" s="194"/>
    <row r="893" ht="15.75" customHeight="1" s="194"/>
    <row r="894" ht="15.75" customHeight="1" s="194"/>
    <row r="895" ht="15.75" customHeight="1" s="194"/>
    <row r="896" ht="15.75" customHeight="1" s="194"/>
    <row r="897" ht="15.75" customHeight="1" s="194"/>
    <row r="898" ht="15.75" customHeight="1" s="194"/>
    <row r="899" ht="15.75" customHeight="1" s="194"/>
    <row r="900" ht="15.75" customHeight="1" s="194"/>
    <row r="901" ht="15.75" customHeight="1" s="194"/>
    <row r="902" ht="15.75" customHeight="1" s="194"/>
    <row r="903" ht="15.75" customHeight="1" s="194"/>
    <row r="904" ht="15.75" customHeight="1" s="194"/>
    <row r="905" ht="15.75" customHeight="1" s="194"/>
    <row r="906" ht="15.75" customHeight="1" s="194"/>
    <row r="907" ht="15.75" customHeight="1" s="194"/>
    <row r="908" ht="15.75" customHeight="1" s="194"/>
    <row r="909" ht="15.75" customHeight="1" s="194"/>
    <row r="910" ht="15.75" customHeight="1" s="194"/>
    <row r="911" ht="15.75" customHeight="1" s="194"/>
    <row r="912" ht="15.75" customHeight="1" s="194"/>
    <row r="913" ht="15.75" customHeight="1" s="194"/>
    <row r="914" ht="15.75" customHeight="1" s="194"/>
    <row r="915" ht="15.75" customHeight="1" s="194"/>
    <row r="916" ht="15.75" customHeight="1" s="194"/>
    <row r="917" ht="15.75" customHeight="1" s="194"/>
    <row r="918" ht="15.75" customHeight="1" s="194"/>
    <row r="919" ht="15.75" customHeight="1" s="194"/>
    <row r="920" ht="15.75" customHeight="1" s="194"/>
    <row r="921" ht="15.75" customHeight="1" s="194"/>
    <row r="922" ht="15.75" customHeight="1" s="194"/>
    <row r="923" ht="15.75" customHeight="1" s="194"/>
    <row r="924" ht="15.75" customHeight="1" s="194"/>
    <row r="925" ht="15.75" customHeight="1" s="194"/>
    <row r="926" ht="15.75" customHeight="1" s="194"/>
    <row r="927" ht="15.75" customHeight="1" s="194"/>
    <row r="928" ht="15.75" customHeight="1" s="194"/>
    <row r="929" ht="15.75" customHeight="1" s="194"/>
    <row r="930" ht="15.75" customHeight="1" s="194"/>
    <row r="931" ht="15.75" customHeight="1" s="194"/>
    <row r="932" ht="15.75" customHeight="1" s="194"/>
    <row r="933" ht="15.75" customHeight="1" s="194"/>
    <row r="934" ht="15.75" customHeight="1" s="194"/>
    <row r="935" ht="15.75" customHeight="1" s="194"/>
    <row r="936" ht="15.75" customHeight="1" s="194"/>
    <row r="937" ht="15.75" customHeight="1" s="194"/>
    <row r="938" ht="15.75" customHeight="1" s="194"/>
    <row r="939" ht="15.75" customHeight="1" s="194"/>
    <row r="940" ht="15.75" customHeight="1" s="194"/>
    <row r="941" ht="15.75" customHeight="1" s="194"/>
    <row r="942" ht="15.75" customHeight="1" s="194"/>
    <row r="943" ht="15.75" customHeight="1" s="194"/>
    <row r="944" ht="15.75" customHeight="1" s="194"/>
    <row r="945" ht="15.75" customHeight="1" s="194"/>
    <row r="946" ht="15.75" customHeight="1" s="194"/>
    <row r="947" ht="15.75" customHeight="1" s="194"/>
    <row r="948" ht="15.75" customHeight="1" s="194"/>
    <row r="949" ht="15.75" customHeight="1" s="194"/>
    <row r="950" ht="15.75" customHeight="1" s="194"/>
    <row r="951" ht="15.75" customHeight="1" s="194"/>
    <row r="952" ht="15.75" customHeight="1" s="194"/>
    <row r="953" ht="15.75" customHeight="1" s="194"/>
    <row r="954" ht="15.75" customHeight="1" s="194"/>
    <row r="955" ht="15.75" customHeight="1" s="194"/>
    <row r="956" ht="15.75" customHeight="1" s="194"/>
    <row r="957" ht="15.75" customHeight="1" s="194"/>
    <row r="958" ht="15.75" customHeight="1" s="194"/>
    <row r="959" ht="15.75" customHeight="1" s="194"/>
    <row r="960" ht="15.75" customHeight="1" s="194"/>
    <row r="961" ht="15.75" customHeight="1" s="194"/>
    <row r="962" ht="15.75" customHeight="1" s="194"/>
    <row r="963" ht="15.75" customHeight="1" s="194"/>
    <row r="964" ht="15.75" customHeight="1" s="194"/>
    <row r="965" ht="15.75" customHeight="1" s="194"/>
    <row r="966" ht="15.75" customHeight="1" s="194"/>
    <row r="967" ht="15.75" customHeight="1" s="194"/>
    <row r="968" ht="15.75" customHeight="1" s="194"/>
    <row r="969" ht="15.75" customHeight="1" s="194"/>
    <row r="970" ht="15.75" customHeight="1" s="194"/>
    <row r="971" ht="15.75" customHeight="1" s="194"/>
    <row r="972" ht="15.75" customHeight="1" s="194"/>
    <row r="973" ht="15.75" customHeight="1" s="194"/>
    <row r="974" ht="15.75" customHeight="1" s="194"/>
    <row r="975" ht="15.75" customHeight="1" s="194"/>
    <row r="976" ht="15.75" customHeight="1" s="194"/>
    <row r="977" ht="15.75" customHeight="1" s="194"/>
    <row r="978" ht="15.75" customHeight="1" s="194"/>
    <row r="979" ht="15.75" customHeight="1" s="194"/>
    <row r="980" ht="15.75" customHeight="1" s="194"/>
    <row r="981" ht="15.75" customHeight="1" s="194"/>
    <row r="982" ht="15.75" customHeight="1" s="194"/>
    <row r="983" ht="15.75" customHeight="1" s="194"/>
    <row r="984" ht="15.75" customHeight="1" s="194"/>
    <row r="985" ht="15.75" customHeight="1" s="194"/>
    <row r="986" ht="15.75" customHeight="1" s="194"/>
    <row r="987" ht="15.75" customHeight="1" s="194"/>
    <row r="988" ht="15.75" customHeight="1" s="194"/>
    <row r="989" ht="15.75" customHeight="1" s="194"/>
    <row r="990" ht="15.75" customHeight="1" s="194"/>
    <row r="991" ht="15.75" customHeight="1" s="194"/>
    <row r="992" ht="15.75" customHeight="1" s="194"/>
    <row r="993" ht="15.75" customHeight="1" s="194"/>
    <row r="994" ht="15.75" customHeight="1" s="194"/>
    <row r="995" ht="15.75" customHeight="1" s="194"/>
    <row r="996" ht="15.75" customHeight="1" s="194"/>
    <row r="997" ht="15.75" customHeight="1" s="194"/>
    <row r="998" ht="15.75" customHeight="1" s="194"/>
    <row r="999" ht="15.75" customHeight="1" s="194"/>
    <row r="1000" ht="15.75" customHeight="1" s="194"/>
  </sheetData>
  <mergeCells count="3">
    <mergeCell ref="C4:C5"/>
    <mergeCell ref="D4:D5"/>
    <mergeCell ref="B4:B5"/>
  </mergeCells>
  <pageMargins left="0.75" right="0.75" top="1" bottom="1" header="0" footer="0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O198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4.43" defaultRowHeight="15" customHeight="1" outlineLevelRow="1"/>
  <cols>
    <col width="47" customWidth="1" style="194" min="1" max="1"/>
    <col width="14" customWidth="1" style="194" min="2" max="67"/>
  </cols>
  <sheetData>
    <row r="1">
      <c r="A1" s="178" t="inlineStr">
        <is>
          <t>Календарь и возрастные тарифы - только формулы</t>
        </is>
      </c>
    </row>
    <row r="3">
      <c r="B3" s="179">
        <f>DATE(YEAR('01_Вводные'!$B$7),MONTH('01_Вводные'!$B$7)+0,1)</f>
        <v/>
      </c>
      <c r="C3" s="179">
        <f>DATE(YEAR('01_Вводные'!$B$7),MONTH('01_Вводные'!$B$7)+1,1)</f>
        <v/>
      </c>
      <c r="D3" s="179">
        <f>DATE(YEAR('01_Вводные'!$B$7),MONTH('01_Вводные'!$B$7)+2,1)</f>
        <v/>
      </c>
      <c r="E3" s="179">
        <f>DATE(YEAR('01_Вводные'!$B$7),MONTH('01_Вводные'!$B$7)+3,1)</f>
        <v/>
      </c>
      <c r="F3" s="179">
        <f>DATE(YEAR('01_Вводные'!$B$7),MONTH('01_Вводные'!$B$7)+4,1)</f>
        <v/>
      </c>
      <c r="G3" s="179">
        <f>DATE(YEAR('01_Вводные'!$B$7),MONTH('01_Вводные'!$B$7)+5,1)</f>
        <v/>
      </c>
      <c r="H3" s="179">
        <f>DATE(YEAR('01_Вводные'!$B$7),MONTH('01_Вводные'!$B$7)+6,1)</f>
        <v/>
      </c>
      <c r="I3" s="179">
        <f>DATE(YEAR('01_Вводные'!$B$7),MONTH('01_Вводные'!$B$7)+7,1)</f>
        <v/>
      </c>
      <c r="J3" s="179">
        <f>DATE(YEAR('01_Вводные'!$B$7),MONTH('01_Вводные'!$B$7)+8,1)</f>
        <v/>
      </c>
      <c r="K3" s="179">
        <f>DATE(YEAR('01_Вводные'!$B$7),MONTH('01_Вводные'!$B$7)+9,1)</f>
        <v/>
      </c>
      <c r="L3" s="179">
        <f>DATE(YEAR('01_Вводные'!$B$7),MONTH('01_Вводные'!$B$7)+10,1)</f>
        <v/>
      </c>
      <c r="M3" s="179">
        <f>DATE(YEAR('01_Вводные'!$B$7),MONTH('01_Вводные'!$B$7)+11,1)</f>
        <v/>
      </c>
      <c r="N3" s="179">
        <f>DATE(YEAR('01_Вводные'!$B$7),MONTH('01_Вводные'!$B$7)+12,1)</f>
        <v/>
      </c>
      <c r="O3" s="179">
        <f>DATE(YEAR('01_Вводные'!$B$7),MONTH('01_Вводные'!$B$7)+13,1)</f>
        <v/>
      </c>
      <c r="P3" s="179">
        <f>DATE(YEAR('01_Вводные'!$B$7),MONTH('01_Вводные'!$B$7)+14,1)</f>
        <v/>
      </c>
      <c r="Q3" s="179">
        <f>DATE(YEAR('01_Вводные'!$B$7),MONTH('01_Вводные'!$B$7)+15,1)</f>
        <v/>
      </c>
      <c r="R3" s="179">
        <f>DATE(YEAR('01_Вводные'!$B$7),MONTH('01_Вводные'!$B$7)+16,1)</f>
        <v/>
      </c>
      <c r="S3" s="179">
        <f>DATE(YEAR('01_Вводные'!$B$7),MONTH('01_Вводные'!$B$7)+17,1)</f>
        <v/>
      </c>
      <c r="T3" s="179">
        <f>DATE(YEAR('01_Вводные'!$B$7),MONTH('01_Вводные'!$B$7)+18,1)</f>
        <v/>
      </c>
      <c r="U3" s="179">
        <f>DATE(YEAR('01_Вводные'!$B$7),MONTH('01_Вводные'!$B$7)+19,1)</f>
        <v/>
      </c>
      <c r="V3" s="179">
        <f>DATE(YEAR('01_Вводные'!$B$7),MONTH('01_Вводные'!$B$7)+20,1)</f>
        <v/>
      </c>
      <c r="W3" s="179">
        <f>DATE(YEAR('01_Вводные'!$B$7),MONTH('01_Вводные'!$B$7)+21,1)</f>
        <v/>
      </c>
      <c r="X3" s="179">
        <f>DATE(YEAR('01_Вводные'!$B$7),MONTH('01_Вводные'!$B$7)+22,1)</f>
        <v/>
      </c>
      <c r="Y3" s="179">
        <f>DATE(YEAR('01_Вводные'!$B$7),MONTH('01_Вводные'!$B$7)+23,1)</f>
        <v/>
      </c>
      <c r="Z3" s="179">
        <f>DATE(YEAR('01_Вводные'!$B$7),MONTH('01_Вводные'!$B$7)+24,1)</f>
        <v/>
      </c>
      <c r="AA3" s="179">
        <f>DATE(YEAR('01_Вводные'!$B$7),MONTH('01_Вводные'!$B$7)+25,1)</f>
        <v/>
      </c>
      <c r="AB3" s="179">
        <f>DATE(YEAR('01_Вводные'!$B$7),MONTH('01_Вводные'!$B$7)+26,1)</f>
        <v/>
      </c>
      <c r="AC3" s="179">
        <f>DATE(YEAR('01_Вводные'!$B$7),MONTH('01_Вводные'!$B$7)+27,1)</f>
        <v/>
      </c>
      <c r="AD3" s="179">
        <f>DATE(YEAR('01_Вводные'!$B$7),MONTH('01_Вводные'!$B$7)+28,1)</f>
        <v/>
      </c>
      <c r="AE3" s="179">
        <f>DATE(YEAR('01_Вводные'!$B$7),MONTH('01_Вводные'!$B$7)+29,1)</f>
        <v/>
      </c>
      <c r="AF3" s="179">
        <f>DATE(YEAR('01_Вводные'!$B$7),MONTH('01_Вводные'!$B$7)+30,1)</f>
        <v/>
      </c>
      <c r="AG3" s="179">
        <f>DATE(YEAR('01_Вводные'!$B$7),MONTH('01_Вводные'!$B$7)+31,1)</f>
        <v/>
      </c>
      <c r="AH3" s="179">
        <f>DATE(YEAR('01_Вводные'!$B$7),MONTH('01_Вводные'!$B$7)+32,1)</f>
        <v/>
      </c>
      <c r="AI3" s="179">
        <f>DATE(YEAR('01_Вводные'!$B$7),MONTH('01_Вводные'!$B$7)+33,1)</f>
        <v/>
      </c>
      <c r="AJ3" s="179">
        <f>DATE(YEAR('01_Вводные'!$B$7),MONTH('01_Вводные'!$B$7)+34,1)</f>
        <v/>
      </c>
      <c r="AK3" s="179">
        <f>DATE(YEAR('01_Вводные'!$B$7),MONTH('01_Вводные'!$B$7)+35,1)</f>
        <v/>
      </c>
      <c r="AL3" s="179">
        <f>DATE(YEAR('01_Вводные'!$B$7),MONTH('01_Вводные'!$B$7)+36,1)</f>
        <v/>
      </c>
      <c r="AM3" s="179">
        <f>DATE(YEAR('01_Вводные'!$B$7),MONTH('01_Вводные'!$B$7)+37,1)</f>
        <v/>
      </c>
      <c r="AN3" s="179">
        <f>DATE(YEAR('01_Вводные'!$B$7),MONTH('01_Вводные'!$B$7)+38,1)</f>
        <v/>
      </c>
      <c r="AO3" s="179">
        <f>DATE(YEAR('01_Вводные'!$B$7),MONTH('01_Вводные'!$B$7)+39,1)</f>
        <v/>
      </c>
      <c r="AP3" s="179">
        <f>DATE(YEAR('01_Вводные'!$B$7),MONTH('01_Вводные'!$B$7)+40,1)</f>
        <v/>
      </c>
      <c r="AQ3" s="179">
        <f>DATE(YEAR('01_Вводные'!$B$7),MONTH('01_Вводные'!$B$7)+41,1)</f>
        <v/>
      </c>
      <c r="AR3" s="179">
        <f>DATE(YEAR('01_Вводные'!$B$7),MONTH('01_Вводные'!$B$7)+42,1)</f>
        <v/>
      </c>
      <c r="AS3" s="179">
        <f>DATE(YEAR('01_Вводные'!$B$7),MONTH('01_Вводные'!$B$7)+43,1)</f>
        <v/>
      </c>
      <c r="AT3" s="179">
        <f>DATE(YEAR('01_Вводные'!$B$7),MONTH('01_Вводные'!$B$7)+44,1)</f>
        <v/>
      </c>
      <c r="AU3" s="179">
        <f>DATE(YEAR('01_Вводные'!$B$7),MONTH('01_Вводные'!$B$7)+45,1)</f>
        <v/>
      </c>
      <c r="AV3" s="179">
        <f>DATE(YEAR('01_Вводные'!$B$7),MONTH('01_Вводные'!$B$7)+46,1)</f>
        <v/>
      </c>
      <c r="AW3" s="179">
        <f>DATE(YEAR('01_Вводные'!$B$7),MONTH('01_Вводные'!$B$7)+47,1)</f>
        <v/>
      </c>
      <c r="AX3" s="179">
        <f>DATE(YEAR('01_Вводные'!$B$7),MONTH('01_Вводные'!$B$7)+48,1)</f>
        <v/>
      </c>
      <c r="AY3" s="179">
        <f>DATE(YEAR('01_Вводные'!$B$7),MONTH('01_Вводные'!$B$7)+49,1)</f>
        <v/>
      </c>
      <c r="AZ3" s="179">
        <f>DATE(YEAR('01_Вводные'!$B$7),MONTH('01_Вводные'!$B$7)+50,1)</f>
        <v/>
      </c>
      <c r="BA3" s="179">
        <f>DATE(YEAR('01_Вводные'!$B$7),MONTH('01_Вводные'!$B$7)+51,1)</f>
        <v/>
      </c>
      <c r="BB3" s="179">
        <f>DATE(YEAR('01_Вводные'!$B$7),MONTH('01_Вводные'!$B$7)+52,1)</f>
        <v/>
      </c>
      <c r="BC3" s="179">
        <f>DATE(YEAR('01_Вводные'!$B$7),MONTH('01_Вводные'!$B$7)+53,1)</f>
        <v/>
      </c>
      <c r="BD3" s="179">
        <f>DATE(YEAR('01_Вводные'!$B$7),MONTH('01_Вводные'!$B$7)+54,1)</f>
        <v/>
      </c>
      <c r="BE3" s="179">
        <f>DATE(YEAR('01_Вводные'!$B$7),MONTH('01_Вводные'!$B$7)+55,1)</f>
        <v/>
      </c>
      <c r="BF3" s="179">
        <f>DATE(YEAR('01_Вводные'!$B$7),MONTH('01_Вводные'!$B$7)+56,1)</f>
        <v/>
      </c>
      <c r="BG3" s="179">
        <f>DATE(YEAR('01_Вводные'!$B$7),MONTH('01_Вводные'!$B$7)+57,1)</f>
        <v/>
      </c>
      <c r="BH3" s="179">
        <f>DATE(YEAR('01_Вводные'!$B$7),MONTH('01_Вводные'!$B$7)+58,1)</f>
        <v/>
      </c>
      <c r="BI3" s="179">
        <f>DATE(YEAR('01_Вводные'!$B$7),MONTH('01_Вводные'!$B$7)+59,1)</f>
        <v/>
      </c>
      <c r="BJ3" s="179">
        <f>DATE(YEAR('01_Вводные'!$B$7),MONTH('01_Вводные'!$B$7)+60,1)</f>
        <v/>
      </c>
      <c r="BK3" s="179">
        <f>DATE(YEAR('01_Вводные'!$B$7),MONTH('01_Вводные'!$B$7)+61,1)</f>
        <v/>
      </c>
      <c r="BL3" s="179">
        <f>DATE(YEAR('01_Вводные'!$B$7),MONTH('01_Вводные'!$B$7)+62,1)</f>
        <v/>
      </c>
      <c r="BM3" s="179">
        <f>DATE(YEAR('01_Вводные'!$B$7),MONTH('01_Вводные'!$B$7)+63,1)</f>
        <v/>
      </c>
      <c r="BN3" s="179">
        <f>DATE(YEAR('01_Вводные'!$B$7),MONTH('01_Вводные'!$B$7)+64,1)</f>
        <v/>
      </c>
      <c r="BO3" s="179">
        <f>DATE(YEAR('01_Вводные'!$B$7),MONTH('01_Вводные'!$B$7)+65,1)</f>
        <v/>
      </c>
    </row>
    <row r="4">
      <c r="A4" s="178" t="inlineStr">
        <is>
          <t>Накопленный индекс цен / OPEX</t>
        </is>
      </c>
      <c r="B4" s="180">
        <f>1*IF(AND('01_Вводные'!$B$294="Да",B$3&gt;='01_Вводные'!$B$293,MONTH(B$3)=MONTH('01_Вводные'!$B$293)),1+B5,1)</f>
        <v/>
      </c>
      <c r="C4" s="180">
        <f>B4*IF(AND('01_Вводные'!$B$294="Да",C$3&gt;='01_Вводные'!$B$293,MONTH(C$3)=MONTH('01_Вводные'!$B$293)),1+C5,1)</f>
        <v/>
      </c>
      <c r="D4" s="180">
        <f>C4*IF(AND('01_Вводные'!$B$294="Да",D$3&gt;='01_Вводные'!$B$293,MONTH(D$3)=MONTH('01_Вводные'!$B$293)),1+D5,1)</f>
        <v/>
      </c>
      <c r="E4" s="180">
        <f>D4*IF(AND('01_Вводные'!$B$294="Да",E$3&gt;='01_Вводные'!$B$293,MONTH(E$3)=MONTH('01_Вводные'!$B$293)),1+E5,1)</f>
        <v/>
      </c>
      <c r="F4" s="180">
        <f>E4*IF(AND('01_Вводные'!$B$294="Да",F$3&gt;='01_Вводные'!$B$293,MONTH(F$3)=MONTH('01_Вводные'!$B$293)),1+F5,1)</f>
        <v/>
      </c>
      <c r="G4" s="180">
        <f>F4*IF(AND('01_Вводные'!$B$294="Да",G$3&gt;='01_Вводные'!$B$293,MONTH(G$3)=MONTH('01_Вводные'!$B$293)),1+G5,1)</f>
        <v/>
      </c>
      <c r="H4" s="180">
        <f>G4*IF(AND('01_Вводные'!$B$294="Да",H$3&gt;='01_Вводные'!$B$293,MONTH(H$3)=MONTH('01_Вводные'!$B$293)),1+H5,1)</f>
        <v/>
      </c>
      <c r="I4" s="180">
        <f>H4*IF(AND('01_Вводные'!$B$294="Да",I$3&gt;='01_Вводные'!$B$293,MONTH(I$3)=MONTH('01_Вводные'!$B$293)),1+I5,1)</f>
        <v/>
      </c>
      <c r="J4" s="180">
        <f>I4*IF(AND('01_Вводные'!$B$294="Да",J$3&gt;='01_Вводные'!$B$293,MONTH(J$3)=MONTH('01_Вводные'!$B$293)),1+J5,1)</f>
        <v/>
      </c>
      <c r="K4" s="180">
        <f>J4*IF(AND('01_Вводные'!$B$294="Да",K$3&gt;='01_Вводные'!$B$293,MONTH(K$3)=MONTH('01_Вводные'!$B$293)),1+K5,1)</f>
        <v/>
      </c>
      <c r="L4" s="180">
        <f>K4*IF(AND('01_Вводные'!$B$294="Да",L$3&gt;='01_Вводные'!$B$293,MONTH(L$3)=MONTH('01_Вводные'!$B$293)),1+L5,1)</f>
        <v/>
      </c>
      <c r="M4" s="180">
        <f>L4*IF(AND('01_Вводные'!$B$294="Да",M$3&gt;='01_Вводные'!$B$293,MONTH(M$3)=MONTH('01_Вводные'!$B$293)),1+M5,1)</f>
        <v/>
      </c>
      <c r="N4" s="180">
        <f>M4*IF(AND('01_Вводные'!$B$294="Да",N$3&gt;='01_Вводные'!$B$293,MONTH(N$3)=MONTH('01_Вводные'!$B$293)),1+N5,1)</f>
        <v/>
      </c>
      <c r="O4" s="180">
        <f>N4*IF(AND('01_Вводные'!$B$294="Да",O$3&gt;='01_Вводные'!$B$293,MONTH(O$3)=MONTH('01_Вводные'!$B$293)),1+O5,1)</f>
        <v/>
      </c>
      <c r="P4" s="180">
        <f>O4*IF(AND('01_Вводные'!$B$294="Да",P$3&gt;='01_Вводные'!$B$293,MONTH(P$3)=MONTH('01_Вводные'!$B$293)),1+P5,1)</f>
        <v/>
      </c>
      <c r="Q4" s="180">
        <f>P4*IF(AND('01_Вводные'!$B$294="Да",Q$3&gt;='01_Вводные'!$B$293,MONTH(Q$3)=MONTH('01_Вводные'!$B$293)),1+Q5,1)</f>
        <v/>
      </c>
      <c r="R4" s="180">
        <f>Q4*IF(AND('01_Вводные'!$B$294="Да",R$3&gt;='01_Вводные'!$B$293,MONTH(R$3)=MONTH('01_Вводные'!$B$293)),1+R5,1)</f>
        <v/>
      </c>
      <c r="S4" s="180">
        <f>R4*IF(AND('01_Вводные'!$B$294="Да",S$3&gt;='01_Вводные'!$B$293,MONTH(S$3)=MONTH('01_Вводные'!$B$293)),1+S5,1)</f>
        <v/>
      </c>
      <c r="T4" s="180">
        <f>S4*IF(AND('01_Вводные'!$B$294="Да",T$3&gt;='01_Вводные'!$B$293,MONTH(T$3)=MONTH('01_Вводные'!$B$293)),1+T5,1)</f>
        <v/>
      </c>
      <c r="U4" s="180">
        <f>T4*IF(AND('01_Вводные'!$B$294="Да",U$3&gt;='01_Вводные'!$B$293,MONTH(U$3)=MONTH('01_Вводные'!$B$293)),1+U5,1)</f>
        <v/>
      </c>
      <c r="V4" s="180">
        <f>U4*IF(AND('01_Вводные'!$B$294="Да",V$3&gt;='01_Вводные'!$B$293,MONTH(V$3)=MONTH('01_Вводные'!$B$293)),1+V5,1)</f>
        <v/>
      </c>
      <c r="W4" s="180">
        <f>V4*IF(AND('01_Вводные'!$B$294="Да",W$3&gt;='01_Вводные'!$B$293,MONTH(W$3)=MONTH('01_Вводные'!$B$293)),1+W5,1)</f>
        <v/>
      </c>
      <c r="X4" s="180">
        <f>W4*IF(AND('01_Вводные'!$B$294="Да",X$3&gt;='01_Вводные'!$B$293,MONTH(X$3)=MONTH('01_Вводные'!$B$293)),1+X5,1)</f>
        <v/>
      </c>
      <c r="Y4" s="180">
        <f>X4*IF(AND('01_Вводные'!$B$294="Да",Y$3&gt;='01_Вводные'!$B$293,MONTH(Y$3)=MONTH('01_Вводные'!$B$293)),1+Y5,1)</f>
        <v/>
      </c>
      <c r="Z4" s="180">
        <f>Y4*IF(AND('01_Вводные'!$B$294="Да",Z$3&gt;='01_Вводные'!$B$293,MONTH(Z$3)=MONTH('01_Вводные'!$B$293)),1+Z5,1)</f>
        <v/>
      </c>
      <c r="AA4" s="180">
        <f>Z4*IF(AND('01_Вводные'!$B$294="Да",AA$3&gt;='01_Вводные'!$B$293,MONTH(AA$3)=MONTH('01_Вводные'!$B$293)),1+AA5,1)</f>
        <v/>
      </c>
      <c r="AB4" s="180">
        <f>AA4*IF(AND('01_Вводные'!$B$294="Да",AB$3&gt;='01_Вводные'!$B$293,MONTH(AB$3)=MONTH('01_Вводные'!$B$293)),1+AB5,1)</f>
        <v/>
      </c>
      <c r="AC4" s="180">
        <f>AB4*IF(AND('01_Вводные'!$B$294="Да",AC$3&gt;='01_Вводные'!$B$293,MONTH(AC$3)=MONTH('01_Вводные'!$B$293)),1+AC5,1)</f>
        <v/>
      </c>
      <c r="AD4" s="180">
        <f>AC4*IF(AND('01_Вводные'!$B$294="Да",AD$3&gt;='01_Вводные'!$B$293,MONTH(AD$3)=MONTH('01_Вводные'!$B$293)),1+AD5,1)</f>
        <v/>
      </c>
      <c r="AE4" s="180">
        <f>AD4*IF(AND('01_Вводные'!$B$294="Да",AE$3&gt;='01_Вводные'!$B$293,MONTH(AE$3)=MONTH('01_Вводные'!$B$293)),1+AE5,1)</f>
        <v/>
      </c>
      <c r="AF4" s="180">
        <f>AE4*IF(AND('01_Вводные'!$B$294="Да",AF$3&gt;='01_Вводные'!$B$293,MONTH(AF$3)=MONTH('01_Вводные'!$B$293)),1+AF5,1)</f>
        <v/>
      </c>
      <c r="AG4" s="180">
        <f>AF4*IF(AND('01_Вводные'!$B$294="Да",AG$3&gt;='01_Вводные'!$B$293,MONTH(AG$3)=MONTH('01_Вводные'!$B$293)),1+AG5,1)</f>
        <v/>
      </c>
      <c r="AH4" s="180">
        <f>AG4*IF(AND('01_Вводные'!$B$294="Да",AH$3&gt;='01_Вводные'!$B$293,MONTH(AH$3)=MONTH('01_Вводные'!$B$293)),1+AH5,1)</f>
        <v/>
      </c>
      <c r="AI4" s="180">
        <f>AH4*IF(AND('01_Вводные'!$B$294="Да",AI$3&gt;='01_Вводные'!$B$293,MONTH(AI$3)=MONTH('01_Вводные'!$B$293)),1+AI5,1)</f>
        <v/>
      </c>
      <c r="AJ4" s="180">
        <f>AI4*IF(AND('01_Вводные'!$B$294="Да",AJ$3&gt;='01_Вводные'!$B$293,MONTH(AJ$3)=MONTH('01_Вводные'!$B$293)),1+AJ5,1)</f>
        <v/>
      </c>
      <c r="AK4" s="180">
        <f>AJ4*IF(AND('01_Вводные'!$B$294="Да",AK$3&gt;='01_Вводные'!$B$293,MONTH(AK$3)=MONTH('01_Вводные'!$B$293)),1+AK5,1)</f>
        <v/>
      </c>
      <c r="AL4" s="180">
        <f>AK4*IF(AND('01_Вводные'!$B$294="Да",AL$3&gt;='01_Вводные'!$B$293,MONTH(AL$3)=MONTH('01_Вводные'!$B$293)),1+AL5,1)</f>
        <v/>
      </c>
      <c r="AM4" s="180">
        <f>AL4*IF(AND('01_Вводные'!$B$294="Да",AM$3&gt;='01_Вводные'!$B$293,MONTH(AM$3)=MONTH('01_Вводные'!$B$293)),1+AM5,1)</f>
        <v/>
      </c>
      <c r="AN4" s="180">
        <f>AM4*IF(AND('01_Вводные'!$B$294="Да",AN$3&gt;='01_Вводные'!$B$293,MONTH(AN$3)=MONTH('01_Вводные'!$B$293)),1+AN5,1)</f>
        <v/>
      </c>
      <c r="AO4" s="180">
        <f>AN4*IF(AND('01_Вводные'!$B$294="Да",AO$3&gt;='01_Вводные'!$B$293,MONTH(AO$3)=MONTH('01_Вводные'!$B$293)),1+AO5,1)</f>
        <v/>
      </c>
      <c r="AP4" s="180">
        <f>AO4*IF(AND('01_Вводные'!$B$294="Да",AP$3&gt;='01_Вводные'!$B$293,MONTH(AP$3)=MONTH('01_Вводные'!$B$293)),1+AP5,1)</f>
        <v/>
      </c>
      <c r="AQ4" s="180">
        <f>AP4*IF(AND('01_Вводные'!$B$294="Да",AQ$3&gt;='01_Вводные'!$B$293,MONTH(AQ$3)=MONTH('01_Вводные'!$B$293)),1+AQ5,1)</f>
        <v/>
      </c>
      <c r="AR4" s="180">
        <f>AQ4*IF(AND('01_Вводные'!$B$294="Да",AR$3&gt;='01_Вводные'!$B$293,MONTH(AR$3)=MONTH('01_Вводные'!$B$293)),1+AR5,1)</f>
        <v/>
      </c>
      <c r="AS4" s="180">
        <f>AR4*IF(AND('01_Вводные'!$B$294="Да",AS$3&gt;='01_Вводные'!$B$293,MONTH(AS$3)=MONTH('01_Вводные'!$B$293)),1+AS5,1)</f>
        <v/>
      </c>
      <c r="AT4" s="180">
        <f>AS4*IF(AND('01_Вводные'!$B$294="Да",AT$3&gt;='01_Вводные'!$B$293,MONTH(AT$3)=MONTH('01_Вводные'!$B$293)),1+AT5,1)</f>
        <v/>
      </c>
      <c r="AU4" s="180">
        <f>AT4*IF(AND('01_Вводные'!$B$294="Да",AU$3&gt;='01_Вводные'!$B$293,MONTH(AU$3)=MONTH('01_Вводные'!$B$293)),1+AU5,1)</f>
        <v/>
      </c>
      <c r="AV4" s="180">
        <f>AU4*IF(AND('01_Вводные'!$B$294="Да",AV$3&gt;='01_Вводные'!$B$293,MONTH(AV$3)=MONTH('01_Вводные'!$B$293)),1+AV5,1)</f>
        <v/>
      </c>
      <c r="AW4" s="180">
        <f>AV4*IF(AND('01_Вводные'!$B$294="Да",AW$3&gt;='01_Вводные'!$B$293,MONTH(AW$3)=MONTH('01_Вводные'!$B$293)),1+AW5,1)</f>
        <v/>
      </c>
      <c r="AX4" s="180">
        <f>AW4*IF(AND('01_Вводные'!$B$294="Да",AX$3&gt;='01_Вводные'!$B$293,MONTH(AX$3)=MONTH('01_Вводные'!$B$293)),1+AX5,1)</f>
        <v/>
      </c>
      <c r="AY4" s="180">
        <f>AX4*IF(AND('01_Вводные'!$B$294="Да",AY$3&gt;='01_Вводные'!$B$293,MONTH(AY$3)=MONTH('01_Вводные'!$B$293)),1+AY5,1)</f>
        <v/>
      </c>
      <c r="AZ4" s="180">
        <f>AY4*IF(AND('01_Вводные'!$B$294="Да",AZ$3&gt;='01_Вводные'!$B$293,MONTH(AZ$3)=MONTH('01_Вводные'!$B$293)),1+AZ5,1)</f>
        <v/>
      </c>
      <c r="BA4" s="180">
        <f>AZ4*IF(AND('01_Вводные'!$B$294="Да",BA$3&gt;='01_Вводные'!$B$293,MONTH(BA$3)=MONTH('01_Вводные'!$B$293)),1+BA5,1)</f>
        <v/>
      </c>
      <c r="BB4" s="180">
        <f>BA4*IF(AND('01_Вводные'!$B$294="Да",BB$3&gt;='01_Вводные'!$B$293,MONTH(BB$3)=MONTH('01_Вводные'!$B$293)),1+BB5,1)</f>
        <v/>
      </c>
      <c r="BC4" s="180">
        <f>BB4*IF(AND('01_Вводные'!$B$294="Да",BC$3&gt;='01_Вводные'!$B$293,MONTH(BC$3)=MONTH('01_Вводные'!$B$293)),1+BC5,1)</f>
        <v/>
      </c>
      <c r="BD4" s="180">
        <f>BC4*IF(AND('01_Вводные'!$B$294="Да",BD$3&gt;='01_Вводные'!$B$293,MONTH(BD$3)=MONTH('01_Вводные'!$B$293)),1+BD5,1)</f>
        <v/>
      </c>
      <c r="BE4" s="180">
        <f>BD4*IF(AND('01_Вводные'!$B$294="Да",BE$3&gt;='01_Вводные'!$B$293,MONTH(BE$3)=MONTH('01_Вводные'!$B$293)),1+BE5,1)</f>
        <v/>
      </c>
      <c r="BF4" s="180">
        <f>BE4*IF(AND('01_Вводные'!$B$294="Да",BF$3&gt;='01_Вводные'!$B$293,MONTH(BF$3)=MONTH('01_Вводные'!$B$293)),1+BF5,1)</f>
        <v/>
      </c>
      <c r="BG4" s="180">
        <f>BF4*IF(AND('01_Вводные'!$B$294="Да",BG$3&gt;='01_Вводные'!$B$293,MONTH(BG$3)=MONTH('01_Вводные'!$B$293)),1+BG5,1)</f>
        <v/>
      </c>
      <c r="BH4" s="180">
        <f>BG4*IF(AND('01_Вводные'!$B$294="Да",BH$3&gt;='01_Вводные'!$B$293,MONTH(BH$3)=MONTH('01_Вводные'!$B$293)),1+BH5,1)</f>
        <v/>
      </c>
      <c r="BI4" s="180">
        <f>BH4*IF(AND('01_Вводные'!$B$294="Да",BI$3&gt;='01_Вводные'!$B$293,MONTH(BI$3)=MONTH('01_Вводные'!$B$293)),1+BI5,1)</f>
        <v/>
      </c>
      <c r="BJ4" s="180">
        <f>BI4*IF(AND('01_Вводные'!$B$294="Да",BJ$3&gt;='01_Вводные'!$B$293,MONTH(BJ$3)=MONTH('01_Вводные'!$B$293)),1+BJ5,1)</f>
        <v/>
      </c>
      <c r="BK4" s="180">
        <f>BJ4*IF(AND('01_Вводные'!$B$294="Да",BK$3&gt;='01_Вводные'!$B$293,MONTH(BK$3)=MONTH('01_Вводные'!$B$293)),1+BK5,1)</f>
        <v/>
      </c>
      <c r="BL4" s="180">
        <f>BK4*IF(AND('01_Вводные'!$B$294="Да",BL$3&gt;='01_Вводные'!$B$293,MONTH(BL$3)=MONTH('01_Вводные'!$B$293)),1+BL5,1)</f>
        <v/>
      </c>
      <c r="BM4" s="180">
        <f>BL4*IF(AND('01_Вводные'!$B$294="Да",BM$3&gt;='01_Вводные'!$B$293,MONTH(BM$3)=MONTH('01_Вводные'!$B$293)),1+BM5,1)</f>
        <v/>
      </c>
      <c r="BN4" s="180">
        <f>BM4*IF(AND('01_Вводные'!$B$294="Да",BN$3&gt;='01_Вводные'!$B$293,MONTH(BN$3)=MONTH('01_Вводные'!$B$293)),1+BN5,1)</f>
        <v/>
      </c>
      <c r="BO4" s="180">
        <f>BN4*IF(AND('01_Вводные'!$B$294="Да",BO$3&gt;='01_Вводные'!$B$293,MONTH(BO$3)=MONTH('01_Вводные'!$B$293)),1+BO5,1)</f>
        <v/>
      </c>
    </row>
    <row r="5">
      <c r="A5" s="178" t="inlineStr">
        <is>
          <t>Инфляция года</t>
        </is>
      </c>
      <c r="B5" s="180">
        <f>SUMIF('01_Вводные'!$A$301:$A$307,YEAR(B$3),'01_Вводные'!$B$301:$B$307)</f>
        <v/>
      </c>
      <c r="C5" s="180">
        <f>SUMIF('01_Вводные'!$A$301:$A$307,YEAR(C$3),'01_Вводные'!$B$301:$B$307)</f>
        <v/>
      </c>
      <c r="D5" s="180">
        <f>SUMIF('01_Вводные'!$A$301:$A$307,YEAR(D$3),'01_Вводные'!$B$301:$B$307)</f>
        <v/>
      </c>
      <c r="E5" s="180">
        <f>SUMIF('01_Вводные'!$A$301:$A$307,YEAR(E$3),'01_Вводные'!$B$301:$B$307)</f>
        <v/>
      </c>
      <c r="F5" s="180">
        <f>SUMIF('01_Вводные'!$A$301:$A$307,YEAR(F$3),'01_Вводные'!$B$301:$B$307)</f>
        <v/>
      </c>
      <c r="G5" s="180">
        <f>SUMIF('01_Вводные'!$A$301:$A$307,YEAR(G$3),'01_Вводные'!$B$301:$B$307)</f>
        <v/>
      </c>
      <c r="H5" s="180">
        <f>SUMIF('01_Вводные'!$A$301:$A$307,YEAR(H$3),'01_Вводные'!$B$301:$B$307)</f>
        <v/>
      </c>
      <c r="I5" s="180">
        <f>SUMIF('01_Вводные'!$A$301:$A$307,YEAR(I$3),'01_Вводные'!$B$301:$B$307)</f>
        <v/>
      </c>
      <c r="J5" s="180">
        <f>SUMIF('01_Вводные'!$A$301:$A$307,YEAR(J$3),'01_Вводные'!$B$301:$B$307)</f>
        <v/>
      </c>
      <c r="K5" s="180">
        <f>SUMIF('01_Вводные'!$A$301:$A$307,YEAR(K$3),'01_Вводные'!$B$301:$B$307)</f>
        <v/>
      </c>
      <c r="L5" s="180">
        <f>SUMIF('01_Вводные'!$A$301:$A$307,YEAR(L$3),'01_Вводные'!$B$301:$B$307)</f>
        <v/>
      </c>
      <c r="M5" s="180">
        <f>SUMIF('01_Вводные'!$A$301:$A$307,YEAR(M$3),'01_Вводные'!$B$301:$B$307)</f>
        <v/>
      </c>
      <c r="N5" s="180">
        <f>SUMIF('01_Вводные'!$A$301:$A$307,YEAR(N$3),'01_Вводные'!$B$301:$B$307)</f>
        <v/>
      </c>
      <c r="O5" s="180">
        <f>SUMIF('01_Вводные'!$A$301:$A$307,YEAR(O$3),'01_Вводные'!$B$301:$B$307)</f>
        <v/>
      </c>
      <c r="P5" s="180">
        <f>SUMIF('01_Вводные'!$A$301:$A$307,YEAR(P$3),'01_Вводные'!$B$301:$B$307)</f>
        <v/>
      </c>
      <c r="Q5" s="180">
        <f>SUMIF('01_Вводные'!$A$301:$A$307,YEAR(Q$3),'01_Вводные'!$B$301:$B$307)</f>
        <v/>
      </c>
      <c r="R5" s="180">
        <f>SUMIF('01_Вводные'!$A$301:$A$307,YEAR(R$3),'01_Вводные'!$B$301:$B$307)</f>
        <v/>
      </c>
      <c r="S5" s="180">
        <f>SUMIF('01_Вводные'!$A$301:$A$307,YEAR(S$3),'01_Вводные'!$B$301:$B$307)</f>
        <v/>
      </c>
      <c r="T5" s="180">
        <f>SUMIF('01_Вводные'!$A$301:$A$307,YEAR(T$3),'01_Вводные'!$B$301:$B$307)</f>
        <v/>
      </c>
      <c r="U5" s="180">
        <f>SUMIF('01_Вводные'!$A$301:$A$307,YEAR(U$3),'01_Вводные'!$B$301:$B$307)</f>
        <v/>
      </c>
      <c r="V5" s="180">
        <f>SUMIF('01_Вводные'!$A$301:$A$307,YEAR(V$3),'01_Вводные'!$B$301:$B$307)</f>
        <v/>
      </c>
      <c r="W5" s="180">
        <f>SUMIF('01_Вводные'!$A$301:$A$307,YEAR(W$3),'01_Вводные'!$B$301:$B$307)</f>
        <v/>
      </c>
      <c r="X5" s="180">
        <f>SUMIF('01_Вводные'!$A$301:$A$307,YEAR(X$3),'01_Вводные'!$B$301:$B$307)</f>
        <v/>
      </c>
      <c r="Y5" s="180">
        <f>SUMIF('01_Вводные'!$A$301:$A$307,YEAR(Y$3),'01_Вводные'!$B$301:$B$307)</f>
        <v/>
      </c>
      <c r="Z5" s="180">
        <f>SUMIF('01_Вводные'!$A$301:$A$307,YEAR(Z$3),'01_Вводные'!$B$301:$B$307)</f>
        <v/>
      </c>
      <c r="AA5" s="180">
        <f>SUMIF('01_Вводные'!$A$301:$A$307,YEAR(AA$3),'01_Вводные'!$B$301:$B$307)</f>
        <v/>
      </c>
      <c r="AB5" s="180">
        <f>SUMIF('01_Вводные'!$A$301:$A$307,YEAR(AB$3),'01_Вводные'!$B$301:$B$307)</f>
        <v/>
      </c>
      <c r="AC5" s="180">
        <f>SUMIF('01_Вводные'!$A$301:$A$307,YEAR(AC$3),'01_Вводные'!$B$301:$B$307)</f>
        <v/>
      </c>
      <c r="AD5" s="180">
        <f>SUMIF('01_Вводные'!$A$301:$A$307,YEAR(AD$3),'01_Вводные'!$B$301:$B$307)</f>
        <v/>
      </c>
      <c r="AE5" s="180">
        <f>SUMIF('01_Вводные'!$A$301:$A$307,YEAR(AE$3),'01_Вводные'!$B$301:$B$307)</f>
        <v/>
      </c>
      <c r="AF5" s="180">
        <f>SUMIF('01_Вводные'!$A$301:$A$307,YEAR(AF$3),'01_Вводные'!$B$301:$B$307)</f>
        <v/>
      </c>
      <c r="AG5" s="180">
        <f>SUMIF('01_Вводные'!$A$301:$A$307,YEAR(AG$3),'01_Вводные'!$B$301:$B$307)</f>
        <v/>
      </c>
      <c r="AH5" s="180">
        <f>SUMIF('01_Вводные'!$A$301:$A$307,YEAR(AH$3),'01_Вводные'!$B$301:$B$307)</f>
        <v/>
      </c>
      <c r="AI5" s="180">
        <f>SUMIF('01_Вводные'!$A$301:$A$307,YEAR(AI$3),'01_Вводные'!$B$301:$B$307)</f>
        <v/>
      </c>
      <c r="AJ5" s="180">
        <f>SUMIF('01_Вводные'!$A$301:$A$307,YEAR(AJ$3),'01_Вводные'!$B$301:$B$307)</f>
        <v/>
      </c>
      <c r="AK5" s="180">
        <f>SUMIF('01_Вводные'!$A$301:$A$307,YEAR(AK$3),'01_Вводные'!$B$301:$B$307)</f>
        <v/>
      </c>
      <c r="AL5" s="180">
        <f>SUMIF('01_Вводные'!$A$301:$A$307,YEAR(AL$3),'01_Вводные'!$B$301:$B$307)</f>
        <v/>
      </c>
      <c r="AM5" s="180">
        <f>SUMIF('01_Вводные'!$A$301:$A$307,YEAR(AM$3),'01_Вводные'!$B$301:$B$307)</f>
        <v/>
      </c>
      <c r="AN5" s="180">
        <f>SUMIF('01_Вводные'!$A$301:$A$307,YEAR(AN$3),'01_Вводные'!$B$301:$B$307)</f>
        <v/>
      </c>
      <c r="AO5" s="180">
        <f>SUMIF('01_Вводные'!$A$301:$A$307,YEAR(AO$3),'01_Вводные'!$B$301:$B$307)</f>
        <v/>
      </c>
      <c r="AP5" s="180">
        <f>SUMIF('01_Вводные'!$A$301:$A$307,YEAR(AP$3),'01_Вводные'!$B$301:$B$307)</f>
        <v/>
      </c>
      <c r="AQ5" s="180">
        <f>SUMIF('01_Вводные'!$A$301:$A$307,YEAR(AQ$3),'01_Вводные'!$B$301:$B$307)</f>
        <v/>
      </c>
      <c r="AR5" s="180">
        <f>SUMIF('01_Вводные'!$A$301:$A$307,YEAR(AR$3),'01_Вводные'!$B$301:$B$307)</f>
        <v/>
      </c>
      <c r="AS5" s="180">
        <f>SUMIF('01_Вводные'!$A$301:$A$307,YEAR(AS$3),'01_Вводные'!$B$301:$B$307)</f>
        <v/>
      </c>
      <c r="AT5" s="180">
        <f>SUMIF('01_Вводные'!$A$301:$A$307,YEAR(AT$3),'01_Вводные'!$B$301:$B$307)</f>
        <v/>
      </c>
      <c r="AU5" s="180">
        <f>SUMIF('01_Вводные'!$A$301:$A$307,YEAR(AU$3),'01_Вводные'!$B$301:$B$307)</f>
        <v/>
      </c>
      <c r="AV5" s="180">
        <f>SUMIF('01_Вводные'!$A$301:$A$307,YEAR(AV$3),'01_Вводные'!$B$301:$B$307)</f>
        <v/>
      </c>
      <c r="AW5" s="180">
        <f>SUMIF('01_Вводные'!$A$301:$A$307,YEAR(AW$3),'01_Вводные'!$B$301:$B$307)</f>
        <v/>
      </c>
      <c r="AX5" s="180">
        <f>SUMIF('01_Вводные'!$A$301:$A$307,YEAR(AX$3),'01_Вводные'!$B$301:$B$307)</f>
        <v/>
      </c>
      <c r="AY5" s="180">
        <f>SUMIF('01_Вводные'!$A$301:$A$307,YEAR(AY$3),'01_Вводные'!$B$301:$B$307)</f>
        <v/>
      </c>
      <c r="AZ5" s="180">
        <f>SUMIF('01_Вводные'!$A$301:$A$307,YEAR(AZ$3),'01_Вводные'!$B$301:$B$307)</f>
        <v/>
      </c>
      <c r="BA5" s="180">
        <f>SUMIF('01_Вводные'!$A$301:$A$307,YEAR(BA$3),'01_Вводные'!$B$301:$B$307)</f>
        <v/>
      </c>
      <c r="BB5" s="180">
        <f>SUMIF('01_Вводные'!$A$301:$A$307,YEAR(BB$3),'01_Вводные'!$B$301:$B$307)</f>
        <v/>
      </c>
      <c r="BC5" s="180">
        <f>SUMIF('01_Вводные'!$A$301:$A$307,YEAR(BC$3),'01_Вводные'!$B$301:$B$307)</f>
        <v/>
      </c>
      <c r="BD5" s="180">
        <f>SUMIF('01_Вводные'!$A$301:$A$307,YEAR(BD$3),'01_Вводные'!$B$301:$B$307)</f>
        <v/>
      </c>
      <c r="BE5" s="180">
        <f>SUMIF('01_Вводные'!$A$301:$A$307,YEAR(BE$3),'01_Вводные'!$B$301:$B$307)</f>
        <v/>
      </c>
      <c r="BF5" s="180">
        <f>SUMIF('01_Вводные'!$A$301:$A$307,YEAR(BF$3),'01_Вводные'!$B$301:$B$307)</f>
        <v/>
      </c>
      <c r="BG5" s="180">
        <f>SUMIF('01_Вводные'!$A$301:$A$307,YEAR(BG$3),'01_Вводные'!$B$301:$B$307)</f>
        <v/>
      </c>
      <c r="BH5" s="180">
        <f>SUMIF('01_Вводные'!$A$301:$A$307,YEAR(BH$3),'01_Вводные'!$B$301:$B$307)</f>
        <v/>
      </c>
      <c r="BI5" s="180">
        <f>SUMIF('01_Вводные'!$A$301:$A$307,YEAR(BI$3),'01_Вводные'!$B$301:$B$307)</f>
        <v/>
      </c>
      <c r="BJ5" s="180">
        <f>SUMIF('01_Вводные'!$A$301:$A$307,YEAR(BJ$3),'01_Вводные'!$B$301:$B$307)</f>
        <v/>
      </c>
      <c r="BK5" s="180">
        <f>SUMIF('01_Вводные'!$A$301:$A$307,YEAR(BK$3),'01_Вводные'!$B$301:$B$307)</f>
        <v/>
      </c>
      <c r="BL5" s="180">
        <f>SUMIF('01_Вводные'!$A$301:$A$307,YEAR(BL$3),'01_Вводные'!$B$301:$B$307)</f>
        <v/>
      </c>
      <c r="BM5" s="180">
        <f>SUMIF('01_Вводные'!$A$301:$A$307,YEAR(BM$3),'01_Вводные'!$B$301:$B$307)</f>
        <v/>
      </c>
      <c r="BN5" s="180">
        <f>SUMIF('01_Вводные'!$A$301:$A$307,YEAR(BN$3),'01_Вводные'!$B$301:$B$307)</f>
        <v/>
      </c>
      <c r="BO5" s="180">
        <f>SUMIF('01_Вводные'!$A$301:$A$307,YEAR(BO$3),'01_Вводные'!$B$301:$B$307)</f>
        <v/>
      </c>
    </row>
    <row r="6">
      <c r="A6" s="178" t="inlineStr">
        <is>
          <t>Паушальный, с НДС</t>
        </is>
      </c>
      <c r="B6" s="180">
        <f t="array" ref="B6">INDEX('01_Вводные'!$B$63:$B$67,MIN(5,INT(0/12)+1),1)*B4</f>
        <v/>
      </c>
      <c r="C6" s="180">
        <f t="array" ref="C6">INDEX('01_Вводные'!$B$63:$B$67,MIN(5,INT(1/12)+1),1)*C4</f>
        <v/>
      </c>
      <c r="D6" s="180">
        <f t="array" ref="D6">INDEX('01_Вводные'!$B$63:$B$67,MIN(5,INT(2/12)+1),1)*D4</f>
        <v/>
      </c>
      <c r="E6" s="180">
        <f t="array" ref="E6">INDEX('01_Вводные'!$B$63:$B$67,MIN(5,INT(3/12)+1),1)*E4</f>
        <v/>
      </c>
      <c r="F6" s="180">
        <f t="array" ref="F6">INDEX('01_Вводные'!$B$63:$B$67,MIN(5,INT(4/12)+1),1)*F4</f>
        <v/>
      </c>
      <c r="G6" s="180">
        <f t="array" ref="G6">INDEX('01_Вводные'!$B$63:$B$67,MIN(5,INT(5/12)+1),1)*G4</f>
        <v/>
      </c>
      <c r="H6" s="180">
        <f t="array" ref="H6">INDEX('01_Вводные'!$B$63:$B$67,MIN(5,INT(6/12)+1),1)*H4</f>
        <v/>
      </c>
      <c r="I6" s="180">
        <f t="array" ref="I6">INDEX('01_Вводные'!$B$63:$B$67,MIN(5,INT(7/12)+1),1)*I4</f>
        <v/>
      </c>
      <c r="J6" s="180">
        <f t="array" ref="J6">INDEX('01_Вводные'!$B$63:$B$67,MIN(5,INT(8/12)+1),1)*J4</f>
        <v/>
      </c>
      <c r="K6" s="180">
        <f t="array" ref="K6">INDEX('01_Вводные'!$B$63:$B$67,MIN(5,INT(9/12)+1),1)*K4</f>
        <v/>
      </c>
      <c r="L6" s="180">
        <f t="array" ref="L6">INDEX('01_Вводные'!$B$63:$B$67,MIN(5,INT(10/12)+1),1)*L4</f>
        <v/>
      </c>
      <c r="M6" s="180">
        <f t="array" ref="M6">INDEX('01_Вводные'!$B$63:$B$67,MIN(5,INT(11/12)+1),1)*M4</f>
        <v/>
      </c>
      <c r="N6" s="180">
        <f t="array" ref="N6">INDEX('01_Вводные'!$B$63:$B$67,MIN(5,INT(12/12)+1),1)*N4</f>
        <v/>
      </c>
      <c r="O6" s="180">
        <f t="array" ref="O6">INDEX('01_Вводные'!$B$63:$B$67,MIN(5,INT(13/12)+1),1)*O4</f>
        <v/>
      </c>
      <c r="P6" s="180">
        <f t="array" ref="P6">INDEX('01_Вводные'!$B$63:$B$67,MIN(5,INT(14/12)+1),1)*P4</f>
        <v/>
      </c>
      <c r="Q6" s="180">
        <f t="array" ref="Q6">INDEX('01_Вводные'!$B$63:$B$67,MIN(5,INT(15/12)+1),1)*Q4</f>
        <v/>
      </c>
      <c r="R6" s="180">
        <f t="array" ref="R6">INDEX('01_Вводные'!$B$63:$B$67,MIN(5,INT(16/12)+1),1)*R4</f>
        <v/>
      </c>
      <c r="S6" s="180">
        <f t="array" ref="S6">INDEX('01_Вводные'!$B$63:$B$67,MIN(5,INT(17/12)+1),1)*S4</f>
        <v/>
      </c>
      <c r="T6" s="180">
        <f t="array" ref="T6">INDEX('01_Вводные'!$B$63:$B$67,MIN(5,INT(18/12)+1),1)*T4</f>
        <v/>
      </c>
      <c r="U6" s="180">
        <f t="array" ref="U6">INDEX('01_Вводные'!$B$63:$B$67,MIN(5,INT(19/12)+1),1)*U4</f>
        <v/>
      </c>
      <c r="V6" s="180">
        <f t="array" ref="V6">INDEX('01_Вводные'!$B$63:$B$67,MIN(5,INT(20/12)+1),1)*V4</f>
        <v/>
      </c>
      <c r="W6" s="180">
        <f t="array" ref="W6">INDEX('01_Вводные'!$B$63:$B$67,MIN(5,INT(21/12)+1),1)*W4</f>
        <v/>
      </c>
      <c r="X6" s="180">
        <f t="array" ref="X6">INDEX('01_Вводные'!$B$63:$B$67,MIN(5,INT(22/12)+1),1)*X4</f>
        <v/>
      </c>
      <c r="Y6" s="180">
        <f t="array" ref="Y6">INDEX('01_Вводные'!$B$63:$B$67,MIN(5,INT(23/12)+1),1)*Y4</f>
        <v/>
      </c>
      <c r="Z6" s="180">
        <f t="array" ref="Z6">INDEX('01_Вводные'!$B$63:$B$67,MIN(5,INT(24/12)+1),1)*Z4</f>
        <v/>
      </c>
      <c r="AA6" s="180">
        <f t="array" ref="AA6">INDEX('01_Вводные'!$B$63:$B$67,MIN(5,INT(25/12)+1),1)*AA4</f>
        <v/>
      </c>
      <c r="AB6" s="180">
        <f t="array" ref="AB6">INDEX('01_Вводные'!$B$63:$B$67,MIN(5,INT(26/12)+1),1)*AB4</f>
        <v/>
      </c>
      <c r="AC6" s="180">
        <f t="array" ref="AC6">INDEX('01_Вводные'!$B$63:$B$67,MIN(5,INT(27/12)+1),1)*AC4</f>
        <v/>
      </c>
      <c r="AD6" s="180">
        <f t="array" ref="AD6">INDEX('01_Вводные'!$B$63:$B$67,MIN(5,INT(28/12)+1),1)*AD4</f>
        <v/>
      </c>
      <c r="AE6" s="180">
        <f t="array" ref="AE6">INDEX('01_Вводные'!$B$63:$B$67,MIN(5,INT(29/12)+1),1)*AE4</f>
        <v/>
      </c>
      <c r="AF6" s="180">
        <f t="array" ref="AF6">INDEX('01_Вводные'!$B$63:$B$67,MIN(5,INT(30/12)+1),1)*AF4</f>
        <v/>
      </c>
      <c r="AG6" s="180">
        <f t="array" ref="AG6">INDEX('01_Вводные'!$B$63:$B$67,MIN(5,INT(31/12)+1),1)*AG4</f>
        <v/>
      </c>
      <c r="AH6" s="180">
        <f t="array" ref="AH6">INDEX('01_Вводные'!$B$63:$B$67,MIN(5,INT(32/12)+1),1)*AH4</f>
        <v/>
      </c>
      <c r="AI6" s="180">
        <f t="array" ref="AI6">INDEX('01_Вводные'!$B$63:$B$67,MIN(5,INT(33/12)+1),1)*AI4</f>
        <v/>
      </c>
      <c r="AJ6" s="180">
        <f t="array" ref="AJ6">INDEX('01_Вводные'!$B$63:$B$67,MIN(5,INT(34/12)+1),1)*AJ4</f>
        <v/>
      </c>
      <c r="AK6" s="180">
        <f t="array" ref="AK6">INDEX('01_Вводные'!$B$63:$B$67,MIN(5,INT(35/12)+1),1)*AK4</f>
        <v/>
      </c>
      <c r="AL6" s="180">
        <f t="array" ref="AL6">INDEX('01_Вводные'!$B$63:$B$67,MIN(5,INT(36/12)+1),1)*AL4</f>
        <v/>
      </c>
      <c r="AM6" s="180">
        <f t="array" ref="AM6">INDEX('01_Вводные'!$B$63:$B$67,MIN(5,INT(37/12)+1),1)*AM4</f>
        <v/>
      </c>
      <c r="AN6" s="180">
        <f t="array" ref="AN6">INDEX('01_Вводные'!$B$63:$B$67,MIN(5,INT(38/12)+1),1)*AN4</f>
        <v/>
      </c>
      <c r="AO6" s="180">
        <f t="array" ref="AO6">INDEX('01_Вводные'!$B$63:$B$67,MIN(5,INT(39/12)+1),1)*AO4</f>
        <v/>
      </c>
      <c r="AP6" s="180">
        <f t="array" ref="AP6">INDEX('01_Вводные'!$B$63:$B$67,MIN(5,INT(40/12)+1),1)*AP4</f>
        <v/>
      </c>
      <c r="AQ6" s="180">
        <f t="array" ref="AQ6">INDEX('01_Вводные'!$B$63:$B$67,MIN(5,INT(41/12)+1),1)*AQ4</f>
        <v/>
      </c>
      <c r="AR6" s="180">
        <f t="array" ref="AR6">INDEX('01_Вводные'!$B$63:$B$67,MIN(5,INT(42/12)+1),1)*AR4</f>
        <v/>
      </c>
      <c r="AS6" s="180">
        <f t="array" ref="AS6">INDEX('01_Вводные'!$B$63:$B$67,MIN(5,INT(43/12)+1),1)*AS4</f>
        <v/>
      </c>
      <c r="AT6" s="180">
        <f t="array" ref="AT6">INDEX('01_Вводные'!$B$63:$B$67,MIN(5,INT(44/12)+1),1)*AT4</f>
        <v/>
      </c>
      <c r="AU6" s="180">
        <f t="array" ref="AU6">INDEX('01_Вводные'!$B$63:$B$67,MIN(5,INT(45/12)+1),1)*AU4</f>
        <v/>
      </c>
      <c r="AV6" s="180">
        <f t="array" ref="AV6">INDEX('01_Вводные'!$B$63:$B$67,MIN(5,INT(46/12)+1),1)*AV4</f>
        <v/>
      </c>
      <c r="AW6" s="180">
        <f t="array" ref="AW6">INDEX('01_Вводные'!$B$63:$B$67,MIN(5,INT(47/12)+1),1)*AW4</f>
        <v/>
      </c>
      <c r="AX6" s="180">
        <f t="array" ref="AX6">INDEX('01_Вводные'!$B$63:$B$67,MIN(5,INT(48/12)+1),1)*AX4</f>
        <v/>
      </c>
      <c r="AY6" s="180">
        <f t="array" ref="AY6">INDEX('01_Вводные'!$B$63:$B$67,MIN(5,INT(49/12)+1),1)*AY4</f>
        <v/>
      </c>
      <c r="AZ6" s="180">
        <f t="array" ref="AZ6">INDEX('01_Вводные'!$B$63:$B$67,MIN(5,INT(50/12)+1),1)*AZ4</f>
        <v/>
      </c>
      <c r="BA6" s="180">
        <f t="array" ref="BA6">INDEX('01_Вводные'!$B$63:$B$67,MIN(5,INT(51/12)+1),1)*BA4</f>
        <v/>
      </c>
      <c r="BB6" s="180">
        <f t="array" ref="BB6">INDEX('01_Вводные'!$B$63:$B$67,MIN(5,INT(52/12)+1),1)*BB4</f>
        <v/>
      </c>
      <c r="BC6" s="180">
        <f t="array" ref="BC6">INDEX('01_Вводные'!$B$63:$B$67,MIN(5,INT(53/12)+1),1)*BC4</f>
        <v/>
      </c>
      <c r="BD6" s="180">
        <f t="array" ref="BD6">INDEX('01_Вводные'!$B$63:$B$67,MIN(5,INT(54/12)+1),1)*BD4</f>
        <v/>
      </c>
      <c r="BE6" s="180">
        <f t="array" ref="BE6">INDEX('01_Вводные'!$B$63:$B$67,MIN(5,INT(55/12)+1),1)*BE4</f>
        <v/>
      </c>
      <c r="BF6" s="180">
        <f t="array" ref="BF6">INDEX('01_Вводные'!$B$63:$B$67,MIN(5,INT(56/12)+1),1)*BF4</f>
        <v/>
      </c>
      <c r="BG6" s="180">
        <f t="array" ref="BG6">INDEX('01_Вводные'!$B$63:$B$67,MIN(5,INT(57/12)+1),1)*BG4</f>
        <v/>
      </c>
      <c r="BH6" s="180">
        <f t="array" ref="BH6">INDEX('01_Вводные'!$B$63:$B$67,MIN(5,INT(58/12)+1),1)*BH4</f>
        <v/>
      </c>
      <c r="BI6" s="180">
        <f t="array" ref="BI6">INDEX('01_Вводные'!$B$63:$B$67,MIN(5,INT(59/12)+1),1)*BI4</f>
        <v/>
      </c>
      <c r="BJ6" s="180">
        <f t="array" ref="BJ6">INDEX('01_Вводные'!$B$63:$B$67,MIN(5,INT(60/12)+1),1)*BJ4</f>
        <v/>
      </c>
      <c r="BK6" s="180">
        <f t="array" ref="BK6">INDEX('01_Вводные'!$B$63:$B$67,MIN(5,INT(61/12)+1),1)*BK4</f>
        <v/>
      </c>
      <c r="BL6" s="180">
        <f t="array" ref="BL6">INDEX('01_Вводные'!$B$63:$B$67,MIN(5,INT(62/12)+1),1)*BL4</f>
        <v/>
      </c>
      <c r="BM6" s="180">
        <f t="array" ref="BM6">INDEX('01_Вводные'!$B$63:$B$67,MIN(5,INT(63/12)+1),1)*BM4</f>
        <v/>
      </c>
      <c r="BN6" s="180">
        <f t="array" ref="BN6">INDEX('01_Вводные'!$B$63:$B$67,MIN(5,INT(64/12)+1),1)*BN4</f>
        <v/>
      </c>
      <c r="BO6" s="180">
        <f t="array" ref="BO6">INDEX('01_Вводные'!$B$63:$B$67,MIN(5,INT(65/12)+1),1)*BO4</f>
        <v/>
      </c>
    </row>
    <row r="7">
      <c r="A7" s="178" t="inlineStr">
        <is>
          <t>Абонемент новой школы</t>
        </is>
      </c>
      <c r="B7" s="180">
        <f t="array" ref="B7">INDEX('01_Вводные'!$C$63:$C$67,MIN(5,INT(0/12)+1),1)*B4</f>
        <v/>
      </c>
      <c r="C7" s="180">
        <f t="array" ref="C7">INDEX('01_Вводные'!$C$63:$C$67,MIN(5,INT(1/12)+1),1)*C4</f>
        <v/>
      </c>
      <c r="D7" s="180">
        <f t="array" ref="D7">INDEX('01_Вводные'!$C$63:$C$67,MIN(5,INT(2/12)+1),1)*D4</f>
        <v/>
      </c>
      <c r="E7" s="180">
        <f t="array" ref="E7">INDEX('01_Вводные'!$C$63:$C$67,MIN(5,INT(3/12)+1),1)*E4</f>
        <v/>
      </c>
      <c r="F7" s="180">
        <f t="array" ref="F7">INDEX('01_Вводные'!$C$63:$C$67,MIN(5,INT(4/12)+1),1)*F4</f>
        <v/>
      </c>
      <c r="G7" s="180">
        <f t="array" ref="G7">INDEX('01_Вводные'!$C$63:$C$67,MIN(5,INT(5/12)+1),1)*G4</f>
        <v/>
      </c>
      <c r="H7" s="180">
        <f t="array" ref="H7">INDEX('01_Вводные'!$C$63:$C$67,MIN(5,INT(6/12)+1),1)*H4</f>
        <v/>
      </c>
      <c r="I7" s="180">
        <f t="array" ref="I7">INDEX('01_Вводные'!$C$63:$C$67,MIN(5,INT(7/12)+1),1)*I4</f>
        <v/>
      </c>
      <c r="J7" s="180">
        <f t="array" ref="J7">INDEX('01_Вводные'!$C$63:$C$67,MIN(5,INT(8/12)+1),1)*J4</f>
        <v/>
      </c>
      <c r="K7" s="180">
        <f t="array" ref="K7">INDEX('01_Вводные'!$C$63:$C$67,MIN(5,INT(9/12)+1),1)*K4</f>
        <v/>
      </c>
      <c r="L7" s="180">
        <f t="array" ref="L7">INDEX('01_Вводные'!$C$63:$C$67,MIN(5,INT(10/12)+1),1)*L4</f>
        <v/>
      </c>
      <c r="M7" s="180">
        <f t="array" ref="M7">INDEX('01_Вводные'!$C$63:$C$67,MIN(5,INT(11/12)+1),1)*M4</f>
        <v/>
      </c>
      <c r="N7" s="180">
        <f t="array" ref="N7">INDEX('01_Вводные'!$C$63:$C$67,MIN(5,INT(12/12)+1),1)*N4</f>
        <v/>
      </c>
      <c r="O7" s="180">
        <f t="array" ref="O7">INDEX('01_Вводные'!$C$63:$C$67,MIN(5,INT(13/12)+1),1)*O4</f>
        <v/>
      </c>
      <c r="P7" s="180">
        <f t="array" ref="P7">INDEX('01_Вводные'!$C$63:$C$67,MIN(5,INT(14/12)+1),1)*P4</f>
        <v/>
      </c>
      <c r="Q7" s="180">
        <f t="array" ref="Q7">INDEX('01_Вводные'!$C$63:$C$67,MIN(5,INT(15/12)+1),1)*Q4</f>
        <v/>
      </c>
      <c r="R7" s="180">
        <f t="array" ref="R7">INDEX('01_Вводные'!$C$63:$C$67,MIN(5,INT(16/12)+1),1)*R4</f>
        <v/>
      </c>
      <c r="S7" s="180">
        <f t="array" ref="S7">INDEX('01_Вводные'!$C$63:$C$67,MIN(5,INT(17/12)+1),1)*S4</f>
        <v/>
      </c>
      <c r="T7" s="180">
        <f t="array" ref="T7">INDEX('01_Вводные'!$C$63:$C$67,MIN(5,INT(18/12)+1),1)*T4</f>
        <v/>
      </c>
      <c r="U7" s="180">
        <f t="array" ref="U7">INDEX('01_Вводные'!$C$63:$C$67,MIN(5,INT(19/12)+1),1)*U4</f>
        <v/>
      </c>
      <c r="V7" s="180">
        <f t="array" ref="V7">INDEX('01_Вводные'!$C$63:$C$67,MIN(5,INT(20/12)+1),1)*V4</f>
        <v/>
      </c>
      <c r="W7" s="180">
        <f t="array" ref="W7">INDEX('01_Вводные'!$C$63:$C$67,MIN(5,INT(21/12)+1),1)*W4</f>
        <v/>
      </c>
      <c r="X7" s="180">
        <f t="array" ref="X7">INDEX('01_Вводные'!$C$63:$C$67,MIN(5,INT(22/12)+1),1)*X4</f>
        <v/>
      </c>
      <c r="Y7" s="180">
        <f t="array" ref="Y7">INDEX('01_Вводные'!$C$63:$C$67,MIN(5,INT(23/12)+1),1)*Y4</f>
        <v/>
      </c>
      <c r="Z7" s="180">
        <f t="array" ref="Z7">INDEX('01_Вводные'!$C$63:$C$67,MIN(5,INT(24/12)+1),1)*Z4</f>
        <v/>
      </c>
      <c r="AA7" s="180">
        <f t="array" ref="AA7">INDEX('01_Вводные'!$C$63:$C$67,MIN(5,INT(25/12)+1),1)*AA4</f>
        <v/>
      </c>
      <c r="AB7" s="180">
        <f t="array" ref="AB7">INDEX('01_Вводные'!$C$63:$C$67,MIN(5,INT(26/12)+1),1)*AB4</f>
        <v/>
      </c>
      <c r="AC7" s="180">
        <f t="array" ref="AC7">INDEX('01_Вводные'!$C$63:$C$67,MIN(5,INT(27/12)+1),1)*AC4</f>
        <v/>
      </c>
      <c r="AD7" s="180">
        <f t="array" ref="AD7">INDEX('01_Вводные'!$C$63:$C$67,MIN(5,INT(28/12)+1),1)*AD4</f>
        <v/>
      </c>
      <c r="AE7" s="180">
        <f t="array" ref="AE7">INDEX('01_Вводные'!$C$63:$C$67,MIN(5,INT(29/12)+1),1)*AE4</f>
        <v/>
      </c>
      <c r="AF7" s="180">
        <f t="array" ref="AF7">INDEX('01_Вводные'!$C$63:$C$67,MIN(5,INT(30/12)+1),1)*AF4</f>
        <v/>
      </c>
      <c r="AG7" s="180">
        <f t="array" ref="AG7">INDEX('01_Вводные'!$C$63:$C$67,MIN(5,INT(31/12)+1),1)*AG4</f>
        <v/>
      </c>
      <c r="AH7" s="180">
        <f t="array" ref="AH7">INDEX('01_Вводные'!$C$63:$C$67,MIN(5,INT(32/12)+1),1)*AH4</f>
        <v/>
      </c>
      <c r="AI7" s="180">
        <f t="array" ref="AI7">INDEX('01_Вводные'!$C$63:$C$67,MIN(5,INT(33/12)+1),1)*AI4</f>
        <v/>
      </c>
      <c r="AJ7" s="180">
        <f t="array" ref="AJ7">INDEX('01_Вводные'!$C$63:$C$67,MIN(5,INT(34/12)+1),1)*AJ4</f>
        <v/>
      </c>
      <c r="AK7" s="180">
        <f t="array" ref="AK7">INDEX('01_Вводные'!$C$63:$C$67,MIN(5,INT(35/12)+1),1)*AK4</f>
        <v/>
      </c>
      <c r="AL7" s="180">
        <f t="array" ref="AL7">INDEX('01_Вводные'!$C$63:$C$67,MIN(5,INT(36/12)+1),1)*AL4</f>
        <v/>
      </c>
      <c r="AM7" s="180">
        <f t="array" ref="AM7">INDEX('01_Вводные'!$C$63:$C$67,MIN(5,INT(37/12)+1),1)*AM4</f>
        <v/>
      </c>
      <c r="AN7" s="180">
        <f t="array" ref="AN7">INDEX('01_Вводные'!$C$63:$C$67,MIN(5,INT(38/12)+1),1)*AN4</f>
        <v/>
      </c>
      <c r="AO7" s="180">
        <f t="array" ref="AO7">INDEX('01_Вводные'!$C$63:$C$67,MIN(5,INT(39/12)+1),1)*AO4</f>
        <v/>
      </c>
      <c r="AP7" s="180">
        <f t="array" ref="AP7">INDEX('01_Вводные'!$C$63:$C$67,MIN(5,INT(40/12)+1),1)*AP4</f>
        <v/>
      </c>
      <c r="AQ7" s="180">
        <f t="array" ref="AQ7">INDEX('01_Вводные'!$C$63:$C$67,MIN(5,INT(41/12)+1),1)*AQ4</f>
        <v/>
      </c>
      <c r="AR7" s="180">
        <f t="array" ref="AR7">INDEX('01_Вводные'!$C$63:$C$67,MIN(5,INT(42/12)+1),1)*AR4</f>
        <v/>
      </c>
      <c r="AS7" s="180">
        <f t="array" ref="AS7">INDEX('01_Вводные'!$C$63:$C$67,MIN(5,INT(43/12)+1),1)*AS4</f>
        <v/>
      </c>
      <c r="AT7" s="180">
        <f t="array" ref="AT7">INDEX('01_Вводные'!$C$63:$C$67,MIN(5,INT(44/12)+1),1)*AT4</f>
        <v/>
      </c>
      <c r="AU7" s="180">
        <f t="array" ref="AU7">INDEX('01_Вводные'!$C$63:$C$67,MIN(5,INT(45/12)+1),1)*AU4</f>
        <v/>
      </c>
      <c r="AV7" s="180">
        <f t="array" ref="AV7">INDEX('01_Вводные'!$C$63:$C$67,MIN(5,INT(46/12)+1),1)*AV4</f>
        <v/>
      </c>
      <c r="AW7" s="180">
        <f t="array" ref="AW7">INDEX('01_Вводные'!$C$63:$C$67,MIN(5,INT(47/12)+1),1)*AW4</f>
        <v/>
      </c>
      <c r="AX7" s="180">
        <f t="array" ref="AX7">INDEX('01_Вводные'!$C$63:$C$67,MIN(5,INT(48/12)+1),1)*AX4</f>
        <v/>
      </c>
      <c r="AY7" s="180">
        <f t="array" ref="AY7">INDEX('01_Вводные'!$C$63:$C$67,MIN(5,INT(49/12)+1),1)*AY4</f>
        <v/>
      </c>
      <c r="AZ7" s="180">
        <f t="array" ref="AZ7">INDEX('01_Вводные'!$C$63:$C$67,MIN(5,INT(50/12)+1),1)*AZ4</f>
        <v/>
      </c>
      <c r="BA7" s="180">
        <f t="array" ref="BA7">INDEX('01_Вводные'!$C$63:$C$67,MIN(5,INT(51/12)+1),1)*BA4</f>
        <v/>
      </c>
      <c r="BB7" s="180">
        <f t="array" ref="BB7">INDEX('01_Вводные'!$C$63:$C$67,MIN(5,INT(52/12)+1),1)*BB4</f>
        <v/>
      </c>
      <c r="BC7" s="180">
        <f t="array" ref="BC7">INDEX('01_Вводные'!$C$63:$C$67,MIN(5,INT(53/12)+1),1)*BC4</f>
        <v/>
      </c>
      <c r="BD7" s="180">
        <f t="array" ref="BD7">INDEX('01_Вводные'!$C$63:$C$67,MIN(5,INT(54/12)+1),1)*BD4</f>
        <v/>
      </c>
      <c r="BE7" s="180">
        <f t="array" ref="BE7">INDEX('01_Вводные'!$C$63:$C$67,MIN(5,INT(55/12)+1),1)*BE4</f>
        <v/>
      </c>
      <c r="BF7" s="180">
        <f t="array" ref="BF7">INDEX('01_Вводные'!$C$63:$C$67,MIN(5,INT(56/12)+1),1)*BF4</f>
        <v/>
      </c>
      <c r="BG7" s="180">
        <f t="array" ref="BG7">INDEX('01_Вводные'!$C$63:$C$67,MIN(5,INT(57/12)+1),1)*BG4</f>
        <v/>
      </c>
      <c r="BH7" s="180">
        <f t="array" ref="BH7">INDEX('01_Вводные'!$C$63:$C$67,MIN(5,INT(58/12)+1),1)*BH4</f>
        <v/>
      </c>
      <c r="BI7" s="180">
        <f t="array" ref="BI7">INDEX('01_Вводные'!$C$63:$C$67,MIN(5,INT(59/12)+1),1)*BI4</f>
        <v/>
      </c>
      <c r="BJ7" s="180">
        <f t="array" ref="BJ7">INDEX('01_Вводные'!$C$63:$C$67,MIN(5,INT(60/12)+1),1)*BJ4</f>
        <v/>
      </c>
      <c r="BK7" s="180">
        <f t="array" ref="BK7">INDEX('01_Вводные'!$C$63:$C$67,MIN(5,INT(61/12)+1),1)*BK4</f>
        <v/>
      </c>
      <c r="BL7" s="180">
        <f t="array" ref="BL7">INDEX('01_Вводные'!$C$63:$C$67,MIN(5,INT(62/12)+1),1)*BL4</f>
        <v/>
      </c>
      <c r="BM7" s="180">
        <f t="array" ref="BM7">INDEX('01_Вводные'!$C$63:$C$67,MIN(5,INT(63/12)+1),1)*BM4</f>
        <v/>
      </c>
      <c r="BN7" s="180">
        <f t="array" ref="BN7">INDEX('01_Вводные'!$C$63:$C$67,MIN(5,INT(64/12)+1),1)*BN4</f>
        <v/>
      </c>
      <c r="BO7" s="180">
        <f t="array" ref="BO7">INDEX('01_Вводные'!$C$63:$C$67,MIN(5,INT(65/12)+1),1)*BO4</f>
        <v/>
      </c>
    </row>
    <row r="8">
      <c r="A8" s="178" t="inlineStr">
        <is>
          <t>Абонемент действующей сети</t>
        </is>
      </c>
      <c r="B8" s="180">
        <f>'01_Вводные'!$B$51*B4</f>
        <v/>
      </c>
      <c r="C8" s="180">
        <f>'01_Вводные'!$B$51*C4</f>
        <v/>
      </c>
      <c r="D8" s="180">
        <f>'01_Вводные'!$B$51*D4</f>
        <v/>
      </c>
      <c r="E8" s="180">
        <f>'01_Вводные'!$B$51*E4</f>
        <v/>
      </c>
      <c r="F8" s="180">
        <f>'01_Вводные'!$B$51*F4</f>
        <v/>
      </c>
      <c r="G8" s="180">
        <f>'01_Вводные'!$B$51*G4</f>
        <v/>
      </c>
      <c r="H8" s="180">
        <f>'01_Вводные'!$B$51*H4</f>
        <v/>
      </c>
      <c r="I8" s="180">
        <f>'01_Вводные'!$B$51*I4</f>
        <v/>
      </c>
      <c r="J8" s="180">
        <f>'01_Вводные'!$B$51*J4</f>
        <v/>
      </c>
      <c r="K8" s="180">
        <f>'01_Вводные'!$B$51*K4</f>
        <v/>
      </c>
      <c r="L8" s="180">
        <f>'01_Вводные'!$B$51*L4</f>
        <v/>
      </c>
      <c r="M8" s="180">
        <f>'01_Вводные'!$B$51*M4</f>
        <v/>
      </c>
      <c r="N8" s="180">
        <f>'01_Вводные'!$B$51*N4</f>
        <v/>
      </c>
      <c r="O8" s="180">
        <f>'01_Вводные'!$B$51*O4</f>
        <v/>
      </c>
      <c r="P8" s="180">
        <f>'01_Вводные'!$B$51*P4</f>
        <v/>
      </c>
      <c r="Q8" s="180">
        <f>'01_Вводные'!$B$51*Q4</f>
        <v/>
      </c>
      <c r="R8" s="180">
        <f>'01_Вводные'!$B$51*R4</f>
        <v/>
      </c>
      <c r="S8" s="180">
        <f>'01_Вводные'!$B$51*S4</f>
        <v/>
      </c>
      <c r="T8" s="180">
        <f>'01_Вводные'!$B$51*T4</f>
        <v/>
      </c>
      <c r="U8" s="180">
        <f>'01_Вводные'!$B$51*U4</f>
        <v/>
      </c>
      <c r="V8" s="180">
        <f>'01_Вводные'!$B$51*V4</f>
        <v/>
      </c>
      <c r="W8" s="180">
        <f>'01_Вводные'!$B$51*W4</f>
        <v/>
      </c>
      <c r="X8" s="180">
        <f>'01_Вводные'!$B$51*X4</f>
        <v/>
      </c>
      <c r="Y8" s="180">
        <f>'01_Вводные'!$B$51*Y4</f>
        <v/>
      </c>
      <c r="Z8" s="180">
        <f>'01_Вводные'!$B$51*Z4</f>
        <v/>
      </c>
      <c r="AA8" s="180">
        <f>'01_Вводные'!$B$51*AA4</f>
        <v/>
      </c>
      <c r="AB8" s="180">
        <f>'01_Вводные'!$B$51*AB4</f>
        <v/>
      </c>
      <c r="AC8" s="180">
        <f>'01_Вводные'!$B$51*AC4</f>
        <v/>
      </c>
      <c r="AD8" s="180">
        <f>'01_Вводные'!$B$51*AD4</f>
        <v/>
      </c>
      <c r="AE8" s="180">
        <f>'01_Вводные'!$B$51*AE4</f>
        <v/>
      </c>
      <c r="AF8" s="180">
        <f>'01_Вводные'!$B$51*AF4</f>
        <v/>
      </c>
      <c r="AG8" s="180">
        <f>'01_Вводные'!$B$51*AG4</f>
        <v/>
      </c>
      <c r="AH8" s="180">
        <f>'01_Вводные'!$B$51*AH4</f>
        <v/>
      </c>
      <c r="AI8" s="180">
        <f>'01_Вводные'!$B$51*AI4</f>
        <v/>
      </c>
      <c r="AJ8" s="180">
        <f>'01_Вводные'!$B$51*AJ4</f>
        <v/>
      </c>
      <c r="AK8" s="180">
        <f>'01_Вводные'!$B$51*AK4</f>
        <v/>
      </c>
      <c r="AL8" s="180">
        <f>'01_Вводные'!$B$51*AL4</f>
        <v/>
      </c>
      <c r="AM8" s="180">
        <f>'01_Вводные'!$B$51*AM4</f>
        <v/>
      </c>
      <c r="AN8" s="180">
        <f>'01_Вводные'!$B$51*AN4</f>
        <v/>
      </c>
      <c r="AO8" s="180">
        <f>'01_Вводные'!$B$51*AO4</f>
        <v/>
      </c>
      <c r="AP8" s="180">
        <f>'01_Вводные'!$B$51*AP4</f>
        <v/>
      </c>
      <c r="AQ8" s="180">
        <f>'01_Вводные'!$B$51*AQ4</f>
        <v/>
      </c>
      <c r="AR8" s="180">
        <f>'01_Вводные'!$B$51*AR4</f>
        <v/>
      </c>
      <c r="AS8" s="180">
        <f>'01_Вводные'!$B$51*AS4</f>
        <v/>
      </c>
      <c r="AT8" s="180">
        <f>'01_Вводные'!$B$51*AT4</f>
        <v/>
      </c>
      <c r="AU8" s="180">
        <f>'01_Вводные'!$B$51*AU4</f>
        <v/>
      </c>
      <c r="AV8" s="180">
        <f>'01_Вводные'!$B$51*AV4</f>
        <v/>
      </c>
      <c r="AW8" s="180">
        <f>'01_Вводные'!$B$51*AW4</f>
        <v/>
      </c>
      <c r="AX8" s="180">
        <f>'01_Вводные'!$B$51*AX4</f>
        <v/>
      </c>
      <c r="AY8" s="180">
        <f>'01_Вводные'!$B$51*AY4</f>
        <v/>
      </c>
      <c r="AZ8" s="180">
        <f>'01_Вводные'!$B$51*AZ4</f>
        <v/>
      </c>
      <c r="BA8" s="180">
        <f>'01_Вводные'!$B$51*BA4</f>
        <v/>
      </c>
      <c r="BB8" s="180">
        <f>'01_Вводные'!$B$51*BB4</f>
        <v/>
      </c>
      <c r="BC8" s="180">
        <f>'01_Вводные'!$B$51*BC4</f>
        <v/>
      </c>
      <c r="BD8" s="180">
        <f>'01_Вводные'!$B$51*BD4</f>
        <v/>
      </c>
      <c r="BE8" s="180">
        <f>'01_Вводные'!$B$51*BE4</f>
        <v/>
      </c>
      <c r="BF8" s="180">
        <f>'01_Вводные'!$B$51*BF4</f>
        <v/>
      </c>
      <c r="BG8" s="180">
        <f>'01_Вводные'!$B$51*BG4</f>
        <v/>
      </c>
      <c r="BH8" s="180">
        <f>'01_Вводные'!$B$51*BH4</f>
        <v/>
      </c>
      <c r="BI8" s="180">
        <f>'01_Вводные'!$B$51*BI4</f>
        <v/>
      </c>
      <c r="BJ8" s="180">
        <f>'01_Вводные'!$B$51*BJ4</f>
        <v/>
      </c>
      <c r="BK8" s="180">
        <f>'01_Вводные'!$B$51*BK4</f>
        <v/>
      </c>
      <c r="BL8" s="180">
        <f>'01_Вводные'!$B$51*BL4</f>
        <v/>
      </c>
      <c r="BM8" s="180">
        <f>'01_Вводные'!$B$51*BM4</f>
        <v/>
      </c>
      <c r="BN8" s="180">
        <f>'01_Вводные'!$B$51*BN4</f>
        <v/>
      </c>
      <c r="BO8" s="180">
        <f>'01_Вводные'!$B$51*BO4</f>
        <v/>
      </c>
    </row>
    <row r="9">
      <c r="A9" s="178" t="inlineStr">
        <is>
          <t>Себестоимость комплекта</t>
        </is>
      </c>
      <c r="B9" s="180">
        <f>'01_Вводные'!$B$71*B4</f>
        <v/>
      </c>
      <c r="C9" s="180">
        <f>'01_Вводные'!$B$71*C4</f>
        <v/>
      </c>
      <c r="D9" s="180">
        <f>'01_Вводные'!$B$71*D4</f>
        <v/>
      </c>
      <c r="E9" s="180">
        <f>'01_Вводные'!$B$71*E4</f>
        <v/>
      </c>
      <c r="F9" s="180">
        <f>'01_Вводные'!$B$71*F4</f>
        <v/>
      </c>
      <c r="G9" s="180">
        <f>'01_Вводные'!$B$71*G4</f>
        <v/>
      </c>
      <c r="H9" s="180">
        <f>'01_Вводные'!$B$71*H4</f>
        <v/>
      </c>
      <c r="I9" s="180">
        <f>'01_Вводные'!$B$71*I4</f>
        <v/>
      </c>
      <c r="J9" s="180">
        <f>'01_Вводные'!$B$71*J4</f>
        <v/>
      </c>
      <c r="K9" s="180">
        <f>'01_Вводные'!$B$71*K4</f>
        <v/>
      </c>
      <c r="L9" s="180">
        <f>'01_Вводные'!$B$71*L4</f>
        <v/>
      </c>
      <c r="M9" s="180">
        <f>'01_Вводные'!$B$71*M4</f>
        <v/>
      </c>
      <c r="N9" s="180">
        <f>'01_Вводные'!$B$71*N4</f>
        <v/>
      </c>
      <c r="O9" s="180">
        <f>'01_Вводные'!$B$71*O4</f>
        <v/>
      </c>
      <c r="P9" s="180">
        <f>'01_Вводные'!$B$71*P4</f>
        <v/>
      </c>
      <c r="Q9" s="180">
        <f>'01_Вводные'!$B$71*Q4</f>
        <v/>
      </c>
      <c r="R9" s="180">
        <f>'01_Вводные'!$B$71*R4</f>
        <v/>
      </c>
      <c r="S9" s="180">
        <f>'01_Вводные'!$B$71*S4</f>
        <v/>
      </c>
      <c r="T9" s="180">
        <f>'01_Вводные'!$B$71*T4</f>
        <v/>
      </c>
      <c r="U9" s="180">
        <f>'01_Вводные'!$B$71*U4</f>
        <v/>
      </c>
      <c r="V9" s="180">
        <f>'01_Вводные'!$B$71*V4</f>
        <v/>
      </c>
      <c r="W9" s="180">
        <f>'01_Вводные'!$B$71*W4</f>
        <v/>
      </c>
      <c r="X9" s="180">
        <f>'01_Вводные'!$B$71*X4</f>
        <v/>
      </c>
      <c r="Y9" s="180">
        <f>'01_Вводные'!$B$71*Y4</f>
        <v/>
      </c>
      <c r="Z9" s="180">
        <f>'01_Вводные'!$B$71*Z4</f>
        <v/>
      </c>
      <c r="AA9" s="180">
        <f>'01_Вводные'!$B$71*AA4</f>
        <v/>
      </c>
      <c r="AB9" s="180">
        <f>'01_Вводные'!$B$71*AB4</f>
        <v/>
      </c>
      <c r="AC9" s="180">
        <f>'01_Вводные'!$B$71*AC4</f>
        <v/>
      </c>
      <c r="AD9" s="180">
        <f>'01_Вводные'!$B$71*AD4</f>
        <v/>
      </c>
      <c r="AE9" s="180">
        <f>'01_Вводные'!$B$71*AE4</f>
        <v/>
      </c>
      <c r="AF9" s="180">
        <f>'01_Вводные'!$B$71*AF4</f>
        <v/>
      </c>
      <c r="AG9" s="180">
        <f>'01_Вводные'!$B$71*AG4</f>
        <v/>
      </c>
      <c r="AH9" s="180">
        <f>'01_Вводные'!$B$71*AH4</f>
        <v/>
      </c>
      <c r="AI9" s="180">
        <f>'01_Вводные'!$B$71*AI4</f>
        <v/>
      </c>
      <c r="AJ9" s="180">
        <f>'01_Вводные'!$B$71*AJ4</f>
        <v/>
      </c>
      <c r="AK9" s="180">
        <f>'01_Вводные'!$B$71*AK4</f>
        <v/>
      </c>
      <c r="AL9" s="180">
        <f>'01_Вводные'!$B$71*AL4</f>
        <v/>
      </c>
      <c r="AM9" s="180">
        <f>'01_Вводные'!$B$71*AM4</f>
        <v/>
      </c>
      <c r="AN9" s="180">
        <f>'01_Вводные'!$B$71*AN4</f>
        <v/>
      </c>
      <c r="AO9" s="180">
        <f>'01_Вводные'!$B$71*AO4</f>
        <v/>
      </c>
      <c r="AP9" s="180">
        <f>'01_Вводные'!$B$71*AP4</f>
        <v/>
      </c>
      <c r="AQ9" s="180">
        <f>'01_Вводные'!$B$71*AQ4</f>
        <v/>
      </c>
      <c r="AR9" s="180">
        <f>'01_Вводные'!$B$71*AR4</f>
        <v/>
      </c>
      <c r="AS9" s="180">
        <f>'01_Вводные'!$B$71*AS4</f>
        <v/>
      </c>
      <c r="AT9" s="180">
        <f>'01_Вводные'!$B$71*AT4</f>
        <v/>
      </c>
      <c r="AU9" s="180">
        <f>'01_Вводные'!$B$71*AU4</f>
        <v/>
      </c>
      <c r="AV9" s="180">
        <f>'01_Вводные'!$B$71*AV4</f>
        <v/>
      </c>
      <c r="AW9" s="180">
        <f>'01_Вводные'!$B$71*AW4</f>
        <v/>
      </c>
      <c r="AX9" s="180">
        <f>'01_Вводные'!$B$71*AX4</f>
        <v/>
      </c>
      <c r="AY9" s="180">
        <f>'01_Вводные'!$B$71*AY4</f>
        <v/>
      </c>
      <c r="AZ9" s="180">
        <f>'01_Вводные'!$B$71*AZ4</f>
        <v/>
      </c>
      <c r="BA9" s="180">
        <f>'01_Вводные'!$B$71*BA4</f>
        <v/>
      </c>
      <c r="BB9" s="180">
        <f>'01_Вводные'!$B$71*BB4</f>
        <v/>
      </c>
      <c r="BC9" s="180">
        <f>'01_Вводные'!$B$71*BC4</f>
        <v/>
      </c>
      <c r="BD9" s="180">
        <f>'01_Вводные'!$B$71*BD4</f>
        <v/>
      </c>
      <c r="BE9" s="180">
        <f>'01_Вводные'!$B$71*BE4</f>
        <v/>
      </c>
      <c r="BF9" s="180">
        <f>'01_Вводные'!$B$71*BF4</f>
        <v/>
      </c>
      <c r="BG9" s="180">
        <f>'01_Вводные'!$B$71*BG4</f>
        <v/>
      </c>
      <c r="BH9" s="180">
        <f>'01_Вводные'!$B$71*BH4</f>
        <v/>
      </c>
      <c r="BI9" s="180">
        <f>'01_Вводные'!$B$71*BI4</f>
        <v/>
      </c>
      <c r="BJ9" s="180">
        <f>'01_Вводные'!$B$71*BJ4</f>
        <v/>
      </c>
      <c r="BK9" s="180">
        <f>'01_Вводные'!$B$71*BK4</f>
        <v/>
      </c>
      <c r="BL9" s="180">
        <f>'01_Вводные'!$B$71*BL4</f>
        <v/>
      </c>
      <c r="BM9" s="180">
        <f>'01_Вводные'!$B$71*BM4</f>
        <v/>
      </c>
      <c r="BN9" s="180">
        <f>'01_Вводные'!$B$71*BN4</f>
        <v/>
      </c>
      <c r="BO9" s="180">
        <f>'01_Вводные'!$B$71*BO4</f>
        <v/>
      </c>
    </row>
    <row r="10">
      <c r="A10" s="178" t="inlineStr">
        <is>
          <t>Цена комплекта</t>
        </is>
      </c>
      <c r="B10" s="180">
        <f>'01_Вводные'!$B$73*B4</f>
        <v/>
      </c>
      <c r="C10" s="180">
        <f>'01_Вводные'!$B$73*C4</f>
        <v/>
      </c>
      <c r="D10" s="180">
        <f>'01_Вводные'!$B$73*D4</f>
        <v/>
      </c>
      <c r="E10" s="180">
        <f>'01_Вводные'!$B$73*E4</f>
        <v/>
      </c>
      <c r="F10" s="180">
        <f>'01_Вводные'!$B$73*F4</f>
        <v/>
      </c>
      <c r="G10" s="180">
        <f>'01_Вводные'!$B$73*G4</f>
        <v/>
      </c>
      <c r="H10" s="180">
        <f>'01_Вводные'!$B$73*H4</f>
        <v/>
      </c>
      <c r="I10" s="180">
        <f>'01_Вводные'!$B$73*I4</f>
        <v/>
      </c>
      <c r="J10" s="180">
        <f>'01_Вводные'!$B$73*J4</f>
        <v/>
      </c>
      <c r="K10" s="180">
        <f>'01_Вводные'!$B$73*K4</f>
        <v/>
      </c>
      <c r="L10" s="180">
        <f>'01_Вводные'!$B$73*L4</f>
        <v/>
      </c>
      <c r="M10" s="180">
        <f>'01_Вводные'!$B$73*M4</f>
        <v/>
      </c>
      <c r="N10" s="180">
        <f>'01_Вводные'!$B$73*N4</f>
        <v/>
      </c>
      <c r="O10" s="180">
        <f>'01_Вводные'!$B$73*O4</f>
        <v/>
      </c>
      <c r="P10" s="180">
        <f>'01_Вводные'!$B$73*P4</f>
        <v/>
      </c>
      <c r="Q10" s="180">
        <f>'01_Вводные'!$B$73*Q4</f>
        <v/>
      </c>
      <c r="R10" s="180">
        <f>'01_Вводные'!$B$73*R4</f>
        <v/>
      </c>
      <c r="S10" s="180">
        <f>'01_Вводные'!$B$73*S4</f>
        <v/>
      </c>
      <c r="T10" s="180">
        <f>'01_Вводные'!$B$73*T4</f>
        <v/>
      </c>
      <c r="U10" s="180">
        <f>'01_Вводные'!$B$73*U4</f>
        <v/>
      </c>
      <c r="V10" s="180">
        <f>'01_Вводные'!$B$73*V4</f>
        <v/>
      </c>
      <c r="W10" s="180">
        <f>'01_Вводные'!$B$73*W4</f>
        <v/>
      </c>
      <c r="X10" s="180">
        <f>'01_Вводные'!$B$73*X4</f>
        <v/>
      </c>
      <c r="Y10" s="180">
        <f>'01_Вводные'!$B$73*Y4</f>
        <v/>
      </c>
      <c r="Z10" s="180">
        <f>'01_Вводные'!$B$73*Z4</f>
        <v/>
      </c>
      <c r="AA10" s="180">
        <f>'01_Вводные'!$B$73*AA4</f>
        <v/>
      </c>
      <c r="AB10" s="180">
        <f>'01_Вводные'!$B$73*AB4</f>
        <v/>
      </c>
      <c r="AC10" s="180">
        <f>'01_Вводные'!$B$73*AC4</f>
        <v/>
      </c>
      <c r="AD10" s="180">
        <f>'01_Вводные'!$B$73*AD4</f>
        <v/>
      </c>
      <c r="AE10" s="180">
        <f>'01_Вводные'!$B$73*AE4</f>
        <v/>
      </c>
      <c r="AF10" s="180">
        <f>'01_Вводные'!$B$73*AF4</f>
        <v/>
      </c>
      <c r="AG10" s="180">
        <f>'01_Вводные'!$B$73*AG4</f>
        <v/>
      </c>
      <c r="AH10" s="180">
        <f>'01_Вводные'!$B$73*AH4</f>
        <v/>
      </c>
      <c r="AI10" s="180">
        <f>'01_Вводные'!$B$73*AI4</f>
        <v/>
      </c>
      <c r="AJ10" s="180">
        <f>'01_Вводные'!$B$73*AJ4</f>
        <v/>
      </c>
      <c r="AK10" s="180">
        <f>'01_Вводные'!$B$73*AK4</f>
        <v/>
      </c>
      <c r="AL10" s="180">
        <f>'01_Вводные'!$B$73*AL4</f>
        <v/>
      </c>
      <c r="AM10" s="180">
        <f>'01_Вводные'!$B$73*AM4</f>
        <v/>
      </c>
      <c r="AN10" s="180">
        <f>'01_Вводные'!$B$73*AN4</f>
        <v/>
      </c>
      <c r="AO10" s="180">
        <f>'01_Вводные'!$B$73*AO4</f>
        <v/>
      </c>
      <c r="AP10" s="180">
        <f>'01_Вводные'!$B$73*AP4</f>
        <v/>
      </c>
      <c r="AQ10" s="180">
        <f>'01_Вводные'!$B$73*AQ4</f>
        <v/>
      </c>
      <c r="AR10" s="180">
        <f>'01_Вводные'!$B$73*AR4</f>
        <v/>
      </c>
      <c r="AS10" s="180">
        <f>'01_Вводные'!$B$73*AS4</f>
        <v/>
      </c>
      <c r="AT10" s="180">
        <f>'01_Вводные'!$B$73*AT4</f>
        <v/>
      </c>
      <c r="AU10" s="180">
        <f>'01_Вводные'!$B$73*AU4</f>
        <v/>
      </c>
      <c r="AV10" s="180">
        <f>'01_Вводные'!$B$73*AV4</f>
        <v/>
      </c>
      <c r="AW10" s="180">
        <f>'01_Вводные'!$B$73*AW4</f>
        <v/>
      </c>
      <c r="AX10" s="180">
        <f>'01_Вводные'!$B$73*AX4</f>
        <v/>
      </c>
      <c r="AY10" s="180">
        <f>'01_Вводные'!$B$73*AY4</f>
        <v/>
      </c>
      <c r="AZ10" s="180">
        <f>'01_Вводные'!$B$73*AZ4</f>
        <v/>
      </c>
      <c r="BA10" s="180">
        <f>'01_Вводные'!$B$73*BA4</f>
        <v/>
      </c>
      <c r="BB10" s="180">
        <f>'01_Вводные'!$B$73*BB4</f>
        <v/>
      </c>
      <c r="BC10" s="180">
        <f>'01_Вводные'!$B$73*BC4</f>
        <v/>
      </c>
      <c r="BD10" s="180">
        <f>'01_Вводные'!$B$73*BD4</f>
        <v/>
      </c>
      <c r="BE10" s="180">
        <f>'01_Вводные'!$B$73*BE4</f>
        <v/>
      </c>
      <c r="BF10" s="180">
        <f>'01_Вводные'!$B$73*BF4</f>
        <v/>
      </c>
      <c r="BG10" s="180">
        <f>'01_Вводные'!$B$73*BG4</f>
        <v/>
      </c>
      <c r="BH10" s="180">
        <f>'01_Вводные'!$B$73*BH4</f>
        <v/>
      </c>
      <c r="BI10" s="180">
        <f>'01_Вводные'!$B$73*BI4</f>
        <v/>
      </c>
      <c r="BJ10" s="180">
        <f>'01_Вводные'!$B$73*BJ4</f>
        <v/>
      </c>
      <c r="BK10" s="180">
        <f>'01_Вводные'!$B$73*BK4</f>
        <v/>
      </c>
      <c r="BL10" s="180">
        <f>'01_Вводные'!$B$73*BL4</f>
        <v/>
      </c>
      <c r="BM10" s="180">
        <f>'01_Вводные'!$B$73*BM4</f>
        <v/>
      </c>
      <c r="BN10" s="180">
        <f>'01_Вводные'!$B$73*BN4</f>
        <v/>
      </c>
      <c r="BO10" s="180">
        <f>'01_Вводные'!$B$73*BO4</f>
        <v/>
      </c>
    </row>
    <row r="11">
      <c r="A11" s="178" t="inlineStr">
        <is>
          <t>Таргет на продажу</t>
        </is>
      </c>
      <c r="B11" s="180">
        <f>'01_Вводные'!$B$26*B4</f>
        <v/>
      </c>
      <c r="C11" s="180">
        <f>'01_Вводные'!$B$26*C4</f>
        <v/>
      </c>
      <c r="D11" s="180">
        <f>'01_Вводные'!$B$26*D4</f>
        <v/>
      </c>
      <c r="E11" s="180">
        <f>'01_Вводные'!$B$26*E4</f>
        <v/>
      </c>
      <c r="F11" s="180">
        <f>'01_Вводные'!$B$26*F4</f>
        <v/>
      </c>
      <c r="G11" s="180">
        <f>'01_Вводные'!$B$26*G4</f>
        <v/>
      </c>
      <c r="H11" s="180">
        <f>'01_Вводные'!$B$26*H4</f>
        <v/>
      </c>
      <c r="I11" s="180">
        <f>'01_Вводные'!$B$26*I4</f>
        <v/>
      </c>
      <c r="J11" s="180">
        <f>'01_Вводные'!$B$26*J4</f>
        <v/>
      </c>
      <c r="K11" s="180">
        <f>'01_Вводные'!$B$26*K4</f>
        <v/>
      </c>
      <c r="L11" s="180">
        <f>'01_Вводные'!$B$26*L4</f>
        <v/>
      </c>
      <c r="M11" s="180">
        <f>'01_Вводные'!$B$26*M4</f>
        <v/>
      </c>
      <c r="N11" s="180">
        <f>'01_Вводные'!$B$26*N4</f>
        <v/>
      </c>
      <c r="O11" s="180">
        <f>'01_Вводные'!$B$26*O4</f>
        <v/>
      </c>
      <c r="P11" s="180">
        <f>'01_Вводные'!$B$26*P4</f>
        <v/>
      </c>
      <c r="Q11" s="180">
        <f>'01_Вводные'!$B$26*Q4</f>
        <v/>
      </c>
      <c r="R11" s="180">
        <f>'01_Вводные'!$B$26*R4</f>
        <v/>
      </c>
      <c r="S11" s="180">
        <f>'01_Вводные'!$B$26*S4</f>
        <v/>
      </c>
      <c r="T11" s="180">
        <f>'01_Вводные'!$B$26*T4</f>
        <v/>
      </c>
      <c r="U11" s="180">
        <f>'01_Вводные'!$B$26*U4</f>
        <v/>
      </c>
      <c r="V11" s="180">
        <f>'01_Вводные'!$B$26*V4</f>
        <v/>
      </c>
      <c r="W11" s="180">
        <f>'01_Вводные'!$B$26*W4</f>
        <v/>
      </c>
      <c r="X11" s="180">
        <f>'01_Вводные'!$B$26*X4</f>
        <v/>
      </c>
      <c r="Y11" s="180">
        <f>'01_Вводные'!$B$26*Y4</f>
        <v/>
      </c>
      <c r="Z11" s="180">
        <f>'01_Вводные'!$B$26*Z4</f>
        <v/>
      </c>
      <c r="AA11" s="180">
        <f>'01_Вводные'!$B$26*AA4</f>
        <v/>
      </c>
      <c r="AB11" s="180">
        <f>'01_Вводные'!$B$26*AB4</f>
        <v/>
      </c>
      <c r="AC11" s="180">
        <f>'01_Вводные'!$B$26*AC4</f>
        <v/>
      </c>
      <c r="AD11" s="180">
        <f>'01_Вводные'!$B$26*AD4</f>
        <v/>
      </c>
      <c r="AE11" s="180">
        <f>'01_Вводные'!$B$26*AE4</f>
        <v/>
      </c>
      <c r="AF11" s="180">
        <f>'01_Вводные'!$B$26*AF4</f>
        <v/>
      </c>
      <c r="AG11" s="180">
        <f>'01_Вводные'!$B$26*AG4</f>
        <v/>
      </c>
      <c r="AH11" s="180">
        <f>'01_Вводные'!$B$26*AH4</f>
        <v/>
      </c>
      <c r="AI11" s="180">
        <f>'01_Вводные'!$B$26*AI4</f>
        <v/>
      </c>
      <c r="AJ11" s="180">
        <f>'01_Вводные'!$B$26*AJ4</f>
        <v/>
      </c>
      <c r="AK11" s="180">
        <f>'01_Вводные'!$B$26*AK4</f>
        <v/>
      </c>
      <c r="AL11" s="180">
        <f>'01_Вводные'!$B$26*AL4</f>
        <v/>
      </c>
      <c r="AM11" s="180">
        <f>'01_Вводные'!$B$26*AM4</f>
        <v/>
      </c>
      <c r="AN11" s="180">
        <f>'01_Вводные'!$B$26*AN4</f>
        <v/>
      </c>
      <c r="AO11" s="180">
        <f>'01_Вводные'!$B$26*AO4</f>
        <v/>
      </c>
      <c r="AP11" s="180">
        <f>'01_Вводные'!$B$26*AP4</f>
        <v/>
      </c>
      <c r="AQ11" s="180">
        <f>'01_Вводные'!$B$26*AQ4</f>
        <v/>
      </c>
      <c r="AR11" s="180">
        <f>'01_Вводные'!$B$26*AR4</f>
        <v/>
      </c>
      <c r="AS11" s="180">
        <f>'01_Вводные'!$B$26*AS4</f>
        <v/>
      </c>
      <c r="AT11" s="180">
        <f>'01_Вводные'!$B$26*AT4</f>
        <v/>
      </c>
      <c r="AU11" s="180">
        <f>'01_Вводные'!$B$26*AU4</f>
        <v/>
      </c>
      <c r="AV11" s="180">
        <f>'01_Вводные'!$B$26*AV4</f>
        <v/>
      </c>
      <c r="AW11" s="180">
        <f>'01_Вводные'!$B$26*AW4</f>
        <v/>
      </c>
      <c r="AX11" s="180">
        <f>'01_Вводные'!$B$26*AX4</f>
        <v/>
      </c>
      <c r="AY11" s="180">
        <f>'01_Вводные'!$B$26*AY4</f>
        <v/>
      </c>
      <c r="AZ11" s="180">
        <f>'01_Вводные'!$B$26*AZ4</f>
        <v/>
      </c>
      <c r="BA11" s="180">
        <f>'01_Вводные'!$B$26*BA4</f>
        <v/>
      </c>
      <c r="BB11" s="180">
        <f>'01_Вводные'!$B$26*BB4</f>
        <v/>
      </c>
      <c r="BC11" s="180">
        <f>'01_Вводные'!$B$26*BC4</f>
        <v/>
      </c>
      <c r="BD11" s="180">
        <f>'01_Вводные'!$B$26*BD4</f>
        <v/>
      </c>
      <c r="BE11" s="180">
        <f>'01_Вводные'!$B$26*BE4</f>
        <v/>
      </c>
      <c r="BF11" s="180">
        <f>'01_Вводные'!$B$26*BF4</f>
        <v/>
      </c>
      <c r="BG11" s="180">
        <f>'01_Вводные'!$B$26*BG4</f>
        <v/>
      </c>
      <c r="BH11" s="180">
        <f>'01_Вводные'!$B$26*BH4</f>
        <v/>
      </c>
      <c r="BI11" s="180">
        <f>'01_Вводные'!$B$26*BI4</f>
        <v/>
      </c>
      <c r="BJ11" s="180">
        <f>'01_Вводные'!$B$26*BJ4</f>
        <v/>
      </c>
      <c r="BK11" s="180">
        <f>'01_Вводные'!$B$26*BK4</f>
        <v/>
      </c>
      <c r="BL11" s="180">
        <f>'01_Вводные'!$B$26*BL4</f>
        <v/>
      </c>
      <c r="BM11" s="180">
        <f>'01_Вводные'!$B$26*BM4</f>
        <v/>
      </c>
      <c r="BN11" s="180">
        <f>'01_Вводные'!$B$26*BN4</f>
        <v/>
      </c>
      <c r="BO11" s="180">
        <f>'01_Вводные'!$B$26*BO4</f>
        <v/>
      </c>
    </row>
    <row r="12">
      <c r="B12" s="181" t="n"/>
      <c r="C12" s="181" t="n"/>
      <c r="D12" s="181" t="n"/>
      <c r="E12" s="181" t="n"/>
      <c r="F12" s="181" t="n"/>
      <c r="G12" s="181" t="n"/>
      <c r="H12" s="181" t="n"/>
      <c r="I12" s="181" t="n"/>
      <c r="J12" s="181" t="n"/>
      <c r="K12" s="181" t="n"/>
      <c r="L12" s="181" t="n"/>
      <c r="M12" s="181" t="n"/>
      <c r="N12" s="181" t="n"/>
      <c r="O12" s="181" t="n"/>
      <c r="P12" s="181" t="n"/>
      <c r="Q12" s="181" t="n"/>
      <c r="R12" s="181" t="n"/>
      <c r="S12" s="181" t="n"/>
      <c r="T12" s="181" t="n"/>
      <c r="U12" s="181" t="n"/>
      <c r="V12" s="181" t="n"/>
      <c r="W12" s="181" t="n"/>
      <c r="X12" s="181" t="n"/>
      <c r="Y12" s="181" t="n"/>
      <c r="Z12" s="181" t="n"/>
      <c r="AA12" s="181" t="n"/>
      <c r="AB12" s="181" t="n"/>
      <c r="AC12" s="181" t="n"/>
      <c r="AD12" s="181" t="n"/>
      <c r="AE12" s="181" t="n"/>
      <c r="AF12" s="181" t="n"/>
      <c r="AG12" s="181" t="n"/>
      <c r="AH12" s="181" t="n"/>
      <c r="AI12" s="181" t="n"/>
      <c r="AJ12" s="181" t="n"/>
      <c r="AK12" s="181" t="n"/>
      <c r="AL12" s="181" t="n"/>
      <c r="AM12" s="181" t="n"/>
      <c r="AN12" s="181" t="n"/>
      <c r="AO12" s="181" t="n"/>
      <c r="AP12" s="181" t="n"/>
      <c r="AQ12" s="181" t="n"/>
      <c r="AR12" s="181" t="n"/>
      <c r="AS12" s="181" t="n"/>
      <c r="AT12" s="181" t="n"/>
      <c r="AU12" s="181" t="n"/>
      <c r="AV12" s="181" t="n"/>
      <c r="AW12" s="181" t="n"/>
      <c r="AX12" s="181" t="n"/>
      <c r="AY12" s="181" t="n"/>
      <c r="AZ12" s="181" t="n"/>
      <c r="BA12" s="181" t="n"/>
      <c r="BB12" s="181" t="n"/>
      <c r="BC12" s="181" t="n"/>
      <c r="BD12" s="181" t="n"/>
      <c r="BE12" s="181" t="n"/>
      <c r="BF12" s="181" t="n"/>
      <c r="BG12" s="181" t="n"/>
      <c r="BH12" s="181" t="n"/>
      <c r="BI12" s="181" t="n"/>
      <c r="BJ12" s="181" t="n"/>
      <c r="BK12" s="181" t="n"/>
      <c r="BL12" s="181" t="n"/>
      <c r="BM12" s="181" t="n"/>
      <c r="BN12" s="181" t="n"/>
      <c r="BO12" s="181" t="n"/>
    </row>
    <row r="13">
      <c r="A13" s="178" t="inlineStr">
        <is>
          <t>SMM-подрядчики</t>
        </is>
      </c>
      <c r="B13" s="180">
        <f>IF(B$3&lt;'01_Вводные'!$B$248,'01_Вводные'!$B$111*B4,'01_Вводные'!$B$112*B4/$B$16)</f>
        <v/>
      </c>
      <c r="C13" s="180">
        <f>IF(C$3&lt;'01_Вводные'!$B$248,'01_Вводные'!$B$111*C4,'01_Вводные'!$B$112*C4/$B$16)</f>
        <v/>
      </c>
      <c r="D13" s="180">
        <f>IF(D$3&lt;'01_Вводные'!$B$248,'01_Вводные'!$B$111*D4,'01_Вводные'!$B$112*D4/$B$16)</f>
        <v/>
      </c>
      <c r="E13" s="180">
        <f>IF(E$3&lt;'01_Вводные'!$B$248,'01_Вводные'!$B$111*E4,'01_Вводные'!$B$112*E4/$B$16)</f>
        <v/>
      </c>
      <c r="F13" s="180">
        <f>IF(F$3&lt;'01_Вводные'!$B$248,'01_Вводные'!$B$111*F4,'01_Вводные'!$B$112*F4/$B$16)</f>
        <v/>
      </c>
      <c r="G13" s="180">
        <f>IF(G$3&lt;'01_Вводные'!$B$248,'01_Вводные'!$B$111*G4,'01_Вводные'!$B$112*G4/$B$16)</f>
        <v/>
      </c>
      <c r="H13" s="180">
        <f>IF(H$3&lt;'01_Вводные'!$B$248,'01_Вводные'!$B$111*H4,'01_Вводные'!$B$112*H4/$B$16)</f>
        <v/>
      </c>
      <c r="I13" s="180">
        <f>IF(I$3&lt;'01_Вводные'!$B$248,'01_Вводные'!$B$111*I4,'01_Вводные'!$B$112*I4/$B$16)</f>
        <v/>
      </c>
      <c r="J13" s="180">
        <f>IF(J$3&lt;'01_Вводные'!$B$248,'01_Вводные'!$B$111*J4,'01_Вводные'!$B$112*J4/$B$16)</f>
        <v/>
      </c>
      <c r="K13" s="180">
        <f>IF(K$3&lt;'01_Вводные'!$B$248,'01_Вводные'!$B$111*K4,'01_Вводные'!$B$112*K4/$B$16)</f>
        <v/>
      </c>
      <c r="L13" s="180">
        <f>IF(L$3&lt;'01_Вводные'!$B$248,'01_Вводные'!$B$111*L4,'01_Вводные'!$B$112*L4/$B$16)</f>
        <v/>
      </c>
      <c r="M13" s="180">
        <f>IF(M$3&lt;'01_Вводные'!$B$248,'01_Вводные'!$B$111*M4,'01_Вводные'!$B$112*M4/$B$16)</f>
        <v/>
      </c>
      <c r="N13" s="180">
        <f>IF(N$3&lt;'01_Вводные'!$B$248,'01_Вводные'!$B$111*N4,'01_Вводные'!$B$112*N4/$B$16)</f>
        <v/>
      </c>
      <c r="O13" s="180">
        <f>IF(O$3&lt;'01_Вводные'!$B$248,'01_Вводные'!$B$111*O4,'01_Вводные'!$B$112*O4/$B$16)</f>
        <v/>
      </c>
      <c r="P13" s="180">
        <f>IF(P$3&lt;'01_Вводные'!$B$248,'01_Вводные'!$B$111*P4,'01_Вводные'!$B$112*P4/$B$16)</f>
        <v/>
      </c>
      <c r="Q13" s="180">
        <f>IF(Q$3&lt;'01_Вводные'!$B$248,'01_Вводные'!$B$111*Q4,'01_Вводные'!$B$112*Q4/$B$16)</f>
        <v/>
      </c>
      <c r="R13" s="180">
        <f>IF(R$3&lt;'01_Вводные'!$B$248,'01_Вводные'!$B$111*R4,'01_Вводные'!$B$112*R4/$B$16)</f>
        <v/>
      </c>
      <c r="S13" s="180">
        <f>IF(S$3&lt;'01_Вводные'!$B$248,'01_Вводные'!$B$111*S4,'01_Вводные'!$B$112*S4/$B$16)</f>
        <v/>
      </c>
      <c r="T13" s="180">
        <f>IF(T$3&lt;'01_Вводные'!$B$248,'01_Вводные'!$B$111*T4,'01_Вводные'!$B$112*T4/$B$16)</f>
        <v/>
      </c>
      <c r="U13" s="180">
        <f>IF(U$3&lt;'01_Вводные'!$B$248,'01_Вводные'!$B$111*U4,'01_Вводные'!$B$112*U4/$B$16)</f>
        <v/>
      </c>
      <c r="V13" s="180">
        <f>IF(V$3&lt;'01_Вводные'!$B$248,'01_Вводные'!$B$111*V4,'01_Вводные'!$B$112*V4/$B$16)</f>
        <v/>
      </c>
      <c r="W13" s="180">
        <f>IF(W$3&lt;'01_Вводные'!$B$248,'01_Вводные'!$B$111*W4,'01_Вводные'!$B$112*W4/$B$16)</f>
        <v/>
      </c>
      <c r="X13" s="180">
        <f>IF(X$3&lt;'01_Вводные'!$B$248,'01_Вводные'!$B$111*X4,'01_Вводные'!$B$112*X4/$B$16)</f>
        <v/>
      </c>
      <c r="Y13" s="180">
        <f>IF(Y$3&lt;'01_Вводные'!$B$248,'01_Вводные'!$B$111*Y4,'01_Вводные'!$B$112*Y4/$B$16)</f>
        <v/>
      </c>
      <c r="Z13" s="180">
        <f>IF(Z$3&lt;'01_Вводные'!$B$248,'01_Вводные'!$B$111*Z4,'01_Вводные'!$B$112*Z4/$B$16)</f>
        <v/>
      </c>
      <c r="AA13" s="180">
        <f>IF(AA$3&lt;'01_Вводные'!$B$248,'01_Вводные'!$B$111*AA4,'01_Вводные'!$B$112*AA4/$B$16)</f>
        <v/>
      </c>
      <c r="AB13" s="180">
        <f>IF(AB$3&lt;'01_Вводные'!$B$248,'01_Вводные'!$B$111*AB4,'01_Вводные'!$B$112*AB4/$B$16)</f>
        <v/>
      </c>
      <c r="AC13" s="180">
        <f>IF(AC$3&lt;'01_Вводные'!$B$248,'01_Вводные'!$B$111*AC4,'01_Вводные'!$B$112*AC4/$B$16)</f>
        <v/>
      </c>
      <c r="AD13" s="180">
        <f>IF(AD$3&lt;'01_Вводные'!$B$248,'01_Вводные'!$B$111*AD4,'01_Вводные'!$B$112*AD4/$B$16)</f>
        <v/>
      </c>
      <c r="AE13" s="180">
        <f>IF(AE$3&lt;'01_Вводные'!$B$248,'01_Вводные'!$B$111*AE4,'01_Вводные'!$B$112*AE4/$B$16)</f>
        <v/>
      </c>
      <c r="AF13" s="180">
        <f>IF(AF$3&lt;'01_Вводные'!$B$248,'01_Вводные'!$B$111*AF4,'01_Вводные'!$B$112*AF4/$B$16)</f>
        <v/>
      </c>
      <c r="AG13" s="180">
        <f>IF(AG$3&lt;'01_Вводные'!$B$248,'01_Вводные'!$B$111*AG4,'01_Вводные'!$B$112*AG4/$B$16)</f>
        <v/>
      </c>
      <c r="AH13" s="180">
        <f>IF(AH$3&lt;'01_Вводные'!$B$248,'01_Вводные'!$B$111*AH4,'01_Вводные'!$B$112*AH4/$B$16)</f>
        <v/>
      </c>
      <c r="AI13" s="180">
        <f>IF(AI$3&lt;'01_Вводные'!$B$248,'01_Вводные'!$B$111*AI4,'01_Вводные'!$B$112*AI4/$B$16)</f>
        <v/>
      </c>
      <c r="AJ13" s="180">
        <f>IF(AJ$3&lt;'01_Вводные'!$B$248,'01_Вводные'!$B$111*AJ4,'01_Вводные'!$B$112*AJ4/$B$16)</f>
        <v/>
      </c>
      <c r="AK13" s="180">
        <f>IF(AK$3&lt;'01_Вводные'!$B$248,'01_Вводные'!$B$111*AK4,'01_Вводные'!$B$112*AK4/$B$16)</f>
        <v/>
      </c>
      <c r="AL13" s="180">
        <f>IF(AL$3&lt;'01_Вводные'!$B$248,'01_Вводные'!$B$111*AL4,'01_Вводные'!$B$112*AL4/$B$16)</f>
        <v/>
      </c>
      <c r="AM13" s="180">
        <f>IF(AM$3&lt;'01_Вводные'!$B$248,'01_Вводные'!$B$111*AM4,'01_Вводные'!$B$112*AM4/$B$16)</f>
        <v/>
      </c>
      <c r="AN13" s="180">
        <f>IF(AN$3&lt;'01_Вводные'!$B$248,'01_Вводные'!$B$111*AN4,'01_Вводные'!$B$112*AN4/$B$16)</f>
        <v/>
      </c>
      <c r="AO13" s="180">
        <f>IF(AO$3&lt;'01_Вводные'!$B$248,'01_Вводные'!$B$111*AO4,'01_Вводные'!$B$112*AO4/$B$16)</f>
        <v/>
      </c>
      <c r="AP13" s="180">
        <f>IF(AP$3&lt;'01_Вводные'!$B$248,'01_Вводные'!$B$111*AP4,'01_Вводные'!$B$112*AP4/$B$16)</f>
        <v/>
      </c>
      <c r="AQ13" s="180">
        <f>IF(AQ$3&lt;'01_Вводные'!$B$248,'01_Вводные'!$B$111*AQ4,'01_Вводные'!$B$112*AQ4/$B$16)</f>
        <v/>
      </c>
      <c r="AR13" s="180">
        <f>IF(AR$3&lt;'01_Вводные'!$B$248,'01_Вводные'!$B$111*AR4,'01_Вводные'!$B$112*AR4/$B$16)</f>
        <v/>
      </c>
      <c r="AS13" s="180">
        <f>IF(AS$3&lt;'01_Вводные'!$B$248,'01_Вводные'!$B$111*AS4,'01_Вводные'!$B$112*AS4/$B$16)</f>
        <v/>
      </c>
      <c r="AT13" s="180">
        <f>IF(AT$3&lt;'01_Вводные'!$B$248,'01_Вводные'!$B$111*AT4,'01_Вводные'!$B$112*AT4/$B$16)</f>
        <v/>
      </c>
      <c r="AU13" s="180">
        <f>IF(AU$3&lt;'01_Вводные'!$B$248,'01_Вводные'!$B$111*AU4,'01_Вводные'!$B$112*AU4/$B$16)</f>
        <v/>
      </c>
      <c r="AV13" s="180">
        <f>IF(AV$3&lt;'01_Вводные'!$B$248,'01_Вводные'!$B$111*AV4,'01_Вводные'!$B$112*AV4/$B$16)</f>
        <v/>
      </c>
      <c r="AW13" s="180">
        <f>IF(AW$3&lt;'01_Вводные'!$B$248,'01_Вводные'!$B$111*AW4,'01_Вводные'!$B$112*AW4/$B$16)</f>
        <v/>
      </c>
      <c r="AX13" s="180">
        <f>IF(AX$3&lt;'01_Вводные'!$B$248,'01_Вводные'!$B$111*AX4,'01_Вводные'!$B$112*AX4/$B$16)</f>
        <v/>
      </c>
      <c r="AY13" s="180">
        <f>IF(AY$3&lt;'01_Вводные'!$B$248,'01_Вводные'!$B$111*AY4,'01_Вводные'!$B$112*AY4/$B$16)</f>
        <v/>
      </c>
      <c r="AZ13" s="180">
        <f>IF(AZ$3&lt;'01_Вводные'!$B$248,'01_Вводные'!$B$111*AZ4,'01_Вводные'!$B$112*AZ4/$B$16)</f>
        <v/>
      </c>
      <c r="BA13" s="180">
        <f>IF(BA$3&lt;'01_Вводные'!$B$248,'01_Вводные'!$B$111*BA4,'01_Вводные'!$B$112*BA4/$B$16)</f>
        <v/>
      </c>
      <c r="BB13" s="180">
        <f>IF(BB$3&lt;'01_Вводные'!$B$248,'01_Вводные'!$B$111*BB4,'01_Вводные'!$B$112*BB4/$B$16)</f>
        <v/>
      </c>
      <c r="BC13" s="180">
        <f>IF(BC$3&lt;'01_Вводные'!$B$248,'01_Вводные'!$B$111*BC4,'01_Вводные'!$B$112*BC4/$B$16)</f>
        <v/>
      </c>
      <c r="BD13" s="180">
        <f>IF(BD$3&lt;'01_Вводные'!$B$248,'01_Вводные'!$B$111*BD4,'01_Вводные'!$B$112*BD4/$B$16)</f>
        <v/>
      </c>
      <c r="BE13" s="180">
        <f>IF(BE$3&lt;'01_Вводные'!$B$248,'01_Вводные'!$B$111*BE4,'01_Вводные'!$B$112*BE4/$B$16)</f>
        <v/>
      </c>
      <c r="BF13" s="180">
        <f>IF(BF$3&lt;'01_Вводные'!$B$248,'01_Вводные'!$B$111*BF4,'01_Вводные'!$B$112*BF4/$B$16)</f>
        <v/>
      </c>
      <c r="BG13" s="180">
        <f>IF(BG$3&lt;'01_Вводные'!$B$248,'01_Вводные'!$B$111*BG4,'01_Вводные'!$B$112*BG4/$B$16)</f>
        <v/>
      </c>
      <c r="BH13" s="180">
        <f>IF(BH$3&lt;'01_Вводные'!$B$248,'01_Вводные'!$B$111*BH4,'01_Вводные'!$B$112*BH4/$B$16)</f>
        <v/>
      </c>
      <c r="BI13" s="180">
        <f>IF(BI$3&lt;'01_Вводные'!$B$248,'01_Вводные'!$B$111*BI4,'01_Вводные'!$B$112*BI4/$B$16)</f>
        <v/>
      </c>
      <c r="BJ13" s="180">
        <f>IF(BJ$3&lt;'01_Вводные'!$B$248,'01_Вводные'!$B$111*BJ4,'01_Вводные'!$B$112*BJ4/$B$16)</f>
        <v/>
      </c>
      <c r="BK13" s="180">
        <f>IF(BK$3&lt;'01_Вводные'!$B$248,'01_Вводные'!$B$111*BK4,'01_Вводные'!$B$112*BK4/$B$16)</f>
        <v/>
      </c>
      <c r="BL13" s="180">
        <f>IF(BL$3&lt;'01_Вводные'!$B$248,'01_Вводные'!$B$111*BL4,'01_Вводные'!$B$112*BL4/$B$16)</f>
        <v/>
      </c>
      <c r="BM13" s="180">
        <f>IF(BM$3&lt;'01_Вводные'!$B$248,'01_Вводные'!$B$111*BM4,'01_Вводные'!$B$112*BM4/$B$16)</f>
        <v/>
      </c>
      <c r="BN13" s="180">
        <f>IF(BN$3&lt;'01_Вводные'!$B$248,'01_Вводные'!$B$111*BN4,'01_Вводные'!$B$112*BN4/$B$16)</f>
        <v/>
      </c>
      <c r="BO13" s="180">
        <f>IF(BO$3&lt;'01_Вводные'!$B$248,'01_Вводные'!$B$111*BO4,'01_Вводные'!$B$112*BO4/$B$16)</f>
        <v/>
      </c>
    </row>
    <row r="14">
      <c r="A14" s="178" t="inlineStr">
        <is>
          <t>Резерв ротации</t>
        </is>
      </c>
      <c r="B14" s="180">
        <f>'01_Вводные'!$B$122*B4</f>
        <v/>
      </c>
      <c r="C14" s="180">
        <f>'01_Вводные'!$B$122*C4</f>
        <v/>
      </c>
      <c r="D14" s="180">
        <f>'01_Вводные'!$B$122*D4</f>
        <v/>
      </c>
      <c r="E14" s="180">
        <f>'01_Вводные'!$B$122*E4</f>
        <v/>
      </c>
      <c r="F14" s="180">
        <f>'01_Вводные'!$B$122*F4</f>
        <v/>
      </c>
      <c r="G14" s="180">
        <f>'01_Вводные'!$B$122*G4</f>
        <v/>
      </c>
      <c r="H14" s="180">
        <f>'01_Вводные'!$B$122*H4</f>
        <v/>
      </c>
      <c r="I14" s="180">
        <f>'01_Вводные'!$B$122*I4</f>
        <v/>
      </c>
      <c r="J14" s="180">
        <f>'01_Вводные'!$B$122*J4</f>
        <v/>
      </c>
      <c r="K14" s="180">
        <f>'01_Вводные'!$B$122*K4</f>
        <v/>
      </c>
      <c r="L14" s="180">
        <f>'01_Вводные'!$B$122*L4</f>
        <v/>
      </c>
      <c r="M14" s="180">
        <f>'01_Вводные'!$B$122*M4</f>
        <v/>
      </c>
      <c r="N14" s="180">
        <f>'01_Вводные'!$B$122*N4</f>
        <v/>
      </c>
      <c r="O14" s="180">
        <f>'01_Вводные'!$B$122*O4</f>
        <v/>
      </c>
      <c r="P14" s="180">
        <f>'01_Вводные'!$B$122*P4</f>
        <v/>
      </c>
      <c r="Q14" s="180">
        <f>'01_Вводные'!$B$122*Q4</f>
        <v/>
      </c>
      <c r="R14" s="180">
        <f>'01_Вводные'!$B$122*R4</f>
        <v/>
      </c>
      <c r="S14" s="180">
        <f>'01_Вводные'!$B$122*S4</f>
        <v/>
      </c>
      <c r="T14" s="180">
        <f>'01_Вводные'!$B$122*T4</f>
        <v/>
      </c>
      <c r="U14" s="180">
        <f>'01_Вводные'!$B$122*U4</f>
        <v/>
      </c>
      <c r="V14" s="180">
        <f>'01_Вводные'!$B$122*V4</f>
        <v/>
      </c>
      <c r="W14" s="180">
        <f>'01_Вводные'!$B$122*W4</f>
        <v/>
      </c>
      <c r="X14" s="180">
        <f>'01_Вводные'!$B$122*X4</f>
        <v/>
      </c>
      <c r="Y14" s="180">
        <f>'01_Вводные'!$B$122*Y4</f>
        <v/>
      </c>
      <c r="Z14" s="180">
        <f>'01_Вводные'!$B$122*Z4</f>
        <v/>
      </c>
      <c r="AA14" s="180">
        <f>'01_Вводные'!$B$122*AA4</f>
        <v/>
      </c>
      <c r="AB14" s="180">
        <f>'01_Вводные'!$B$122*AB4</f>
        <v/>
      </c>
      <c r="AC14" s="180">
        <f>'01_Вводные'!$B$122*AC4</f>
        <v/>
      </c>
      <c r="AD14" s="180">
        <f>'01_Вводные'!$B$122*AD4</f>
        <v/>
      </c>
      <c r="AE14" s="180">
        <f>'01_Вводные'!$B$122*AE4</f>
        <v/>
      </c>
      <c r="AF14" s="180">
        <f>'01_Вводные'!$B$122*AF4</f>
        <v/>
      </c>
      <c r="AG14" s="180">
        <f>'01_Вводные'!$B$122*AG4</f>
        <v/>
      </c>
      <c r="AH14" s="180">
        <f>'01_Вводные'!$B$122*AH4</f>
        <v/>
      </c>
      <c r="AI14" s="180">
        <f>'01_Вводные'!$B$122*AI4</f>
        <v/>
      </c>
      <c r="AJ14" s="180">
        <f>'01_Вводные'!$B$122*AJ4</f>
        <v/>
      </c>
      <c r="AK14" s="180">
        <f>'01_Вводные'!$B$122*AK4</f>
        <v/>
      </c>
      <c r="AL14" s="180">
        <f>'01_Вводные'!$B$122*AL4</f>
        <v/>
      </c>
      <c r="AM14" s="180">
        <f>'01_Вводные'!$B$122*AM4</f>
        <v/>
      </c>
      <c r="AN14" s="180">
        <f>'01_Вводные'!$B$122*AN4</f>
        <v/>
      </c>
      <c r="AO14" s="180">
        <f>'01_Вводные'!$B$122*AO4</f>
        <v/>
      </c>
      <c r="AP14" s="180">
        <f>'01_Вводные'!$B$122*AP4</f>
        <v/>
      </c>
      <c r="AQ14" s="180">
        <f>'01_Вводные'!$B$122*AQ4</f>
        <v/>
      </c>
      <c r="AR14" s="180">
        <f>'01_Вводные'!$B$122*AR4</f>
        <v/>
      </c>
      <c r="AS14" s="180">
        <f>'01_Вводные'!$B$122*AS4</f>
        <v/>
      </c>
      <c r="AT14" s="180">
        <f>'01_Вводные'!$B$122*AT4</f>
        <v/>
      </c>
      <c r="AU14" s="180">
        <f>'01_Вводные'!$B$122*AU4</f>
        <v/>
      </c>
      <c r="AV14" s="180">
        <f>'01_Вводные'!$B$122*AV4</f>
        <v/>
      </c>
      <c r="AW14" s="180">
        <f>'01_Вводные'!$B$122*AW4</f>
        <v/>
      </c>
      <c r="AX14" s="180">
        <f>'01_Вводные'!$B$122*AX4</f>
        <v/>
      </c>
      <c r="AY14" s="180">
        <f>'01_Вводные'!$B$122*AY4</f>
        <v/>
      </c>
      <c r="AZ14" s="180">
        <f>'01_Вводные'!$B$122*AZ4</f>
        <v/>
      </c>
      <c r="BA14" s="180">
        <f>'01_Вводные'!$B$122*BA4</f>
        <v/>
      </c>
      <c r="BB14" s="180">
        <f>'01_Вводные'!$B$122*BB4</f>
        <v/>
      </c>
      <c r="BC14" s="180">
        <f>'01_Вводные'!$B$122*BC4</f>
        <v/>
      </c>
      <c r="BD14" s="180">
        <f>'01_Вводные'!$B$122*BD4</f>
        <v/>
      </c>
      <c r="BE14" s="180">
        <f>'01_Вводные'!$B$122*BE4</f>
        <v/>
      </c>
      <c r="BF14" s="180">
        <f>'01_Вводные'!$B$122*BF4</f>
        <v/>
      </c>
      <c r="BG14" s="180">
        <f>'01_Вводные'!$B$122*BG4</f>
        <v/>
      </c>
      <c r="BH14" s="180">
        <f>'01_Вводные'!$B$122*BH4</f>
        <v/>
      </c>
      <c r="BI14" s="180">
        <f>'01_Вводные'!$B$122*BI4</f>
        <v/>
      </c>
      <c r="BJ14" s="180">
        <f>'01_Вводные'!$B$122*BJ4</f>
        <v/>
      </c>
      <c r="BK14" s="180">
        <f>'01_Вводные'!$B$122*BK4</f>
        <v/>
      </c>
      <c r="BL14" s="180">
        <f>'01_Вводные'!$B$122*BL4</f>
        <v/>
      </c>
      <c r="BM14" s="180">
        <f>'01_Вводные'!$B$122*BM4</f>
        <v/>
      </c>
      <c r="BN14" s="180">
        <f>'01_Вводные'!$B$122*BN4</f>
        <v/>
      </c>
      <c r="BO14" s="180">
        <f>'01_Вводные'!$B$122*BO4</f>
        <v/>
      </c>
    </row>
    <row r="16">
      <c r="A16" s="178" t="inlineStr">
        <is>
          <t>Индекс на дату нового SMM-тарифа</t>
        </is>
      </c>
      <c r="B16" s="180">
        <f t="array" ref="B16">INDEX($B$4:$BO$4,1,MAX(1,MIN(66,(YEAR('01_Вводные'!$B$248)-YEAR('01_Вводные'!$B$7))*12+MONTH('01_Вводные'!$B$248)-MONTH('01_Вводные'!$B$7)+1)))</f>
        <v/>
      </c>
    </row>
    <row r="21" ht="15.75" customHeight="1" s="194"/>
    <row r="22" ht="15.75" customHeight="1" s="194">
      <c r="A22" s="178" t="inlineStr">
        <is>
          <t>Веса тарифов</t>
        </is>
      </c>
      <c r="B22" s="180">
        <f>'01_Вводные'!$C$263/'01_Вводные'!$C$283</f>
        <v/>
      </c>
      <c r="C22" s="180">
        <f>'01_Вводные'!$C$264/'01_Вводные'!$C$283</f>
        <v/>
      </c>
      <c r="D22" s="180">
        <f>'01_Вводные'!$C$265/'01_Вводные'!$C$283</f>
        <v/>
      </c>
      <c r="E22" s="180">
        <f>'01_Вводные'!$C$266/'01_Вводные'!$C$283</f>
        <v/>
      </c>
      <c r="F22" s="180">
        <f>'01_Вводные'!$C$267/'01_Вводные'!$C$283</f>
        <v/>
      </c>
      <c r="G22" s="180">
        <f>'01_Вводные'!$C$268/'01_Вводные'!$C$283</f>
        <v/>
      </c>
      <c r="H22" s="180">
        <f>'01_Вводные'!$C$269/'01_Вводные'!$C$283</f>
        <v/>
      </c>
      <c r="I22" s="180">
        <f>'01_Вводные'!$C$270/'01_Вводные'!$C$283</f>
        <v/>
      </c>
      <c r="J22" s="180">
        <f>'01_Вводные'!$C$271/'01_Вводные'!$C$283</f>
        <v/>
      </c>
      <c r="K22" s="180">
        <f>'01_Вводные'!$C$272/'01_Вводные'!$C$283</f>
        <v/>
      </c>
      <c r="L22" s="180">
        <f>'01_Вводные'!$C$273/'01_Вводные'!$C$283</f>
        <v/>
      </c>
      <c r="M22" s="180">
        <f>'01_Вводные'!$C$274/'01_Вводные'!$C$283</f>
        <v/>
      </c>
      <c r="N22" s="180">
        <f>'01_Вводные'!$C$275/'01_Вводные'!$C$283</f>
        <v/>
      </c>
      <c r="O22" s="180">
        <f>'01_Вводные'!$C$276/'01_Вводные'!$C$283</f>
        <v/>
      </c>
      <c r="P22" s="180">
        <f>'01_Вводные'!$C$277/'01_Вводные'!$C$283</f>
        <v/>
      </c>
      <c r="Q22" s="180">
        <f>'01_Вводные'!$C$278/'01_Вводные'!$C$283</f>
        <v/>
      </c>
      <c r="R22" s="180">
        <f>'01_Вводные'!$C$279/'01_Вводные'!$C$283</f>
        <v/>
      </c>
      <c r="S22" s="180">
        <f>'01_Вводные'!$C$280/'01_Вводные'!$C$283</f>
        <v/>
      </c>
      <c r="T22" s="180">
        <f>'01_Вводные'!$C$281/'01_Вводные'!$C$283</f>
        <v/>
      </c>
      <c r="U22" s="180">
        <f>'01_Вводные'!$C$282/'01_Вводные'!$C$283</f>
        <v/>
      </c>
    </row>
    <row r="23" ht="15.75" customHeight="1" s="194"/>
    <row r="24" ht="15.75" customHeight="1" s="194">
      <c r="A24" s="178" t="inlineStr">
        <is>
          <t>1</t>
        </is>
      </c>
      <c r="B24" s="180">
        <f>B86*'01_Вводные'!$H$263</f>
        <v/>
      </c>
      <c r="C24" s="180">
        <f>C86*'01_Вводные'!$H$264</f>
        <v/>
      </c>
      <c r="D24" s="180">
        <f>D86*'01_Вводные'!$H$265</f>
        <v/>
      </c>
      <c r="E24" s="180">
        <f>E86*'01_Вводные'!$H$266</f>
        <v/>
      </c>
      <c r="F24" s="180">
        <f>F86*'01_Вводные'!$H$267</f>
        <v/>
      </c>
      <c r="G24" s="180">
        <f>G86*'01_Вводные'!$H$268</f>
        <v/>
      </c>
      <c r="H24" s="180">
        <f>H86*'01_Вводные'!$H$269</f>
        <v/>
      </c>
      <c r="I24" s="180">
        <f>I86*'01_Вводные'!$H$270</f>
        <v/>
      </c>
      <c r="J24" s="180">
        <f>J86*'01_Вводные'!$H$271</f>
        <v/>
      </c>
      <c r="K24" s="180">
        <f>K86*'01_Вводные'!$H$272</f>
        <v/>
      </c>
      <c r="L24" s="180">
        <f>L86*'01_Вводные'!$H$273</f>
        <v/>
      </c>
      <c r="M24" s="180">
        <f>M86*'01_Вводные'!$H$274</f>
        <v/>
      </c>
      <c r="N24" s="180">
        <f>N86*'01_Вводные'!$H$275</f>
        <v/>
      </c>
      <c r="O24" s="180">
        <f>O86*'01_Вводные'!$H$276</f>
        <v/>
      </c>
      <c r="P24" s="180">
        <f>P86*'01_Вводные'!$H$277</f>
        <v/>
      </c>
      <c r="Q24" s="180">
        <f>Q86*'01_Вводные'!$H$278</f>
        <v/>
      </c>
      <c r="R24" s="180">
        <f>R86*'01_Вводные'!$H$279</f>
        <v/>
      </c>
      <c r="S24" s="180">
        <f>S86*'01_Вводные'!$H$280</f>
        <v/>
      </c>
      <c r="T24" s="180">
        <f>T86*'01_Вводные'!$H$281</f>
        <v/>
      </c>
      <c r="U24" s="180">
        <f>U86*'01_Вводные'!$H$282</f>
        <v/>
      </c>
      <c r="W24" s="182">
        <f>SUMPRODUCT($B$22:$U$22,B86:U86)</f>
        <v/>
      </c>
      <c r="X24" s="182">
        <f>SUMPRODUCT($B$22:$U$22,B54:U54)</f>
        <v/>
      </c>
    </row>
    <row r="25" ht="15.75" customHeight="1" s="194">
      <c r="A25" s="178" t="inlineStr">
        <is>
          <t>2</t>
        </is>
      </c>
      <c r="B25" s="180">
        <f>B87*'01_Вводные'!$H$263</f>
        <v/>
      </c>
      <c r="C25" s="180">
        <f>C87*'01_Вводные'!$H$264</f>
        <v/>
      </c>
      <c r="D25" s="180">
        <f>D87*'01_Вводные'!$H$265</f>
        <v/>
      </c>
      <c r="E25" s="180">
        <f>E87*'01_Вводные'!$H$266</f>
        <v/>
      </c>
      <c r="F25" s="180">
        <f>F87*'01_Вводные'!$H$267</f>
        <v/>
      </c>
      <c r="G25" s="180">
        <f>G87*'01_Вводные'!$H$268</f>
        <v/>
      </c>
      <c r="H25" s="180">
        <f>H87*'01_Вводные'!$H$269</f>
        <v/>
      </c>
      <c r="I25" s="180">
        <f>I87*'01_Вводные'!$H$270</f>
        <v/>
      </c>
      <c r="J25" s="180">
        <f>J87*'01_Вводные'!$H$271</f>
        <v/>
      </c>
      <c r="K25" s="180">
        <f>K87*'01_Вводные'!$H$272</f>
        <v/>
      </c>
      <c r="L25" s="180">
        <f>L87*'01_Вводные'!$H$273</f>
        <v/>
      </c>
      <c r="M25" s="180">
        <f>M87*'01_Вводные'!$H$274</f>
        <v/>
      </c>
      <c r="N25" s="180">
        <f>N87*'01_Вводные'!$H$275</f>
        <v/>
      </c>
      <c r="O25" s="180">
        <f>O87*'01_Вводные'!$H$276</f>
        <v/>
      </c>
      <c r="P25" s="180">
        <f>P87*'01_Вводные'!$H$277</f>
        <v/>
      </c>
      <c r="Q25" s="180">
        <f>Q87*'01_Вводные'!$H$278</f>
        <v/>
      </c>
      <c r="R25" s="180">
        <f>R87*'01_Вводные'!$H$279</f>
        <v/>
      </c>
      <c r="S25" s="180">
        <f>S87*'01_Вводные'!$H$280</f>
        <v/>
      </c>
      <c r="T25" s="180">
        <f>T87*'01_Вводные'!$H$281</f>
        <v/>
      </c>
      <c r="U25" s="180">
        <f>U87*'01_Вводные'!$H$282</f>
        <v/>
      </c>
      <c r="W25" s="182">
        <f>SUMPRODUCT($B$22:$U$22,B87:U87)</f>
        <v/>
      </c>
      <c r="X25" s="182">
        <f>SUMPRODUCT($B$22:$U$22,B55:U55)</f>
        <v/>
      </c>
    </row>
    <row r="26" ht="15.75" customHeight="1" s="194">
      <c r="A26" s="178" t="inlineStr">
        <is>
          <t>3</t>
        </is>
      </c>
      <c r="B26" s="180">
        <f>B88*'01_Вводные'!$H$263</f>
        <v/>
      </c>
      <c r="C26" s="180">
        <f>C88*'01_Вводные'!$H$264</f>
        <v/>
      </c>
      <c r="D26" s="180">
        <f>D88*'01_Вводные'!$H$265</f>
        <v/>
      </c>
      <c r="E26" s="180">
        <f>E88*'01_Вводные'!$H$266</f>
        <v/>
      </c>
      <c r="F26" s="180">
        <f>F88*'01_Вводные'!$H$267</f>
        <v/>
      </c>
      <c r="G26" s="180">
        <f>G88*'01_Вводные'!$H$268</f>
        <v/>
      </c>
      <c r="H26" s="180">
        <f>H88*'01_Вводные'!$H$269</f>
        <v/>
      </c>
      <c r="I26" s="180">
        <f>I88*'01_Вводные'!$H$270</f>
        <v/>
      </c>
      <c r="J26" s="180">
        <f>J88*'01_Вводные'!$H$271</f>
        <v/>
      </c>
      <c r="K26" s="180">
        <f>K88*'01_Вводные'!$H$272</f>
        <v/>
      </c>
      <c r="L26" s="180">
        <f>L88*'01_Вводные'!$H$273</f>
        <v/>
      </c>
      <c r="M26" s="180">
        <f>M88*'01_Вводные'!$H$274</f>
        <v/>
      </c>
      <c r="N26" s="180">
        <f>N88*'01_Вводные'!$H$275</f>
        <v/>
      </c>
      <c r="O26" s="180">
        <f>O88*'01_Вводные'!$H$276</f>
        <v/>
      </c>
      <c r="P26" s="180">
        <f>P88*'01_Вводные'!$H$277</f>
        <v/>
      </c>
      <c r="Q26" s="180">
        <f>Q88*'01_Вводные'!$H$278</f>
        <v/>
      </c>
      <c r="R26" s="180">
        <f>R88*'01_Вводные'!$H$279</f>
        <v/>
      </c>
      <c r="S26" s="180">
        <f>S88*'01_Вводные'!$H$280</f>
        <v/>
      </c>
      <c r="T26" s="180">
        <f>T88*'01_Вводные'!$H$281</f>
        <v/>
      </c>
      <c r="U26" s="180">
        <f>U88*'01_Вводные'!$H$282</f>
        <v/>
      </c>
      <c r="W26" s="182">
        <f>SUMPRODUCT($B$22:$U$22,B88:U88)</f>
        <v/>
      </c>
      <c r="X26" s="182">
        <f>SUMPRODUCT($B$22:$U$22,B56:U56)</f>
        <v/>
      </c>
    </row>
    <row r="27" ht="15.75" customHeight="1" s="194">
      <c r="A27" s="178" t="inlineStr">
        <is>
          <t>4</t>
        </is>
      </c>
      <c r="B27" s="180">
        <f>B89*'01_Вводные'!$H$263</f>
        <v/>
      </c>
      <c r="C27" s="180">
        <f>C89*'01_Вводные'!$H$264</f>
        <v/>
      </c>
      <c r="D27" s="180">
        <f>D89*'01_Вводные'!$H$265</f>
        <v/>
      </c>
      <c r="E27" s="180">
        <f>E89*'01_Вводные'!$H$266</f>
        <v/>
      </c>
      <c r="F27" s="180">
        <f>F89*'01_Вводные'!$H$267</f>
        <v/>
      </c>
      <c r="G27" s="180">
        <f>G89*'01_Вводные'!$H$268</f>
        <v/>
      </c>
      <c r="H27" s="180">
        <f>H89*'01_Вводные'!$H$269</f>
        <v/>
      </c>
      <c r="I27" s="180">
        <f>I89*'01_Вводные'!$H$270</f>
        <v/>
      </c>
      <c r="J27" s="180">
        <f>J89*'01_Вводные'!$H$271</f>
        <v/>
      </c>
      <c r="K27" s="180">
        <f>K89*'01_Вводные'!$H$272</f>
        <v/>
      </c>
      <c r="L27" s="180">
        <f>L89*'01_Вводные'!$H$273</f>
        <v/>
      </c>
      <c r="M27" s="180">
        <f>M89*'01_Вводные'!$H$274</f>
        <v/>
      </c>
      <c r="N27" s="180">
        <f>N89*'01_Вводные'!$H$275</f>
        <v/>
      </c>
      <c r="O27" s="180">
        <f>O89*'01_Вводные'!$H$276</f>
        <v/>
      </c>
      <c r="P27" s="180">
        <f>P89*'01_Вводные'!$H$277</f>
        <v/>
      </c>
      <c r="Q27" s="180">
        <f>Q89*'01_Вводные'!$H$278</f>
        <v/>
      </c>
      <c r="R27" s="180">
        <f>R89*'01_Вводные'!$H$279</f>
        <v/>
      </c>
      <c r="S27" s="180">
        <f>S89*'01_Вводные'!$H$280</f>
        <v/>
      </c>
      <c r="T27" s="180">
        <f>T89*'01_Вводные'!$H$281</f>
        <v/>
      </c>
      <c r="U27" s="180">
        <f>U89*'01_Вводные'!$H$282</f>
        <v/>
      </c>
      <c r="W27" s="182">
        <f>SUMPRODUCT($B$22:$U$22,B89:U89)</f>
        <v/>
      </c>
      <c r="X27" s="182">
        <f>SUMPRODUCT($B$22:$U$22,B57:U57)</f>
        <v/>
      </c>
    </row>
    <row r="28" ht="15.75" customHeight="1" s="194">
      <c r="A28" s="178" t="inlineStr">
        <is>
          <t>5</t>
        </is>
      </c>
      <c r="B28" s="180">
        <f>B90*'01_Вводные'!$H$263</f>
        <v/>
      </c>
      <c r="C28" s="180">
        <f>C90*'01_Вводные'!$H$264</f>
        <v/>
      </c>
      <c r="D28" s="180">
        <f>D90*'01_Вводные'!$H$265</f>
        <v/>
      </c>
      <c r="E28" s="180">
        <f>E90*'01_Вводные'!$H$266</f>
        <v/>
      </c>
      <c r="F28" s="180">
        <f>F90*'01_Вводные'!$H$267</f>
        <v/>
      </c>
      <c r="G28" s="180">
        <f>G90*'01_Вводные'!$H$268</f>
        <v/>
      </c>
      <c r="H28" s="180">
        <f>H90*'01_Вводные'!$H$269</f>
        <v/>
      </c>
      <c r="I28" s="180">
        <f>I90*'01_Вводные'!$H$270</f>
        <v/>
      </c>
      <c r="J28" s="180">
        <f>J90*'01_Вводные'!$H$271</f>
        <v/>
      </c>
      <c r="K28" s="180">
        <f>K90*'01_Вводные'!$H$272</f>
        <v/>
      </c>
      <c r="L28" s="180">
        <f>L90*'01_Вводные'!$H$273</f>
        <v/>
      </c>
      <c r="M28" s="180">
        <f>M90*'01_Вводные'!$H$274</f>
        <v/>
      </c>
      <c r="N28" s="180">
        <f>N90*'01_Вводные'!$H$275</f>
        <v/>
      </c>
      <c r="O28" s="180">
        <f>O90*'01_Вводные'!$H$276</f>
        <v/>
      </c>
      <c r="P28" s="180">
        <f>P90*'01_Вводные'!$H$277</f>
        <v/>
      </c>
      <c r="Q28" s="180">
        <f>Q90*'01_Вводные'!$H$278</f>
        <v/>
      </c>
      <c r="R28" s="180">
        <f>R90*'01_Вводные'!$H$279</f>
        <v/>
      </c>
      <c r="S28" s="180">
        <f>S90*'01_Вводные'!$H$280</f>
        <v/>
      </c>
      <c r="T28" s="180">
        <f>T90*'01_Вводные'!$H$281</f>
        <v/>
      </c>
      <c r="U28" s="180">
        <f>U90*'01_Вводные'!$H$282</f>
        <v/>
      </c>
      <c r="W28" s="182">
        <f>SUMPRODUCT($B$22:$U$22,B90:U90)</f>
        <v/>
      </c>
      <c r="X28" s="182">
        <f>SUMPRODUCT($B$22:$U$22,B58:U58)</f>
        <v/>
      </c>
    </row>
    <row r="29" ht="15.75" customHeight="1" s="194">
      <c r="A29" s="178" t="inlineStr">
        <is>
          <t>6</t>
        </is>
      </c>
      <c r="B29" s="180">
        <f>B91*'01_Вводные'!$H$263</f>
        <v/>
      </c>
      <c r="C29" s="180">
        <f>C91*'01_Вводные'!$H$264</f>
        <v/>
      </c>
      <c r="D29" s="180">
        <f>D91*'01_Вводные'!$H$265</f>
        <v/>
      </c>
      <c r="E29" s="180">
        <f>E91*'01_Вводные'!$H$266</f>
        <v/>
      </c>
      <c r="F29" s="180">
        <f>F91*'01_Вводные'!$H$267</f>
        <v/>
      </c>
      <c r="G29" s="180">
        <f>G91*'01_Вводные'!$H$268</f>
        <v/>
      </c>
      <c r="H29" s="180">
        <f>H91*'01_Вводные'!$H$269</f>
        <v/>
      </c>
      <c r="I29" s="180">
        <f>I91*'01_Вводные'!$H$270</f>
        <v/>
      </c>
      <c r="J29" s="180">
        <f>J91*'01_Вводные'!$H$271</f>
        <v/>
      </c>
      <c r="K29" s="180">
        <f>K91*'01_Вводные'!$H$272</f>
        <v/>
      </c>
      <c r="L29" s="180">
        <f>L91*'01_Вводные'!$H$273</f>
        <v/>
      </c>
      <c r="M29" s="180">
        <f>M91*'01_Вводные'!$H$274</f>
        <v/>
      </c>
      <c r="N29" s="180">
        <f>N91*'01_Вводные'!$H$275</f>
        <v/>
      </c>
      <c r="O29" s="180">
        <f>O91*'01_Вводные'!$H$276</f>
        <v/>
      </c>
      <c r="P29" s="180">
        <f>P91*'01_Вводные'!$H$277</f>
        <v/>
      </c>
      <c r="Q29" s="180">
        <f>Q91*'01_Вводные'!$H$278</f>
        <v/>
      </c>
      <c r="R29" s="180">
        <f>R91*'01_Вводные'!$H$279</f>
        <v/>
      </c>
      <c r="S29" s="180">
        <f>S91*'01_Вводные'!$H$280</f>
        <v/>
      </c>
      <c r="T29" s="180">
        <f>T91*'01_Вводные'!$H$281</f>
        <v/>
      </c>
      <c r="U29" s="180">
        <f>U91*'01_Вводные'!$H$282</f>
        <v/>
      </c>
      <c r="W29" s="182">
        <f>SUMPRODUCT($B$22:$U$22,B91:U91)</f>
        <v/>
      </c>
      <c r="X29" s="182">
        <f>SUMPRODUCT($B$22:$U$22,B59:U59)</f>
        <v/>
      </c>
    </row>
    <row r="30" ht="15.75" customHeight="1" s="194">
      <c r="A30" s="178" t="inlineStr">
        <is>
          <t>7</t>
        </is>
      </c>
      <c r="B30" s="180">
        <f>B92*'01_Вводные'!$H$263</f>
        <v/>
      </c>
      <c r="C30" s="180">
        <f>C92*'01_Вводные'!$H$264</f>
        <v/>
      </c>
      <c r="D30" s="180">
        <f>D92*'01_Вводные'!$H$265</f>
        <v/>
      </c>
      <c r="E30" s="180">
        <f>E92*'01_Вводные'!$H$266</f>
        <v/>
      </c>
      <c r="F30" s="180">
        <f>F92*'01_Вводные'!$H$267</f>
        <v/>
      </c>
      <c r="G30" s="180">
        <f>G92*'01_Вводные'!$H$268</f>
        <v/>
      </c>
      <c r="H30" s="180">
        <f>H92*'01_Вводные'!$H$269</f>
        <v/>
      </c>
      <c r="I30" s="180">
        <f>I92*'01_Вводные'!$H$270</f>
        <v/>
      </c>
      <c r="J30" s="180">
        <f>J92*'01_Вводные'!$H$271</f>
        <v/>
      </c>
      <c r="K30" s="180">
        <f>K92*'01_Вводные'!$H$272</f>
        <v/>
      </c>
      <c r="L30" s="180">
        <f>L92*'01_Вводные'!$H$273</f>
        <v/>
      </c>
      <c r="M30" s="180">
        <f>M92*'01_Вводные'!$H$274</f>
        <v/>
      </c>
      <c r="N30" s="180">
        <f>N92*'01_Вводные'!$H$275</f>
        <v/>
      </c>
      <c r="O30" s="180">
        <f>O92*'01_Вводные'!$H$276</f>
        <v/>
      </c>
      <c r="P30" s="180">
        <f>P92*'01_Вводные'!$H$277</f>
        <v/>
      </c>
      <c r="Q30" s="180">
        <f>Q92*'01_Вводные'!$H$278</f>
        <v/>
      </c>
      <c r="R30" s="180">
        <f>R92*'01_Вводные'!$H$279</f>
        <v/>
      </c>
      <c r="S30" s="180">
        <f>S92*'01_Вводные'!$H$280</f>
        <v/>
      </c>
      <c r="T30" s="180">
        <f>T92*'01_Вводные'!$H$281</f>
        <v/>
      </c>
      <c r="U30" s="180">
        <f>U92*'01_Вводные'!$H$282</f>
        <v/>
      </c>
      <c r="W30" s="182">
        <f>SUMPRODUCT($B$22:$U$22,B92:U92)</f>
        <v/>
      </c>
      <c r="X30" s="182">
        <f>SUMPRODUCT($B$22:$U$22,B60:U60)</f>
        <v/>
      </c>
    </row>
    <row r="31" ht="15.75" customHeight="1" s="194">
      <c r="A31" s="178" t="inlineStr">
        <is>
          <t>8</t>
        </is>
      </c>
      <c r="B31" s="180">
        <f>B93*'01_Вводные'!$H$263</f>
        <v/>
      </c>
      <c r="C31" s="180">
        <f>C93*'01_Вводные'!$H$264</f>
        <v/>
      </c>
      <c r="D31" s="180">
        <f>D93*'01_Вводные'!$H$265</f>
        <v/>
      </c>
      <c r="E31" s="180">
        <f>E93*'01_Вводные'!$H$266</f>
        <v/>
      </c>
      <c r="F31" s="180">
        <f>F93*'01_Вводные'!$H$267</f>
        <v/>
      </c>
      <c r="G31" s="180">
        <f>G93*'01_Вводные'!$H$268</f>
        <v/>
      </c>
      <c r="H31" s="180">
        <f>H93*'01_Вводные'!$H$269</f>
        <v/>
      </c>
      <c r="I31" s="180">
        <f>I93*'01_Вводные'!$H$270</f>
        <v/>
      </c>
      <c r="J31" s="180">
        <f>J93*'01_Вводные'!$H$271</f>
        <v/>
      </c>
      <c r="K31" s="180">
        <f>K93*'01_Вводные'!$H$272</f>
        <v/>
      </c>
      <c r="L31" s="180">
        <f>L93*'01_Вводные'!$H$273</f>
        <v/>
      </c>
      <c r="M31" s="180">
        <f>M93*'01_Вводные'!$H$274</f>
        <v/>
      </c>
      <c r="N31" s="180">
        <f>N93*'01_Вводные'!$H$275</f>
        <v/>
      </c>
      <c r="O31" s="180">
        <f>O93*'01_Вводные'!$H$276</f>
        <v/>
      </c>
      <c r="P31" s="180">
        <f>P93*'01_Вводные'!$H$277</f>
        <v/>
      </c>
      <c r="Q31" s="180">
        <f>Q93*'01_Вводные'!$H$278</f>
        <v/>
      </c>
      <c r="R31" s="180">
        <f>R93*'01_Вводные'!$H$279</f>
        <v/>
      </c>
      <c r="S31" s="180">
        <f>S93*'01_Вводные'!$H$280</f>
        <v/>
      </c>
      <c r="T31" s="180">
        <f>T93*'01_Вводные'!$H$281</f>
        <v/>
      </c>
      <c r="U31" s="180">
        <f>U93*'01_Вводные'!$H$282</f>
        <v/>
      </c>
      <c r="W31" s="182">
        <f>SUMPRODUCT($B$22:$U$22,B93:U93)</f>
        <v/>
      </c>
      <c r="X31" s="182">
        <f>SUMPRODUCT($B$22:$U$22,B61:U61)</f>
        <v/>
      </c>
    </row>
    <row r="32" ht="15.75" customHeight="1" s="194">
      <c r="A32" s="178" t="inlineStr">
        <is>
          <t>9</t>
        </is>
      </c>
      <c r="B32" s="180">
        <f>B94*'01_Вводные'!$H$263</f>
        <v/>
      </c>
      <c r="C32" s="180">
        <f>C94*'01_Вводные'!$H$264</f>
        <v/>
      </c>
      <c r="D32" s="180">
        <f>D94*'01_Вводные'!$H$265</f>
        <v/>
      </c>
      <c r="E32" s="180">
        <f>E94*'01_Вводные'!$H$266</f>
        <v/>
      </c>
      <c r="F32" s="180">
        <f>F94*'01_Вводные'!$H$267</f>
        <v/>
      </c>
      <c r="G32" s="180">
        <f>G94*'01_Вводные'!$H$268</f>
        <v/>
      </c>
      <c r="H32" s="180">
        <f>H94*'01_Вводные'!$H$269</f>
        <v/>
      </c>
      <c r="I32" s="180">
        <f>I94*'01_Вводные'!$H$270</f>
        <v/>
      </c>
      <c r="J32" s="180">
        <f>J94*'01_Вводные'!$H$271</f>
        <v/>
      </c>
      <c r="K32" s="180">
        <f>K94*'01_Вводные'!$H$272</f>
        <v/>
      </c>
      <c r="L32" s="180">
        <f>L94*'01_Вводные'!$H$273</f>
        <v/>
      </c>
      <c r="M32" s="180">
        <f>M94*'01_Вводные'!$H$274</f>
        <v/>
      </c>
      <c r="N32" s="180">
        <f>N94*'01_Вводные'!$H$275</f>
        <v/>
      </c>
      <c r="O32" s="180">
        <f>O94*'01_Вводные'!$H$276</f>
        <v/>
      </c>
      <c r="P32" s="180">
        <f>P94*'01_Вводные'!$H$277</f>
        <v/>
      </c>
      <c r="Q32" s="180">
        <f>Q94*'01_Вводные'!$H$278</f>
        <v/>
      </c>
      <c r="R32" s="180">
        <f>R94*'01_Вводные'!$H$279</f>
        <v/>
      </c>
      <c r="S32" s="180">
        <f>S94*'01_Вводные'!$H$280</f>
        <v/>
      </c>
      <c r="T32" s="180">
        <f>T94*'01_Вводные'!$H$281</f>
        <v/>
      </c>
      <c r="U32" s="180">
        <f>U94*'01_Вводные'!$H$282</f>
        <v/>
      </c>
      <c r="W32" s="182">
        <f>SUMPRODUCT($B$22:$U$22,B94:U94)</f>
        <v/>
      </c>
      <c r="X32" s="182">
        <f>SUMPRODUCT($B$22:$U$22,B62:U62)</f>
        <v/>
      </c>
    </row>
    <row r="33" ht="15.75" customHeight="1" s="194">
      <c r="A33" s="178" t="inlineStr">
        <is>
          <t>10</t>
        </is>
      </c>
      <c r="B33" s="180">
        <f>B95*'01_Вводные'!$H$263</f>
        <v/>
      </c>
      <c r="C33" s="180">
        <f>C95*'01_Вводные'!$H$264</f>
        <v/>
      </c>
      <c r="D33" s="180">
        <f>D95*'01_Вводные'!$H$265</f>
        <v/>
      </c>
      <c r="E33" s="180">
        <f>E95*'01_Вводные'!$H$266</f>
        <v/>
      </c>
      <c r="F33" s="180">
        <f>F95*'01_Вводные'!$H$267</f>
        <v/>
      </c>
      <c r="G33" s="180">
        <f>G95*'01_Вводные'!$H$268</f>
        <v/>
      </c>
      <c r="H33" s="180">
        <f>H95*'01_Вводные'!$H$269</f>
        <v/>
      </c>
      <c r="I33" s="180">
        <f>I95*'01_Вводные'!$H$270</f>
        <v/>
      </c>
      <c r="J33" s="180">
        <f>J95*'01_Вводные'!$H$271</f>
        <v/>
      </c>
      <c r="K33" s="180">
        <f>K95*'01_Вводные'!$H$272</f>
        <v/>
      </c>
      <c r="L33" s="180">
        <f>L95*'01_Вводные'!$H$273</f>
        <v/>
      </c>
      <c r="M33" s="180">
        <f>M95*'01_Вводные'!$H$274</f>
        <v/>
      </c>
      <c r="N33" s="180">
        <f>N95*'01_Вводные'!$H$275</f>
        <v/>
      </c>
      <c r="O33" s="180">
        <f>O95*'01_Вводные'!$H$276</f>
        <v/>
      </c>
      <c r="P33" s="180">
        <f>P95*'01_Вводные'!$H$277</f>
        <v/>
      </c>
      <c r="Q33" s="180">
        <f>Q95*'01_Вводные'!$H$278</f>
        <v/>
      </c>
      <c r="R33" s="180">
        <f>R95*'01_Вводные'!$H$279</f>
        <v/>
      </c>
      <c r="S33" s="180">
        <f>S95*'01_Вводные'!$H$280</f>
        <v/>
      </c>
      <c r="T33" s="180">
        <f>T95*'01_Вводные'!$H$281</f>
        <v/>
      </c>
      <c r="U33" s="180">
        <f>U95*'01_Вводные'!$H$282</f>
        <v/>
      </c>
      <c r="W33" s="182">
        <f>SUMPRODUCT($B$22:$U$22,B95:U95)</f>
        <v/>
      </c>
      <c r="X33" s="182">
        <f>SUMPRODUCT($B$22:$U$22,B63:U63)</f>
        <v/>
      </c>
    </row>
    <row r="34" ht="15.75" customHeight="1" s="194">
      <c r="A34" s="178" t="inlineStr">
        <is>
          <t>11</t>
        </is>
      </c>
      <c r="B34" s="180">
        <f>B96*'01_Вводные'!$H$263</f>
        <v/>
      </c>
      <c r="C34" s="180">
        <f>C96*'01_Вводные'!$H$264</f>
        <v/>
      </c>
      <c r="D34" s="180">
        <f>D96*'01_Вводные'!$H$265</f>
        <v/>
      </c>
      <c r="E34" s="180">
        <f>E96*'01_Вводные'!$H$266</f>
        <v/>
      </c>
      <c r="F34" s="180">
        <f>F96*'01_Вводные'!$H$267</f>
        <v/>
      </c>
      <c r="G34" s="180">
        <f>G96*'01_Вводные'!$H$268</f>
        <v/>
      </c>
      <c r="H34" s="180">
        <f>H96*'01_Вводные'!$H$269</f>
        <v/>
      </c>
      <c r="I34" s="180">
        <f>I96*'01_Вводные'!$H$270</f>
        <v/>
      </c>
      <c r="J34" s="180">
        <f>J96*'01_Вводные'!$H$271</f>
        <v/>
      </c>
      <c r="K34" s="180">
        <f>K96*'01_Вводные'!$H$272</f>
        <v/>
      </c>
      <c r="L34" s="180">
        <f>L96*'01_Вводные'!$H$273</f>
        <v/>
      </c>
      <c r="M34" s="180">
        <f>M96*'01_Вводные'!$H$274</f>
        <v/>
      </c>
      <c r="N34" s="180">
        <f>N96*'01_Вводные'!$H$275</f>
        <v/>
      </c>
      <c r="O34" s="180">
        <f>O96*'01_Вводные'!$H$276</f>
        <v/>
      </c>
      <c r="P34" s="180">
        <f>P96*'01_Вводные'!$H$277</f>
        <v/>
      </c>
      <c r="Q34" s="180">
        <f>Q96*'01_Вводные'!$H$278</f>
        <v/>
      </c>
      <c r="R34" s="180">
        <f>R96*'01_Вводные'!$H$279</f>
        <v/>
      </c>
      <c r="S34" s="180">
        <f>S96*'01_Вводные'!$H$280</f>
        <v/>
      </c>
      <c r="T34" s="180">
        <f>T96*'01_Вводные'!$H$281</f>
        <v/>
      </c>
      <c r="U34" s="180">
        <f>U96*'01_Вводные'!$H$282</f>
        <v/>
      </c>
      <c r="W34" s="182">
        <f>SUMPRODUCT($B$22:$U$22,B96:U96)</f>
        <v/>
      </c>
      <c r="X34" s="182">
        <f>SUMPRODUCT($B$22:$U$22,B64:U64)</f>
        <v/>
      </c>
    </row>
    <row r="35" ht="15.75" customHeight="1" s="194">
      <c r="A35" s="178" t="inlineStr">
        <is>
          <t>12</t>
        </is>
      </c>
      <c r="B35" s="180">
        <f>B97*'01_Вводные'!$H$263</f>
        <v/>
      </c>
      <c r="C35" s="180">
        <f>C97*'01_Вводные'!$H$264</f>
        <v/>
      </c>
      <c r="D35" s="180">
        <f>D97*'01_Вводные'!$H$265</f>
        <v/>
      </c>
      <c r="E35" s="180">
        <f>E97*'01_Вводные'!$H$266</f>
        <v/>
      </c>
      <c r="F35" s="180">
        <f>F97*'01_Вводные'!$H$267</f>
        <v/>
      </c>
      <c r="G35" s="180">
        <f>G97*'01_Вводные'!$H$268</f>
        <v/>
      </c>
      <c r="H35" s="180">
        <f>H97*'01_Вводные'!$H$269</f>
        <v/>
      </c>
      <c r="I35" s="180">
        <f>I97*'01_Вводные'!$H$270</f>
        <v/>
      </c>
      <c r="J35" s="180">
        <f>J97*'01_Вводные'!$H$271</f>
        <v/>
      </c>
      <c r="K35" s="180">
        <f>K97*'01_Вводные'!$H$272</f>
        <v/>
      </c>
      <c r="L35" s="180">
        <f>L97*'01_Вводные'!$H$273</f>
        <v/>
      </c>
      <c r="M35" s="180">
        <f>M97*'01_Вводные'!$H$274</f>
        <v/>
      </c>
      <c r="N35" s="180">
        <f>N97*'01_Вводные'!$H$275</f>
        <v/>
      </c>
      <c r="O35" s="180">
        <f>O97*'01_Вводные'!$H$276</f>
        <v/>
      </c>
      <c r="P35" s="180">
        <f>P97*'01_Вводные'!$H$277</f>
        <v/>
      </c>
      <c r="Q35" s="180">
        <f>Q97*'01_Вводные'!$H$278</f>
        <v/>
      </c>
      <c r="R35" s="180">
        <f>R97*'01_Вводные'!$H$279</f>
        <v/>
      </c>
      <c r="S35" s="180">
        <f>S97*'01_Вводные'!$H$280</f>
        <v/>
      </c>
      <c r="T35" s="180">
        <f>T97*'01_Вводные'!$H$281</f>
        <v/>
      </c>
      <c r="U35" s="180">
        <f>U97*'01_Вводные'!$H$282</f>
        <v/>
      </c>
      <c r="W35" s="182">
        <f>SUMPRODUCT($B$22:$U$22,B97:U97)</f>
        <v/>
      </c>
      <c r="X35" s="182">
        <f>SUMPRODUCT($B$22:$U$22,B65:U65)</f>
        <v/>
      </c>
    </row>
    <row r="36" ht="15.75" customHeight="1" s="194">
      <c r="A36" s="178" t="inlineStr">
        <is>
          <t>13</t>
        </is>
      </c>
      <c r="B36" s="180">
        <f>B98*'01_Вводные'!$H$263</f>
        <v/>
      </c>
      <c r="C36" s="180">
        <f>C98*'01_Вводные'!$H$264</f>
        <v/>
      </c>
      <c r="D36" s="180">
        <f>D98*'01_Вводные'!$H$265</f>
        <v/>
      </c>
      <c r="E36" s="180">
        <f>E98*'01_Вводные'!$H$266</f>
        <v/>
      </c>
      <c r="F36" s="180">
        <f>F98*'01_Вводные'!$H$267</f>
        <v/>
      </c>
      <c r="G36" s="180">
        <f>G98*'01_Вводные'!$H$268</f>
        <v/>
      </c>
      <c r="H36" s="180">
        <f>H98*'01_Вводные'!$H$269</f>
        <v/>
      </c>
      <c r="I36" s="180">
        <f>I98*'01_Вводные'!$H$270</f>
        <v/>
      </c>
      <c r="J36" s="180">
        <f>J98*'01_Вводные'!$H$271</f>
        <v/>
      </c>
      <c r="K36" s="180">
        <f>K98*'01_Вводные'!$H$272</f>
        <v/>
      </c>
      <c r="L36" s="180">
        <f>L98*'01_Вводные'!$H$273</f>
        <v/>
      </c>
      <c r="M36" s="180">
        <f>M98*'01_Вводные'!$H$274</f>
        <v/>
      </c>
      <c r="N36" s="180">
        <f>N98*'01_Вводные'!$H$275</f>
        <v/>
      </c>
      <c r="O36" s="180">
        <f>O98*'01_Вводные'!$H$276</f>
        <v/>
      </c>
      <c r="P36" s="180">
        <f>P98*'01_Вводные'!$H$277</f>
        <v/>
      </c>
      <c r="Q36" s="180">
        <f>Q98*'01_Вводные'!$H$278</f>
        <v/>
      </c>
      <c r="R36" s="180">
        <f>R98*'01_Вводные'!$H$279</f>
        <v/>
      </c>
      <c r="S36" s="180">
        <f>S98*'01_Вводные'!$H$280</f>
        <v/>
      </c>
      <c r="T36" s="180">
        <f>T98*'01_Вводные'!$H$281</f>
        <v/>
      </c>
      <c r="U36" s="180">
        <f>U98*'01_Вводные'!$H$282</f>
        <v/>
      </c>
      <c r="W36" s="182">
        <f>SUMPRODUCT($B$22:$U$22,B98:U98)</f>
        <v/>
      </c>
      <c r="X36" s="182">
        <f>SUMPRODUCT($B$22:$U$22,B66:U66)</f>
        <v/>
      </c>
    </row>
    <row r="37" ht="15.75" customHeight="1" s="194">
      <c r="A37" s="178" t="inlineStr">
        <is>
          <t>14</t>
        </is>
      </c>
      <c r="B37" s="180">
        <f>B99*'01_Вводные'!$H$263</f>
        <v/>
      </c>
      <c r="C37" s="180">
        <f>C99*'01_Вводные'!$H$264</f>
        <v/>
      </c>
      <c r="D37" s="180">
        <f>D99*'01_Вводные'!$H$265</f>
        <v/>
      </c>
      <c r="E37" s="180">
        <f>E99*'01_Вводные'!$H$266</f>
        <v/>
      </c>
      <c r="F37" s="180">
        <f>F99*'01_Вводные'!$H$267</f>
        <v/>
      </c>
      <c r="G37" s="180">
        <f>G99*'01_Вводные'!$H$268</f>
        <v/>
      </c>
      <c r="H37" s="180">
        <f>H99*'01_Вводные'!$H$269</f>
        <v/>
      </c>
      <c r="I37" s="180">
        <f>I99*'01_Вводные'!$H$270</f>
        <v/>
      </c>
      <c r="J37" s="180">
        <f>J99*'01_Вводные'!$H$271</f>
        <v/>
      </c>
      <c r="K37" s="180">
        <f>K99*'01_Вводные'!$H$272</f>
        <v/>
      </c>
      <c r="L37" s="180">
        <f>L99*'01_Вводные'!$H$273</f>
        <v/>
      </c>
      <c r="M37" s="180">
        <f>M99*'01_Вводные'!$H$274</f>
        <v/>
      </c>
      <c r="N37" s="180">
        <f>N99*'01_Вводные'!$H$275</f>
        <v/>
      </c>
      <c r="O37" s="180">
        <f>O99*'01_Вводные'!$H$276</f>
        <v/>
      </c>
      <c r="P37" s="180">
        <f>P99*'01_Вводные'!$H$277</f>
        <v/>
      </c>
      <c r="Q37" s="180">
        <f>Q99*'01_Вводные'!$H$278</f>
        <v/>
      </c>
      <c r="R37" s="180">
        <f>R99*'01_Вводные'!$H$279</f>
        <v/>
      </c>
      <c r="S37" s="180">
        <f>S99*'01_Вводные'!$H$280</f>
        <v/>
      </c>
      <c r="T37" s="180">
        <f>T99*'01_Вводные'!$H$281</f>
        <v/>
      </c>
      <c r="U37" s="180">
        <f>U99*'01_Вводные'!$H$282</f>
        <v/>
      </c>
      <c r="W37" s="182">
        <f>SUMPRODUCT($B$22:$U$22,B99:U99)</f>
        <v/>
      </c>
      <c r="X37" s="182">
        <f>SUMPRODUCT($B$22:$U$22,B67:U67)</f>
        <v/>
      </c>
    </row>
    <row r="38" ht="15.75" customHeight="1" s="194">
      <c r="A38" s="178" t="inlineStr">
        <is>
          <t>15</t>
        </is>
      </c>
      <c r="B38" s="180">
        <f>B100*'01_Вводные'!$H$263</f>
        <v/>
      </c>
      <c r="C38" s="180">
        <f>C100*'01_Вводные'!$H$264</f>
        <v/>
      </c>
      <c r="D38" s="180">
        <f>D100*'01_Вводные'!$H$265</f>
        <v/>
      </c>
      <c r="E38" s="180">
        <f>E100*'01_Вводные'!$H$266</f>
        <v/>
      </c>
      <c r="F38" s="180">
        <f>F100*'01_Вводные'!$H$267</f>
        <v/>
      </c>
      <c r="G38" s="180">
        <f>G100*'01_Вводные'!$H$268</f>
        <v/>
      </c>
      <c r="H38" s="180">
        <f>H100*'01_Вводные'!$H$269</f>
        <v/>
      </c>
      <c r="I38" s="180">
        <f>I100*'01_Вводные'!$H$270</f>
        <v/>
      </c>
      <c r="J38" s="180">
        <f>J100*'01_Вводные'!$H$271</f>
        <v/>
      </c>
      <c r="K38" s="180">
        <f>K100*'01_Вводные'!$H$272</f>
        <v/>
      </c>
      <c r="L38" s="180">
        <f>L100*'01_Вводные'!$H$273</f>
        <v/>
      </c>
      <c r="M38" s="180">
        <f>M100*'01_Вводные'!$H$274</f>
        <v/>
      </c>
      <c r="N38" s="180">
        <f>N100*'01_Вводные'!$H$275</f>
        <v/>
      </c>
      <c r="O38" s="180">
        <f>O100*'01_Вводные'!$H$276</f>
        <v/>
      </c>
      <c r="P38" s="180">
        <f>P100*'01_Вводные'!$H$277</f>
        <v/>
      </c>
      <c r="Q38" s="180">
        <f>Q100*'01_Вводные'!$H$278</f>
        <v/>
      </c>
      <c r="R38" s="180">
        <f>R100*'01_Вводные'!$H$279</f>
        <v/>
      </c>
      <c r="S38" s="180">
        <f>S100*'01_Вводные'!$H$280</f>
        <v/>
      </c>
      <c r="T38" s="180">
        <f>T100*'01_Вводные'!$H$281</f>
        <v/>
      </c>
      <c r="U38" s="180">
        <f>U100*'01_Вводные'!$H$282</f>
        <v/>
      </c>
      <c r="W38" s="182">
        <f>SUMPRODUCT($B$22:$U$22,B100:U100)</f>
        <v/>
      </c>
      <c r="X38" s="182">
        <f>SUMPRODUCT($B$22:$U$22,B68:U68)</f>
        <v/>
      </c>
    </row>
    <row r="39" ht="15.75" customHeight="1" s="194">
      <c r="A39" s="178" t="inlineStr">
        <is>
          <t>16</t>
        </is>
      </c>
      <c r="B39" s="180">
        <f>B101*'01_Вводные'!$H$263</f>
        <v/>
      </c>
      <c r="C39" s="180">
        <f>C101*'01_Вводные'!$H$264</f>
        <v/>
      </c>
      <c r="D39" s="180">
        <f>D101*'01_Вводные'!$H$265</f>
        <v/>
      </c>
      <c r="E39" s="180">
        <f>E101*'01_Вводные'!$H$266</f>
        <v/>
      </c>
      <c r="F39" s="180">
        <f>F101*'01_Вводные'!$H$267</f>
        <v/>
      </c>
      <c r="G39" s="180">
        <f>G101*'01_Вводные'!$H$268</f>
        <v/>
      </c>
      <c r="H39" s="180">
        <f>H101*'01_Вводные'!$H$269</f>
        <v/>
      </c>
      <c r="I39" s="180">
        <f>I101*'01_Вводные'!$H$270</f>
        <v/>
      </c>
      <c r="J39" s="180">
        <f>J101*'01_Вводные'!$H$271</f>
        <v/>
      </c>
      <c r="K39" s="180">
        <f>K101*'01_Вводные'!$H$272</f>
        <v/>
      </c>
      <c r="L39" s="180">
        <f>L101*'01_Вводные'!$H$273</f>
        <v/>
      </c>
      <c r="M39" s="180">
        <f>M101*'01_Вводные'!$H$274</f>
        <v/>
      </c>
      <c r="N39" s="180">
        <f>N101*'01_Вводные'!$H$275</f>
        <v/>
      </c>
      <c r="O39" s="180">
        <f>O101*'01_Вводные'!$H$276</f>
        <v/>
      </c>
      <c r="P39" s="180">
        <f>P101*'01_Вводные'!$H$277</f>
        <v/>
      </c>
      <c r="Q39" s="180">
        <f>Q101*'01_Вводные'!$H$278</f>
        <v/>
      </c>
      <c r="R39" s="180">
        <f>R101*'01_Вводные'!$H$279</f>
        <v/>
      </c>
      <c r="S39" s="180">
        <f>S101*'01_Вводные'!$H$280</f>
        <v/>
      </c>
      <c r="T39" s="180">
        <f>T101*'01_Вводные'!$H$281</f>
        <v/>
      </c>
      <c r="U39" s="180">
        <f>U101*'01_Вводные'!$H$282</f>
        <v/>
      </c>
      <c r="W39" s="182">
        <f>SUMPRODUCT($B$22:$U$22,B101:U101)</f>
        <v/>
      </c>
      <c r="X39" s="182">
        <f>SUMPRODUCT($B$22:$U$22,B69:U69)</f>
        <v/>
      </c>
    </row>
    <row r="40" ht="15.75" customHeight="1" s="194">
      <c r="A40" s="178" t="inlineStr">
        <is>
          <t>17</t>
        </is>
      </c>
      <c r="B40" s="180">
        <f>B102*'01_Вводные'!$H$263</f>
        <v/>
      </c>
      <c r="C40" s="180">
        <f>C102*'01_Вводные'!$H$264</f>
        <v/>
      </c>
      <c r="D40" s="180">
        <f>D102*'01_Вводные'!$H$265</f>
        <v/>
      </c>
      <c r="E40" s="180">
        <f>E102*'01_Вводные'!$H$266</f>
        <v/>
      </c>
      <c r="F40" s="180">
        <f>F102*'01_Вводные'!$H$267</f>
        <v/>
      </c>
      <c r="G40" s="180">
        <f>G102*'01_Вводные'!$H$268</f>
        <v/>
      </c>
      <c r="H40" s="180">
        <f>H102*'01_Вводные'!$H$269</f>
        <v/>
      </c>
      <c r="I40" s="180">
        <f>I102*'01_Вводные'!$H$270</f>
        <v/>
      </c>
      <c r="J40" s="180">
        <f>J102*'01_Вводные'!$H$271</f>
        <v/>
      </c>
      <c r="K40" s="180">
        <f>K102*'01_Вводные'!$H$272</f>
        <v/>
      </c>
      <c r="L40" s="180">
        <f>L102*'01_Вводные'!$H$273</f>
        <v/>
      </c>
      <c r="M40" s="180">
        <f>M102*'01_Вводные'!$H$274</f>
        <v/>
      </c>
      <c r="N40" s="180">
        <f>N102*'01_Вводные'!$H$275</f>
        <v/>
      </c>
      <c r="O40" s="180">
        <f>O102*'01_Вводные'!$H$276</f>
        <v/>
      </c>
      <c r="P40" s="180">
        <f>P102*'01_Вводные'!$H$277</f>
        <v/>
      </c>
      <c r="Q40" s="180">
        <f>Q102*'01_Вводные'!$H$278</f>
        <v/>
      </c>
      <c r="R40" s="180">
        <f>R102*'01_Вводные'!$H$279</f>
        <v/>
      </c>
      <c r="S40" s="180">
        <f>S102*'01_Вводные'!$H$280</f>
        <v/>
      </c>
      <c r="T40" s="180">
        <f>T102*'01_Вводные'!$H$281</f>
        <v/>
      </c>
      <c r="U40" s="180">
        <f>U102*'01_Вводные'!$H$282</f>
        <v/>
      </c>
      <c r="W40" s="182">
        <f>SUMPRODUCT($B$22:$U$22,B102:U102)</f>
        <v/>
      </c>
      <c r="X40" s="182">
        <f>SUMPRODUCT($B$22:$U$22,B70:U70)</f>
        <v/>
      </c>
    </row>
    <row r="41" ht="15.75" customHeight="1" s="194">
      <c r="A41" s="178" t="inlineStr">
        <is>
          <t>18</t>
        </is>
      </c>
      <c r="B41" s="180">
        <f>B103*'01_Вводные'!$H$263</f>
        <v/>
      </c>
      <c r="C41" s="180">
        <f>C103*'01_Вводные'!$H$264</f>
        <v/>
      </c>
      <c r="D41" s="180">
        <f>D103*'01_Вводные'!$H$265</f>
        <v/>
      </c>
      <c r="E41" s="180">
        <f>E103*'01_Вводные'!$H$266</f>
        <v/>
      </c>
      <c r="F41" s="180">
        <f>F103*'01_Вводные'!$H$267</f>
        <v/>
      </c>
      <c r="G41" s="180">
        <f>G103*'01_Вводные'!$H$268</f>
        <v/>
      </c>
      <c r="H41" s="180">
        <f>H103*'01_Вводные'!$H$269</f>
        <v/>
      </c>
      <c r="I41" s="180">
        <f>I103*'01_Вводные'!$H$270</f>
        <v/>
      </c>
      <c r="J41" s="180">
        <f>J103*'01_Вводные'!$H$271</f>
        <v/>
      </c>
      <c r="K41" s="180">
        <f>K103*'01_Вводные'!$H$272</f>
        <v/>
      </c>
      <c r="L41" s="180">
        <f>L103*'01_Вводные'!$H$273</f>
        <v/>
      </c>
      <c r="M41" s="180">
        <f>M103*'01_Вводные'!$H$274</f>
        <v/>
      </c>
      <c r="N41" s="180">
        <f>N103*'01_Вводные'!$H$275</f>
        <v/>
      </c>
      <c r="O41" s="180">
        <f>O103*'01_Вводные'!$H$276</f>
        <v/>
      </c>
      <c r="P41" s="180">
        <f>P103*'01_Вводные'!$H$277</f>
        <v/>
      </c>
      <c r="Q41" s="180">
        <f>Q103*'01_Вводные'!$H$278</f>
        <v/>
      </c>
      <c r="R41" s="180">
        <f>R103*'01_Вводные'!$H$279</f>
        <v/>
      </c>
      <c r="S41" s="180">
        <f>S103*'01_Вводные'!$H$280</f>
        <v/>
      </c>
      <c r="T41" s="180">
        <f>T103*'01_Вводные'!$H$281</f>
        <v/>
      </c>
      <c r="U41" s="180">
        <f>U103*'01_Вводные'!$H$282</f>
        <v/>
      </c>
      <c r="W41" s="182">
        <f>SUMPRODUCT($B$22:$U$22,B103:U103)</f>
        <v/>
      </c>
      <c r="X41" s="182">
        <f>SUMPRODUCT($B$22:$U$22,B71:U71)</f>
        <v/>
      </c>
    </row>
    <row r="42" ht="15.75" customHeight="1" s="194">
      <c r="A42" s="178" t="inlineStr">
        <is>
          <t>19</t>
        </is>
      </c>
      <c r="B42" s="180">
        <f>B104*'01_Вводные'!$H$263</f>
        <v/>
      </c>
      <c r="C42" s="180">
        <f>C104*'01_Вводные'!$H$264</f>
        <v/>
      </c>
      <c r="D42" s="180">
        <f>D104*'01_Вводные'!$H$265</f>
        <v/>
      </c>
      <c r="E42" s="180">
        <f>E104*'01_Вводные'!$H$266</f>
        <v/>
      </c>
      <c r="F42" s="180">
        <f>F104*'01_Вводные'!$H$267</f>
        <v/>
      </c>
      <c r="G42" s="180">
        <f>G104*'01_Вводные'!$H$268</f>
        <v/>
      </c>
      <c r="H42" s="180">
        <f>H104*'01_Вводные'!$H$269</f>
        <v/>
      </c>
      <c r="I42" s="180">
        <f>I104*'01_Вводные'!$H$270</f>
        <v/>
      </c>
      <c r="J42" s="180">
        <f>J104*'01_Вводные'!$H$271</f>
        <v/>
      </c>
      <c r="K42" s="180">
        <f>K104*'01_Вводные'!$H$272</f>
        <v/>
      </c>
      <c r="L42" s="180">
        <f>L104*'01_Вводные'!$H$273</f>
        <v/>
      </c>
      <c r="M42" s="180">
        <f>M104*'01_Вводные'!$H$274</f>
        <v/>
      </c>
      <c r="N42" s="180">
        <f>N104*'01_Вводные'!$H$275</f>
        <v/>
      </c>
      <c r="O42" s="180">
        <f>O104*'01_Вводные'!$H$276</f>
        <v/>
      </c>
      <c r="P42" s="180">
        <f>P104*'01_Вводные'!$H$277</f>
        <v/>
      </c>
      <c r="Q42" s="180">
        <f>Q104*'01_Вводные'!$H$278</f>
        <v/>
      </c>
      <c r="R42" s="180">
        <f>R104*'01_Вводные'!$H$279</f>
        <v/>
      </c>
      <c r="S42" s="180">
        <f>S104*'01_Вводные'!$H$280</f>
        <v/>
      </c>
      <c r="T42" s="180">
        <f>T104*'01_Вводные'!$H$281</f>
        <v/>
      </c>
      <c r="U42" s="180">
        <f>U104*'01_Вводные'!$H$282</f>
        <v/>
      </c>
      <c r="W42" s="182">
        <f>SUMPRODUCT($B$22:$U$22,B104:U104)</f>
        <v/>
      </c>
      <c r="X42" s="182">
        <f>SUMPRODUCT($B$22:$U$22,B72:U72)</f>
        <v/>
      </c>
    </row>
    <row r="43" ht="15.75" customHeight="1" s="194">
      <c r="A43" s="178" t="inlineStr">
        <is>
          <t>20</t>
        </is>
      </c>
      <c r="B43" s="180">
        <f>B105*'01_Вводные'!$H$263</f>
        <v/>
      </c>
      <c r="C43" s="180">
        <f>C105*'01_Вводные'!$H$264</f>
        <v/>
      </c>
      <c r="D43" s="180">
        <f>D105*'01_Вводные'!$H$265</f>
        <v/>
      </c>
      <c r="E43" s="180">
        <f>E105*'01_Вводные'!$H$266</f>
        <v/>
      </c>
      <c r="F43" s="180">
        <f>F105*'01_Вводные'!$H$267</f>
        <v/>
      </c>
      <c r="G43" s="180">
        <f>G105*'01_Вводные'!$H$268</f>
        <v/>
      </c>
      <c r="H43" s="180">
        <f>H105*'01_Вводные'!$H$269</f>
        <v/>
      </c>
      <c r="I43" s="180">
        <f>I105*'01_Вводные'!$H$270</f>
        <v/>
      </c>
      <c r="J43" s="180">
        <f>J105*'01_Вводные'!$H$271</f>
        <v/>
      </c>
      <c r="K43" s="180">
        <f>K105*'01_Вводные'!$H$272</f>
        <v/>
      </c>
      <c r="L43" s="180">
        <f>L105*'01_Вводные'!$H$273</f>
        <v/>
      </c>
      <c r="M43" s="180">
        <f>M105*'01_Вводные'!$H$274</f>
        <v/>
      </c>
      <c r="N43" s="180">
        <f>N105*'01_Вводные'!$H$275</f>
        <v/>
      </c>
      <c r="O43" s="180">
        <f>O105*'01_Вводные'!$H$276</f>
        <v/>
      </c>
      <c r="P43" s="180">
        <f>P105*'01_Вводные'!$H$277</f>
        <v/>
      </c>
      <c r="Q43" s="180">
        <f>Q105*'01_Вводные'!$H$278</f>
        <v/>
      </c>
      <c r="R43" s="180">
        <f>R105*'01_Вводные'!$H$279</f>
        <v/>
      </c>
      <c r="S43" s="180">
        <f>S105*'01_Вводные'!$H$280</f>
        <v/>
      </c>
      <c r="T43" s="180">
        <f>T105*'01_Вводные'!$H$281</f>
        <v/>
      </c>
      <c r="U43" s="180">
        <f>U105*'01_Вводные'!$H$282</f>
        <v/>
      </c>
      <c r="W43" s="182">
        <f>SUMPRODUCT($B$22:$U$22,B105:U105)</f>
        <v/>
      </c>
      <c r="X43" s="182">
        <f>SUMPRODUCT($B$22:$U$22,B73:U73)</f>
        <v/>
      </c>
    </row>
    <row r="44" ht="15.75" customHeight="1" s="194">
      <c r="A44" s="178" t="inlineStr">
        <is>
          <t>21</t>
        </is>
      </c>
      <c r="B44" s="180">
        <f>B106*'01_Вводные'!$H$263</f>
        <v/>
      </c>
      <c r="C44" s="180">
        <f>C106*'01_Вводные'!$H$264</f>
        <v/>
      </c>
      <c r="D44" s="180">
        <f>D106*'01_Вводные'!$H$265</f>
        <v/>
      </c>
      <c r="E44" s="180">
        <f>E106*'01_Вводные'!$H$266</f>
        <v/>
      </c>
      <c r="F44" s="180">
        <f>F106*'01_Вводные'!$H$267</f>
        <v/>
      </c>
      <c r="G44" s="180">
        <f>G106*'01_Вводные'!$H$268</f>
        <v/>
      </c>
      <c r="H44" s="180">
        <f>H106*'01_Вводные'!$H$269</f>
        <v/>
      </c>
      <c r="I44" s="180">
        <f>I106*'01_Вводные'!$H$270</f>
        <v/>
      </c>
      <c r="J44" s="180">
        <f>J106*'01_Вводные'!$H$271</f>
        <v/>
      </c>
      <c r="K44" s="180">
        <f>K106*'01_Вводные'!$H$272</f>
        <v/>
      </c>
      <c r="L44" s="180">
        <f>L106*'01_Вводные'!$H$273</f>
        <v/>
      </c>
      <c r="M44" s="180">
        <f>M106*'01_Вводные'!$H$274</f>
        <v/>
      </c>
      <c r="N44" s="180">
        <f>N106*'01_Вводные'!$H$275</f>
        <v/>
      </c>
      <c r="O44" s="180">
        <f>O106*'01_Вводные'!$H$276</f>
        <v/>
      </c>
      <c r="P44" s="180">
        <f>P106*'01_Вводные'!$H$277</f>
        <v/>
      </c>
      <c r="Q44" s="180">
        <f>Q106*'01_Вводные'!$H$278</f>
        <v/>
      </c>
      <c r="R44" s="180">
        <f>R106*'01_Вводные'!$H$279</f>
        <v/>
      </c>
      <c r="S44" s="180">
        <f>S106*'01_Вводные'!$H$280</f>
        <v/>
      </c>
      <c r="T44" s="180">
        <f>T106*'01_Вводные'!$H$281</f>
        <v/>
      </c>
      <c r="U44" s="180">
        <f>U106*'01_Вводные'!$H$282</f>
        <v/>
      </c>
      <c r="W44" s="182">
        <f>SUMPRODUCT($B$22:$U$22,B106:U106)</f>
        <v/>
      </c>
      <c r="X44" s="182">
        <f>SUMPRODUCT($B$22:$U$22,B74:U74)</f>
        <v/>
      </c>
    </row>
    <row r="45" ht="15.75" customHeight="1" s="194">
      <c r="A45" s="178" t="inlineStr">
        <is>
          <t>22</t>
        </is>
      </c>
      <c r="B45" s="180">
        <f>B107*'01_Вводные'!$H$263</f>
        <v/>
      </c>
      <c r="C45" s="180">
        <f>C107*'01_Вводные'!$H$264</f>
        <v/>
      </c>
      <c r="D45" s="180">
        <f>D107*'01_Вводные'!$H$265</f>
        <v/>
      </c>
      <c r="E45" s="180">
        <f>E107*'01_Вводные'!$H$266</f>
        <v/>
      </c>
      <c r="F45" s="180">
        <f>F107*'01_Вводные'!$H$267</f>
        <v/>
      </c>
      <c r="G45" s="180">
        <f>G107*'01_Вводные'!$H$268</f>
        <v/>
      </c>
      <c r="H45" s="180">
        <f>H107*'01_Вводные'!$H$269</f>
        <v/>
      </c>
      <c r="I45" s="180">
        <f>I107*'01_Вводные'!$H$270</f>
        <v/>
      </c>
      <c r="J45" s="180">
        <f>J107*'01_Вводные'!$H$271</f>
        <v/>
      </c>
      <c r="K45" s="180">
        <f>K107*'01_Вводные'!$H$272</f>
        <v/>
      </c>
      <c r="L45" s="180">
        <f>L107*'01_Вводные'!$H$273</f>
        <v/>
      </c>
      <c r="M45" s="180">
        <f>M107*'01_Вводные'!$H$274</f>
        <v/>
      </c>
      <c r="N45" s="180">
        <f>N107*'01_Вводные'!$H$275</f>
        <v/>
      </c>
      <c r="O45" s="180">
        <f>O107*'01_Вводные'!$H$276</f>
        <v/>
      </c>
      <c r="P45" s="180">
        <f>P107*'01_Вводные'!$H$277</f>
        <v/>
      </c>
      <c r="Q45" s="180">
        <f>Q107*'01_Вводные'!$H$278</f>
        <v/>
      </c>
      <c r="R45" s="180">
        <f>R107*'01_Вводные'!$H$279</f>
        <v/>
      </c>
      <c r="S45" s="180">
        <f>S107*'01_Вводные'!$H$280</f>
        <v/>
      </c>
      <c r="T45" s="180">
        <f>T107*'01_Вводные'!$H$281</f>
        <v/>
      </c>
      <c r="U45" s="180">
        <f>U107*'01_Вводные'!$H$282</f>
        <v/>
      </c>
      <c r="W45" s="182">
        <f>SUMPRODUCT($B$22:$U$22,B107:U107)</f>
        <v/>
      </c>
      <c r="X45" s="182">
        <f>SUMPRODUCT($B$22:$U$22,B75:U75)</f>
        <v/>
      </c>
    </row>
    <row r="46" ht="15.75" customHeight="1" s="194">
      <c r="A46" s="178" t="inlineStr">
        <is>
          <t>23</t>
        </is>
      </c>
      <c r="B46" s="180">
        <f>B108*'01_Вводные'!$H$263</f>
        <v/>
      </c>
      <c r="C46" s="180">
        <f>C108*'01_Вводные'!$H$264</f>
        <v/>
      </c>
      <c r="D46" s="180">
        <f>D108*'01_Вводные'!$H$265</f>
        <v/>
      </c>
      <c r="E46" s="180">
        <f>E108*'01_Вводные'!$H$266</f>
        <v/>
      </c>
      <c r="F46" s="180">
        <f>F108*'01_Вводные'!$H$267</f>
        <v/>
      </c>
      <c r="G46" s="180">
        <f>G108*'01_Вводные'!$H$268</f>
        <v/>
      </c>
      <c r="H46" s="180">
        <f>H108*'01_Вводные'!$H$269</f>
        <v/>
      </c>
      <c r="I46" s="180">
        <f>I108*'01_Вводные'!$H$270</f>
        <v/>
      </c>
      <c r="J46" s="180">
        <f>J108*'01_Вводные'!$H$271</f>
        <v/>
      </c>
      <c r="K46" s="180">
        <f>K108*'01_Вводные'!$H$272</f>
        <v/>
      </c>
      <c r="L46" s="180">
        <f>L108*'01_Вводные'!$H$273</f>
        <v/>
      </c>
      <c r="M46" s="180">
        <f>M108*'01_Вводные'!$H$274</f>
        <v/>
      </c>
      <c r="N46" s="180">
        <f>N108*'01_Вводные'!$H$275</f>
        <v/>
      </c>
      <c r="O46" s="180">
        <f>O108*'01_Вводные'!$H$276</f>
        <v/>
      </c>
      <c r="P46" s="180">
        <f>P108*'01_Вводные'!$H$277</f>
        <v/>
      </c>
      <c r="Q46" s="180">
        <f>Q108*'01_Вводные'!$H$278</f>
        <v/>
      </c>
      <c r="R46" s="180">
        <f>R108*'01_Вводные'!$H$279</f>
        <v/>
      </c>
      <c r="S46" s="180">
        <f>S108*'01_Вводные'!$H$280</f>
        <v/>
      </c>
      <c r="T46" s="180">
        <f>T108*'01_Вводные'!$H$281</f>
        <v/>
      </c>
      <c r="U46" s="180">
        <f>U108*'01_Вводные'!$H$282</f>
        <v/>
      </c>
      <c r="W46" s="182">
        <f>SUMPRODUCT($B$22:$U$22,B108:U108)</f>
        <v/>
      </c>
      <c r="X46" s="182">
        <f>SUMPRODUCT($B$22:$U$22,B76:U76)</f>
        <v/>
      </c>
    </row>
    <row r="47" ht="15.75" customHeight="1" s="194">
      <c r="A47" s="178" t="inlineStr">
        <is>
          <t>24</t>
        </is>
      </c>
      <c r="B47" s="180">
        <f>B109*'01_Вводные'!$H$263</f>
        <v/>
      </c>
      <c r="C47" s="180">
        <f>C109*'01_Вводные'!$H$264</f>
        <v/>
      </c>
      <c r="D47" s="180">
        <f>D109*'01_Вводные'!$H$265</f>
        <v/>
      </c>
      <c r="E47" s="180">
        <f>E109*'01_Вводные'!$H$266</f>
        <v/>
      </c>
      <c r="F47" s="180">
        <f>F109*'01_Вводные'!$H$267</f>
        <v/>
      </c>
      <c r="G47" s="180">
        <f>G109*'01_Вводные'!$H$268</f>
        <v/>
      </c>
      <c r="H47" s="180">
        <f>H109*'01_Вводные'!$H$269</f>
        <v/>
      </c>
      <c r="I47" s="180">
        <f>I109*'01_Вводные'!$H$270</f>
        <v/>
      </c>
      <c r="J47" s="180">
        <f>J109*'01_Вводные'!$H$271</f>
        <v/>
      </c>
      <c r="K47" s="180">
        <f>K109*'01_Вводные'!$H$272</f>
        <v/>
      </c>
      <c r="L47" s="180">
        <f>L109*'01_Вводные'!$H$273</f>
        <v/>
      </c>
      <c r="M47" s="180">
        <f>M109*'01_Вводные'!$H$274</f>
        <v/>
      </c>
      <c r="N47" s="180">
        <f>N109*'01_Вводные'!$H$275</f>
        <v/>
      </c>
      <c r="O47" s="180">
        <f>O109*'01_Вводные'!$H$276</f>
        <v/>
      </c>
      <c r="P47" s="180">
        <f>P109*'01_Вводные'!$H$277</f>
        <v/>
      </c>
      <c r="Q47" s="180">
        <f>Q109*'01_Вводные'!$H$278</f>
        <v/>
      </c>
      <c r="R47" s="180">
        <f>R109*'01_Вводные'!$H$279</f>
        <v/>
      </c>
      <c r="S47" s="180">
        <f>S109*'01_Вводные'!$H$280</f>
        <v/>
      </c>
      <c r="T47" s="180">
        <f>T109*'01_Вводные'!$H$281</f>
        <v/>
      </c>
      <c r="U47" s="180">
        <f>U109*'01_Вводные'!$H$282</f>
        <v/>
      </c>
      <c r="W47" s="182">
        <f>SUMPRODUCT($B$22:$U$22,B109:U109)</f>
        <v/>
      </c>
      <c r="X47" s="182">
        <f>SUMPRODUCT($B$22:$U$22,B77:U77)</f>
        <v/>
      </c>
    </row>
    <row r="48" ht="15.75" customHeight="1" s="194">
      <c r="A48" s="178" t="inlineStr">
        <is>
          <t>25+</t>
        </is>
      </c>
      <c r="B48" s="180">
        <f>B110*'01_Вводные'!$H$263</f>
        <v/>
      </c>
      <c r="C48" s="180">
        <f>C110*'01_Вводные'!$H$264</f>
        <v/>
      </c>
      <c r="D48" s="180">
        <f>D110*'01_Вводные'!$H$265</f>
        <v/>
      </c>
      <c r="E48" s="180">
        <f>E110*'01_Вводные'!$H$266</f>
        <v/>
      </c>
      <c r="F48" s="180">
        <f>F110*'01_Вводные'!$H$267</f>
        <v/>
      </c>
      <c r="G48" s="180">
        <f>G110*'01_Вводные'!$H$268</f>
        <v/>
      </c>
      <c r="H48" s="180">
        <f>H110*'01_Вводные'!$H$269</f>
        <v/>
      </c>
      <c r="I48" s="180">
        <f>I110*'01_Вводные'!$H$270</f>
        <v/>
      </c>
      <c r="J48" s="180">
        <f>J110*'01_Вводные'!$H$271</f>
        <v/>
      </c>
      <c r="K48" s="180">
        <f>K110*'01_Вводные'!$H$272</f>
        <v/>
      </c>
      <c r="L48" s="180">
        <f>L110*'01_Вводные'!$H$273</f>
        <v/>
      </c>
      <c r="M48" s="180">
        <f>M110*'01_Вводные'!$H$274</f>
        <v/>
      </c>
      <c r="N48" s="180">
        <f>N110*'01_Вводные'!$H$275</f>
        <v/>
      </c>
      <c r="O48" s="180">
        <f>O110*'01_Вводные'!$H$276</f>
        <v/>
      </c>
      <c r="P48" s="180">
        <f>P110*'01_Вводные'!$H$277</f>
        <v/>
      </c>
      <c r="Q48" s="180">
        <f>Q110*'01_Вводные'!$H$278</f>
        <v/>
      </c>
      <c r="R48" s="180">
        <f>R110*'01_Вводные'!$H$279</f>
        <v/>
      </c>
      <c r="S48" s="180">
        <f>S110*'01_Вводные'!$H$280</f>
        <v/>
      </c>
      <c r="T48" s="180">
        <f>T110*'01_Вводные'!$H$281</f>
        <v/>
      </c>
      <c r="U48" s="180">
        <f>U110*'01_Вводные'!$H$282</f>
        <v/>
      </c>
      <c r="W48" s="182">
        <f>SUMPRODUCT($B$22:$U$22,B110:U110)</f>
        <v/>
      </c>
      <c r="X48" s="182">
        <f>SUMPRODUCT($B$22:$U$22,B78:U78)</f>
        <v/>
      </c>
    </row>
    <row r="49" ht="15.75" customHeight="1" s="194"/>
    <row r="50" ht="15.75" customHeight="1" s="194"/>
    <row r="51" ht="15.75" customHeight="1" s="194"/>
    <row r="52" ht="15.75" customHeight="1" s="194"/>
    <row r="53" ht="15.75" customHeight="1" s="194"/>
    <row r="54" ht="15.75" customHeight="1" s="194">
      <c r="A54" s="178" t="inlineStr">
        <is>
          <t>1</t>
        </is>
      </c>
      <c r="B54" s="180">
        <f>'01_Вводные'!$I$263</f>
        <v/>
      </c>
      <c r="C54" s="180">
        <f>'01_Вводные'!$I$264</f>
        <v/>
      </c>
      <c r="D54" s="180">
        <f>'01_Вводные'!$I$265</f>
        <v/>
      </c>
      <c r="E54" s="180">
        <f>'01_Вводные'!$I$266</f>
        <v/>
      </c>
      <c r="F54" s="180">
        <f>'01_Вводные'!$I$267</f>
        <v/>
      </c>
      <c r="G54" s="180">
        <f>'01_Вводные'!$I$268</f>
        <v/>
      </c>
      <c r="H54" s="180">
        <f>'01_Вводные'!$I$269</f>
        <v/>
      </c>
      <c r="I54" s="180">
        <f>'01_Вводные'!$I$270</f>
        <v/>
      </c>
      <c r="J54" s="180">
        <f>'01_Вводные'!$I$271</f>
        <v/>
      </c>
      <c r="K54" s="180">
        <f>'01_Вводные'!$I$272</f>
        <v/>
      </c>
      <c r="L54" s="180">
        <f>'01_Вводные'!$I$273</f>
        <v/>
      </c>
      <c r="M54" s="180">
        <f>'01_Вводные'!$I$274</f>
        <v/>
      </c>
      <c r="N54" s="180">
        <f>'01_Вводные'!$I$275</f>
        <v/>
      </c>
      <c r="O54" s="180">
        <f>'01_Вводные'!$I$276</f>
        <v/>
      </c>
      <c r="P54" s="180">
        <f>'01_Вводные'!$I$277</f>
        <v/>
      </c>
      <c r="Q54" s="180">
        <f>'01_Вводные'!$I$278</f>
        <v/>
      </c>
      <c r="R54" s="180">
        <f>'01_Вводные'!$I$279</f>
        <v/>
      </c>
      <c r="S54" s="180">
        <f>'01_Вводные'!$I$280</f>
        <v/>
      </c>
      <c r="T54" s="180">
        <f>'01_Вводные'!$I$281</f>
        <v/>
      </c>
      <c r="U54" s="180">
        <f>'01_Вводные'!$I$282</f>
        <v/>
      </c>
    </row>
    <row r="55" ht="15.75" customHeight="1" s="194">
      <c r="A55" s="178" t="inlineStr">
        <is>
          <t>2</t>
        </is>
      </c>
      <c r="B55" s="180">
        <f>'01_Вводные'!$I$263</f>
        <v/>
      </c>
      <c r="C55" s="180">
        <f>'01_Вводные'!$I$264</f>
        <v/>
      </c>
      <c r="D55" s="180">
        <f>'01_Вводные'!$I$265</f>
        <v/>
      </c>
      <c r="E55" s="180">
        <f>'01_Вводные'!$I$266</f>
        <v/>
      </c>
      <c r="F55" s="180">
        <f>'01_Вводные'!$I$267</f>
        <v/>
      </c>
      <c r="G55" s="180">
        <f>'01_Вводные'!$I$268</f>
        <v/>
      </c>
      <c r="H55" s="180">
        <f>'01_Вводные'!$I$269</f>
        <v/>
      </c>
      <c r="I55" s="180">
        <f>'01_Вводные'!$I$270</f>
        <v/>
      </c>
      <c r="J55" s="180">
        <f>'01_Вводные'!$I$271</f>
        <v/>
      </c>
      <c r="K55" s="180">
        <f>'01_Вводные'!$I$272</f>
        <v/>
      </c>
      <c r="L55" s="180">
        <f>'01_Вводные'!$I$273</f>
        <v/>
      </c>
      <c r="M55" s="180">
        <f>'01_Вводные'!$I$274</f>
        <v/>
      </c>
      <c r="N55" s="180">
        <f>'01_Вводные'!$I$275</f>
        <v/>
      </c>
      <c r="O55" s="180">
        <f>'01_Вводные'!$I$276</f>
        <v/>
      </c>
      <c r="P55" s="180">
        <f>'01_Вводные'!$I$277</f>
        <v/>
      </c>
      <c r="Q55" s="180">
        <f>'01_Вводные'!$I$278</f>
        <v/>
      </c>
      <c r="R55" s="180">
        <f>'01_Вводные'!$I$279</f>
        <v/>
      </c>
      <c r="S55" s="180">
        <f>'01_Вводные'!$I$280</f>
        <v/>
      </c>
      <c r="T55" s="180">
        <f>'01_Вводные'!$I$281</f>
        <v/>
      </c>
      <c r="U55" s="180">
        <f>'01_Вводные'!$I$282</f>
        <v/>
      </c>
    </row>
    <row r="56" ht="15.75" customHeight="1" s="194">
      <c r="A56" s="178" t="inlineStr">
        <is>
          <t>3</t>
        </is>
      </c>
      <c r="B56" s="180">
        <f>'01_Вводные'!$I$263</f>
        <v/>
      </c>
      <c r="C56" s="180">
        <f>'01_Вводные'!$I$264</f>
        <v/>
      </c>
      <c r="D56" s="180">
        <f>'01_Вводные'!$I$265</f>
        <v/>
      </c>
      <c r="E56" s="180">
        <f>'01_Вводные'!$I$266</f>
        <v/>
      </c>
      <c r="F56" s="180">
        <f>'01_Вводные'!$I$267</f>
        <v/>
      </c>
      <c r="G56" s="180">
        <f>'01_Вводные'!$I$268</f>
        <v/>
      </c>
      <c r="H56" s="180">
        <f>'01_Вводные'!$I$269</f>
        <v/>
      </c>
      <c r="I56" s="180">
        <f>'01_Вводные'!$I$270</f>
        <v/>
      </c>
      <c r="J56" s="180">
        <f>'01_Вводные'!$I$271</f>
        <v/>
      </c>
      <c r="K56" s="180">
        <f>'01_Вводные'!$I$272</f>
        <v/>
      </c>
      <c r="L56" s="180">
        <f>'01_Вводные'!$I$273</f>
        <v/>
      </c>
      <c r="M56" s="180">
        <f>'01_Вводные'!$I$274</f>
        <v/>
      </c>
      <c r="N56" s="180">
        <f>'01_Вводные'!$I$275</f>
        <v/>
      </c>
      <c r="O56" s="180">
        <f>'01_Вводные'!$I$276</f>
        <v/>
      </c>
      <c r="P56" s="180">
        <f>'01_Вводные'!$I$277</f>
        <v/>
      </c>
      <c r="Q56" s="180">
        <f>'01_Вводные'!$I$278</f>
        <v/>
      </c>
      <c r="R56" s="180">
        <f>'01_Вводные'!$I$279</f>
        <v/>
      </c>
      <c r="S56" s="180">
        <f>'01_Вводные'!$I$280</f>
        <v/>
      </c>
      <c r="T56" s="180">
        <f>'01_Вводные'!$I$281</f>
        <v/>
      </c>
      <c r="U56" s="180">
        <f>'01_Вводные'!$I$282</f>
        <v/>
      </c>
    </row>
    <row r="57" ht="15.75" customHeight="1" s="194">
      <c r="A57" s="178" t="inlineStr">
        <is>
          <t>4</t>
        </is>
      </c>
      <c r="B57" s="180">
        <f>'01_Вводные'!$I$263</f>
        <v/>
      </c>
      <c r="C57" s="180">
        <f>'01_Вводные'!$I$264</f>
        <v/>
      </c>
      <c r="D57" s="180">
        <f>'01_Вводные'!$I$265</f>
        <v/>
      </c>
      <c r="E57" s="180">
        <f>'01_Вводные'!$I$266</f>
        <v/>
      </c>
      <c r="F57" s="180">
        <f>'01_Вводные'!$I$267</f>
        <v/>
      </c>
      <c r="G57" s="180">
        <f>'01_Вводные'!$I$268</f>
        <v/>
      </c>
      <c r="H57" s="180">
        <f>'01_Вводные'!$I$269</f>
        <v/>
      </c>
      <c r="I57" s="180">
        <f>'01_Вводные'!$I$270</f>
        <v/>
      </c>
      <c r="J57" s="180">
        <f>'01_Вводные'!$I$271</f>
        <v/>
      </c>
      <c r="K57" s="180">
        <f>'01_Вводные'!$I$272</f>
        <v/>
      </c>
      <c r="L57" s="180">
        <f>'01_Вводные'!$I$273</f>
        <v/>
      </c>
      <c r="M57" s="180">
        <f>'01_Вводные'!$I$274</f>
        <v/>
      </c>
      <c r="N57" s="180">
        <f>'01_Вводные'!$I$275</f>
        <v/>
      </c>
      <c r="O57" s="180">
        <f>'01_Вводные'!$I$276</f>
        <v/>
      </c>
      <c r="P57" s="180">
        <f>'01_Вводные'!$I$277</f>
        <v/>
      </c>
      <c r="Q57" s="180">
        <f>'01_Вводные'!$I$278</f>
        <v/>
      </c>
      <c r="R57" s="180">
        <f>'01_Вводные'!$I$279</f>
        <v/>
      </c>
      <c r="S57" s="180">
        <f>'01_Вводные'!$I$280</f>
        <v/>
      </c>
      <c r="T57" s="180">
        <f>'01_Вводные'!$I$281</f>
        <v/>
      </c>
      <c r="U57" s="180">
        <f>'01_Вводные'!$I$282</f>
        <v/>
      </c>
    </row>
    <row r="58" ht="15.75" customHeight="1" s="194">
      <c r="A58" s="178" t="inlineStr">
        <is>
          <t>5</t>
        </is>
      </c>
      <c r="B58" s="180">
        <f>'01_Вводные'!$I$263</f>
        <v/>
      </c>
      <c r="C58" s="180">
        <f>'01_Вводные'!$I$264</f>
        <v/>
      </c>
      <c r="D58" s="180">
        <f>'01_Вводные'!$I$265</f>
        <v/>
      </c>
      <c r="E58" s="180">
        <f>'01_Вводные'!$I$266</f>
        <v/>
      </c>
      <c r="F58" s="180">
        <f>'01_Вводные'!$I$267</f>
        <v/>
      </c>
      <c r="G58" s="180">
        <f>'01_Вводные'!$I$268</f>
        <v/>
      </c>
      <c r="H58" s="180">
        <f>'01_Вводные'!$I$269</f>
        <v/>
      </c>
      <c r="I58" s="180">
        <f>'01_Вводные'!$I$270</f>
        <v/>
      </c>
      <c r="J58" s="180">
        <f>'01_Вводные'!$I$271</f>
        <v/>
      </c>
      <c r="K58" s="180">
        <f>'01_Вводные'!$I$272</f>
        <v/>
      </c>
      <c r="L58" s="180">
        <f>'01_Вводные'!$I$273</f>
        <v/>
      </c>
      <c r="M58" s="180">
        <f>'01_Вводные'!$I$274</f>
        <v/>
      </c>
      <c r="N58" s="180">
        <f>'01_Вводные'!$I$275</f>
        <v/>
      </c>
      <c r="O58" s="180">
        <f>'01_Вводные'!$I$276</f>
        <v/>
      </c>
      <c r="P58" s="180">
        <f>'01_Вводные'!$I$277</f>
        <v/>
      </c>
      <c r="Q58" s="180">
        <f>'01_Вводные'!$I$278</f>
        <v/>
      </c>
      <c r="R58" s="180">
        <f>'01_Вводные'!$I$279</f>
        <v/>
      </c>
      <c r="S58" s="180">
        <f>'01_Вводные'!$I$280</f>
        <v/>
      </c>
      <c r="T58" s="180">
        <f>'01_Вводные'!$I$281</f>
        <v/>
      </c>
      <c r="U58" s="180">
        <f>'01_Вводные'!$I$282</f>
        <v/>
      </c>
    </row>
    <row r="59" ht="15.75" customHeight="1" s="194">
      <c r="A59" s="178" t="inlineStr">
        <is>
          <t>6</t>
        </is>
      </c>
      <c r="B59" s="180">
        <f>'01_Вводные'!$I$263</f>
        <v/>
      </c>
      <c r="C59" s="180">
        <f>'01_Вводные'!$I$264</f>
        <v/>
      </c>
      <c r="D59" s="180">
        <f>'01_Вводные'!$I$265</f>
        <v/>
      </c>
      <c r="E59" s="180">
        <f>'01_Вводные'!$I$266</f>
        <v/>
      </c>
      <c r="F59" s="180">
        <f>'01_Вводные'!$I$267</f>
        <v/>
      </c>
      <c r="G59" s="180">
        <f>'01_Вводные'!$I$268</f>
        <v/>
      </c>
      <c r="H59" s="180">
        <f>'01_Вводные'!$I$269</f>
        <v/>
      </c>
      <c r="I59" s="180">
        <f>'01_Вводные'!$I$270</f>
        <v/>
      </c>
      <c r="J59" s="180">
        <f>'01_Вводные'!$I$271</f>
        <v/>
      </c>
      <c r="K59" s="180">
        <f>'01_Вводные'!$I$272</f>
        <v/>
      </c>
      <c r="L59" s="180">
        <f>'01_Вводные'!$I$273</f>
        <v/>
      </c>
      <c r="M59" s="180">
        <f>'01_Вводные'!$I$274</f>
        <v/>
      </c>
      <c r="N59" s="180">
        <f>'01_Вводные'!$I$275</f>
        <v/>
      </c>
      <c r="O59" s="180">
        <f>'01_Вводные'!$I$276</f>
        <v/>
      </c>
      <c r="P59" s="180">
        <f>'01_Вводные'!$I$277</f>
        <v/>
      </c>
      <c r="Q59" s="180">
        <f>'01_Вводные'!$I$278</f>
        <v/>
      </c>
      <c r="R59" s="180">
        <f>'01_Вводные'!$I$279</f>
        <v/>
      </c>
      <c r="S59" s="180">
        <f>'01_Вводные'!$I$280</f>
        <v/>
      </c>
      <c r="T59" s="180">
        <f>'01_Вводные'!$I$281</f>
        <v/>
      </c>
      <c r="U59" s="180">
        <f>'01_Вводные'!$I$282</f>
        <v/>
      </c>
    </row>
    <row r="60" ht="15.75" customHeight="1" s="194">
      <c r="A60" s="178" t="inlineStr">
        <is>
          <t>7</t>
        </is>
      </c>
      <c r="B60" s="180">
        <f>'01_Вводные'!$I$263</f>
        <v/>
      </c>
      <c r="C60" s="180">
        <f>'01_Вводные'!$I$264</f>
        <v/>
      </c>
      <c r="D60" s="180">
        <f>'01_Вводные'!$I$265</f>
        <v/>
      </c>
      <c r="E60" s="180">
        <f>'01_Вводные'!$I$266</f>
        <v/>
      </c>
      <c r="F60" s="180">
        <f>'01_Вводные'!$I$267</f>
        <v/>
      </c>
      <c r="G60" s="180">
        <f>'01_Вводные'!$I$268</f>
        <v/>
      </c>
      <c r="H60" s="180">
        <f>'01_Вводные'!$I$269</f>
        <v/>
      </c>
      <c r="I60" s="180">
        <f>'01_Вводные'!$I$270</f>
        <v/>
      </c>
      <c r="J60" s="180">
        <f>'01_Вводные'!$I$271</f>
        <v/>
      </c>
      <c r="K60" s="180">
        <f>'01_Вводные'!$I$272</f>
        <v/>
      </c>
      <c r="L60" s="180">
        <f>'01_Вводные'!$I$273</f>
        <v/>
      </c>
      <c r="M60" s="180">
        <f>'01_Вводные'!$I$274</f>
        <v/>
      </c>
      <c r="N60" s="180">
        <f>'01_Вводные'!$I$275</f>
        <v/>
      </c>
      <c r="O60" s="180">
        <f>'01_Вводные'!$I$276</f>
        <v/>
      </c>
      <c r="P60" s="180">
        <f>'01_Вводные'!$I$277</f>
        <v/>
      </c>
      <c r="Q60" s="180">
        <f>'01_Вводные'!$I$278</f>
        <v/>
      </c>
      <c r="R60" s="180">
        <f>'01_Вводные'!$I$279</f>
        <v/>
      </c>
      <c r="S60" s="180">
        <f>'01_Вводные'!$I$280</f>
        <v/>
      </c>
      <c r="T60" s="180">
        <f>'01_Вводные'!$I$281</f>
        <v/>
      </c>
      <c r="U60" s="180">
        <f>'01_Вводные'!$I$282</f>
        <v/>
      </c>
    </row>
    <row r="61" ht="15.75" customHeight="1" s="194">
      <c r="A61" s="178" t="inlineStr">
        <is>
          <t>8</t>
        </is>
      </c>
      <c r="B61" s="180">
        <f>'01_Вводные'!$I$263</f>
        <v/>
      </c>
      <c r="C61" s="180">
        <f>'01_Вводные'!$I$264</f>
        <v/>
      </c>
      <c r="D61" s="180">
        <f>'01_Вводные'!$I$265</f>
        <v/>
      </c>
      <c r="E61" s="180">
        <f>'01_Вводные'!$I$266</f>
        <v/>
      </c>
      <c r="F61" s="180">
        <f>'01_Вводные'!$I$267</f>
        <v/>
      </c>
      <c r="G61" s="180">
        <f>'01_Вводные'!$I$268</f>
        <v/>
      </c>
      <c r="H61" s="180">
        <f>'01_Вводные'!$I$269</f>
        <v/>
      </c>
      <c r="I61" s="180">
        <f>'01_Вводные'!$I$270</f>
        <v/>
      </c>
      <c r="J61" s="180">
        <f>'01_Вводные'!$I$271</f>
        <v/>
      </c>
      <c r="K61" s="180">
        <f>'01_Вводные'!$I$272</f>
        <v/>
      </c>
      <c r="L61" s="180">
        <f>'01_Вводные'!$I$273</f>
        <v/>
      </c>
      <c r="M61" s="180">
        <f>'01_Вводные'!$I$274</f>
        <v/>
      </c>
      <c r="N61" s="180">
        <f>'01_Вводные'!$I$275</f>
        <v/>
      </c>
      <c r="O61" s="180">
        <f>'01_Вводные'!$I$276</f>
        <v/>
      </c>
      <c r="P61" s="180">
        <f>'01_Вводные'!$I$277</f>
        <v/>
      </c>
      <c r="Q61" s="180">
        <f>'01_Вводные'!$I$278</f>
        <v/>
      </c>
      <c r="R61" s="180">
        <f>'01_Вводные'!$I$279</f>
        <v/>
      </c>
      <c r="S61" s="180">
        <f>'01_Вводные'!$I$280</f>
        <v/>
      </c>
      <c r="T61" s="180">
        <f>'01_Вводные'!$I$281</f>
        <v/>
      </c>
      <c r="U61" s="180">
        <f>'01_Вводные'!$I$282</f>
        <v/>
      </c>
    </row>
    <row r="62" ht="15.75" customHeight="1" s="194">
      <c r="A62" s="178" t="inlineStr">
        <is>
          <t>9</t>
        </is>
      </c>
      <c r="B62" s="180">
        <f>'01_Вводные'!$I$263</f>
        <v/>
      </c>
      <c r="C62" s="180">
        <f>'01_Вводные'!$I$264</f>
        <v/>
      </c>
      <c r="D62" s="180">
        <f>'01_Вводные'!$I$265</f>
        <v/>
      </c>
      <c r="E62" s="180">
        <f>'01_Вводные'!$I$266</f>
        <v/>
      </c>
      <c r="F62" s="180">
        <f>'01_Вводные'!$I$267</f>
        <v/>
      </c>
      <c r="G62" s="180">
        <f>'01_Вводные'!$I$268</f>
        <v/>
      </c>
      <c r="H62" s="180">
        <f>'01_Вводные'!$I$269</f>
        <v/>
      </c>
      <c r="I62" s="180">
        <f>'01_Вводные'!$I$270</f>
        <v/>
      </c>
      <c r="J62" s="180">
        <f>'01_Вводные'!$I$271</f>
        <v/>
      </c>
      <c r="K62" s="180">
        <f>'01_Вводные'!$I$272</f>
        <v/>
      </c>
      <c r="L62" s="180">
        <f>'01_Вводные'!$I$273</f>
        <v/>
      </c>
      <c r="M62" s="180">
        <f>'01_Вводные'!$I$274</f>
        <v/>
      </c>
      <c r="N62" s="180">
        <f>'01_Вводные'!$I$275</f>
        <v/>
      </c>
      <c r="O62" s="180">
        <f>'01_Вводные'!$I$276</f>
        <v/>
      </c>
      <c r="P62" s="180">
        <f>'01_Вводные'!$I$277</f>
        <v/>
      </c>
      <c r="Q62" s="180">
        <f>'01_Вводные'!$I$278</f>
        <v/>
      </c>
      <c r="R62" s="180">
        <f>'01_Вводные'!$I$279</f>
        <v/>
      </c>
      <c r="S62" s="180">
        <f>'01_Вводные'!$I$280</f>
        <v/>
      </c>
      <c r="T62" s="180">
        <f>'01_Вводные'!$I$281</f>
        <v/>
      </c>
      <c r="U62" s="180">
        <f>'01_Вводные'!$I$282</f>
        <v/>
      </c>
    </row>
    <row r="63" ht="15.75" customHeight="1" s="194">
      <c r="A63" s="178" t="inlineStr">
        <is>
          <t>10</t>
        </is>
      </c>
      <c r="B63" s="180">
        <f>'01_Вводные'!$I$263</f>
        <v/>
      </c>
      <c r="C63" s="180">
        <f>'01_Вводные'!$I$264</f>
        <v/>
      </c>
      <c r="D63" s="180">
        <f>'01_Вводные'!$I$265</f>
        <v/>
      </c>
      <c r="E63" s="180">
        <f>'01_Вводные'!$I$266</f>
        <v/>
      </c>
      <c r="F63" s="180">
        <f>'01_Вводные'!$I$267</f>
        <v/>
      </c>
      <c r="G63" s="180">
        <f>'01_Вводные'!$I$268</f>
        <v/>
      </c>
      <c r="H63" s="180">
        <f>'01_Вводные'!$I$269</f>
        <v/>
      </c>
      <c r="I63" s="180">
        <f>'01_Вводные'!$I$270</f>
        <v/>
      </c>
      <c r="J63" s="180">
        <f>'01_Вводные'!$I$271</f>
        <v/>
      </c>
      <c r="K63" s="180">
        <f>'01_Вводные'!$I$272</f>
        <v/>
      </c>
      <c r="L63" s="180">
        <f>'01_Вводные'!$I$273</f>
        <v/>
      </c>
      <c r="M63" s="180">
        <f>'01_Вводные'!$I$274</f>
        <v/>
      </c>
      <c r="N63" s="180">
        <f>'01_Вводные'!$I$275</f>
        <v/>
      </c>
      <c r="O63" s="180">
        <f>'01_Вводные'!$I$276</f>
        <v/>
      </c>
      <c r="P63" s="180">
        <f>'01_Вводные'!$I$277</f>
        <v/>
      </c>
      <c r="Q63" s="180">
        <f>'01_Вводные'!$I$278</f>
        <v/>
      </c>
      <c r="R63" s="180">
        <f>'01_Вводные'!$I$279</f>
        <v/>
      </c>
      <c r="S63" s="180">
        <f>'01_Вводные'!$I$280</f>
        <v/>
      </c>
      <c r="T63" s="180">
        <f>'01_Вводные'!$I$281</f>
        <v/>
      </c>
      <c r="U63" s="180">
        <f>'01_Вводные'!$I$282</f>
        <v/>
      </c>
    </row>
    <row r="64" ht="15.75" customHeight="1" s="194">
      <c r="A64" s="178" t="inlineStr">
        <is>
          <t>11</t>
        </is>
      </c>
      <c r="B64" s="180">
        <f>'01_Вводные'!$I$263</f>
        <v/>
      </c>
      <c r="C64" s="180">
        <f>'01_Вводные'!$I$264</f>
        <v/>
      </c>
      <c r="D64" s="180">
        <f>'01_Вводные'!$I$265</f>
        <v/>
      </c>
      <c r="E64" s="180">
        <f>'01_Вводные'!$I$266</f>
        <v/>
      </c>
      <c r="F64" s="180">
        <f>'01_Вводные'!$I$267</f>
        <v/>
      </c>
      <c r="G64" s="180">
        <f>'01_Вводные'!$I$268</f>
        <v/>
      </c>
      <c r="H64" s="180">
        <f>'01_Вводные'!$I$269</f>
        <v/>
      </c>
      <c r="I64" s="180">
        <f>'01_Вводные'!$I$270</f>
        <v/>
      </c>
      <c r="J64" s="180">
        <f>'01_Вводные'!$I$271</f>
        <v/>
      </c>
      <c r="K64" s="180">
        <f>'01_Вводные'!$I$272</f>
        <v/>
      </c>
      <c r="L64" s="180">
        <f>'01_Вводные'!$I$273</f>
        <v/>
      </c>
      <c r="M64" s="180">
        <f>'01_Вводные'!$I$274</f>
        <v/>
      </c>
      <c r="N64" s="180">
        <f>'01_Вводные'!$I$275</f>
        <v/>
      </c>
      <c r="O64" s="180">
        <f>'01_Вводные'!$I$276</f>
        <v/>
      </c>
      <c r="P64" s="180">
        <f>'01_Вводные'!$I$277</f>
        <v/>
      </c>
      <c r="Q64" s="180">
        <f>'01_Вводные'!$I$278</f>
        <v/>
      </c>
      <c r="R64" s="180">
        <f>'01_Вводные'!$I$279</f>
        <v/>
      </c>
      <c r="S64" s="180">
        <f>'01_Вводные'!$I$280</f>
        <v/>
      </c>
      <c r="T64" s="180">
        <f>'01_Вводные'!$I$281</f>
        <v/>
      </c>
      <c r="U64" s="180">
        <f>'01_Вводные'!$I$282</f>
        <v/>
      </c>
    </row>
    <row r="65" ht="15.75" customHeight="1" s="194">
      <c r="A65" s="178" t="inlineStr">
        <is>
          <t>12</t>
        </is>
      </c>
      <c r="B65" s="180">
        <f>'01_Вводные'!$I$263</f>
        <v/>
      </c>
      <c r="C65" s="180">
        <f>'01_Вводные'!$I$264</f>
        <v/>
      </c>
      <c r="D65" s="180">
        <f>'01_Вводные'!$I$265</f>
        <v/>
      </c>
      <c r="E65" s="180">
        <f>'01_Вводные'!$I$266</f>
        <v/>
      </c>
      <c r="F65" s="180">
        <f>'01_Вводные'!$I$267</f>
        <v/>
      </c>
      <c r="G65" s="180">
        <f>'01_Вводные'!$I$268</f>
        <v/>
      </c>
      <c r="H65" s="180">
        <f>'01_Вводные'!$I$269</f>
        <v/>
      </c>
      <c r="I65" s="180">
        <f>'01_Вводные'!$I$270</f>
        <v/>
      </c>
      <c r="J65" s="180">
        <f>'01_Вводные'!$I$271</f>
        <v/>
      </c>
      <c r="K65" s="180">
        <f>'01_Вводные'!$I$272</f>
        <v/>
      </c>
      <c r="L65" s="180">
        <f>'01_Вводные'!$I$273</f>
        <v/>
      </c>
      <c r="M65" s="180">
        <f>'01_Вводные'!$I$274</f>
        <v/>
      </c>
      <c r="N65" s="180">
        <f>'01_Вводные'!$I$275</f>
        <v/>
      </c>
      <c r="O65" s="180">
        <f>'01_Вводные'!$I$276</f>
        <v/>
      </c>
      <c r="P65" s="180">
        <f>'01_Вводные'!$I$277</f>
        <v/>
      </c>
      <c r="Q65" s="180">
        <f>'01_Вводные'!$I$278</f>
        <v/>
      </c>
      <c r="R65" s="180">
        <f>'01_Вводные'!$I$279</f>
        <v/>
      </c>
      <c r="S65" s="180">
        <f>'01_Вводные'!$I$280</f>
        <v/>
      </c>
      <c r="T65" s="180">
        <f>'01_Вводные'!$I$281</f>
        <v/>
      </c>
      <c r="U65" s="180">
        <f>'01_Вводные'!$I$282</f>
        <v/>
      </c>
    </row>
    <row r="66" ht="15.75" customHeight="1" s="194">
      <c r="A66" s="178" t="inlineStr">
        <is>
          <t>13</t>
        </is>
      </c>
      <c r="B66" s="180">
        <f>'01_Вводные'!$J$263</f>
        <v/>
      </c>
      <c r="C66" s="180">
        <f>'01_Вводные'!$J$264</f>
        <v/>
      </c>
      <c r="D66" s="180">
        <f>'01_Вводные'!$J$265</f>
        <v/>
      </c>
      <c r="E66" s="180">
        <f>'01_Вводные'!$J$266</f>
        <v/>
      </c>
      <c r="F66" s="180">
        <f>'01_Вводные'!$J$267</f>
        <v/>
      </c>
      <c r="G66" s="180">
        <f>'01_Вводные'!$J$268</f>
        <v/>
      </c>
      <c r="H66" s="180">
        <f>'01_Вводные'!$J$269</f>
        <v/>
      </c>
      <c r="I66" s="180">
        <f>'01_Вводные'!$J$270</f>
        <v/>
      </c>
      <c r="J66" s="180">
        <f>'01_Вводные'!$J$271</f>
        <v/>
      </c>
      <c r="K66" s="180">
        <f>'01_Вводные'!$J$272</f>
        <v/>
      </c>
      <c r="L66" s="180">
        <f>'01_Вводные'!$J$273</f>
        <v/>
      </c>
      <c r="M66" s="180">
        <f>'01_Вводные'!$J$274</f>
        <v/>
      </c>
      <c r="N66" s="180">
        <f>'01_Вводные'!$J$275</f>
        <v/>
      </c>
      <c r="O66" s="180">
        <f>'01_Вводные'!$J$276</f>
        <v/>
      </c>
      <c r="P66" s="180">
        <f>'01_Вводные'!$J$277</f>
        <v/>
      </c>
      <c r="Q66" s="180">
        <f>'01_Вводные'!$J$278</f>
        <v/>
      </c>
      <c r="R66" s="180">
        <f>'01_Вводные'!$J$279</f>
        <v/>
      </c>
      <c r="S66" s="180">
        <f>'01_Вводные'!$J$280</f>
        <v/>
      </c>
      <c r="T66" s="180">
        <f>'01_Вводные'!$J$281</f>
        <v/>
      </c>
      <c r="U66" s="180">
        <f>'01_Вводные'!$J$282</f>
        <v/>
      </c>
    </row>
    <row r="67" ht="15.75" customHeight="1" s="194">
      <c r="A67" s="178" t="inlineStr">
        <is>
          <t>14</t>
        </is>
      </c>
      <c r="B67" s="180">
        <f>'01_Вводные'!$J$263</f>
        <v/>
      </c>
      <c r="C67" s="180">
        <f>'01_Вводные'!$J$264</f>
        <v/>
      </c>
      <c r="D67" s="180">
        <f>'01_Вводные'!$J$265</f>
        <v/>
      </c>
      <c r="E67" s="180">
        <f>'01_Вводные'!$J$266</f>
        <v/>
      </c>
      <c r="F67" s="180">
        <f>'01_Вводные'!$J$267</f>
        <v/>
      </c>
      <c r="G67" s="180">
        <f>'01_Вводные'!$J$268</f>
        <v/>
      </c>
      <c r="H67" s="180">
        <f>'01_Вводные'!$J$269</f>
        <v/>
      </c>
      <c r="I67" s="180">
        <f>'01_Вводные'!$J$270</f>
        <v/>
      </c>
      <c r="J67" s="180">
        <f>'01_Вводные'!$J$271</f>
        <v/>
      </c>
      <c r="K67" s="180">
        <f>'01_Вводные'!$J$272</f>
        <v/>
      </c>
      <c r="L67" s="180">
        <f>'01_Вводные'!$J$273</f>
        <v/>
      </c>
      <c r="M67" s="180">
        <f>'01_Вводные'!$J$274</f>
        <v/>
      </c>
      <c r="N67" s="180">
        <f>'01_Вводные'!$J$275</f>
        <v/>
      </c>
      <c r="O67" s="180">
        <f>'01_Вводные'!$J$276</f>
        <v/>
      </c>
      <c r="P67" s="180">
        <f>'01_Вводные'!$J$277</f>
        <v/>
      </c>
      <c r="Q67" s="180">
        <f>'01_Вводные'!$J$278</f>
        <v/>
      </c>
      <c r="R67" s="180">
        <f>'01_Вводные'!$J$279</f>
        <v/>
      </c>
      <c r="S67" s="180">
        <f>'01_Вводные'!$J$280</f>
        <v/>
      </c>
      <c r="T67" s="180">
        <f>'01_Вводные'!$J$281</f>
        <v/>
      </c>
      <c r="U67" s="180">
        <f>'01_Вводные'!$J$282</f>
        <v/>
      </c>
    </row>
    <row r="68" ht="15.75" customHeight="1" s="194">
      <c r="A68" s="178" t="inlineStr">
        <is>
          <t>15</t>
        </is>
      </c>
      <c r="B68" s="180">
        <f>'01_Вводные'!$J$263</f>
        <v/>
      </c>
      <c r="C68" s="180">
        <f>'01_Вводные'!$J$264</f>
        <v/>
      </c>
      <c r="D68" s="180">
        <f>'01_Вводные'!$J$265</f>
        <v/>
      </c>
      <c r="E68" s="180">
        <f>'01_Вводные'!$J$266</f>
        <v/>
      </c>
      <c r="F68" s="180">
        <f>'01_Вводные'!$J$267</f>
        <v/>
      </c>
      <c r="G68" s="180">
        <f>'01_Вводные'!$J$268</f>
        <v/>
      </c>
      <c r="H68" s="180">
        <f>'01_Вводные'!$J$269</f>
        <v/>
      </c>
      <c r="I68" s="180">
        <f>'01_Вводные'!$J$270</f>
        <v/>
      </c>
      <c r="J68" s="180">
        <f>'01_Вводные'!$J$271</f>
        <v/>
      </c>
      <c r="K68" s="180">
        <f>'01_Вводные'!$J$272</f>
        <v/>
      </c>
      <c r="L68" s="180">
        <f>'01_Вводные'!$J$273</f>
        <v/>
      </c>
      <c r="M68" s="180">
        <f>'01_Вводные'!$J$274</f>
        <v/>
      </c>
      <c r="N68" s="180">
        <f>'01_Вводные'!$J$275</f>
        <v/>
      </c>
      <c r="O68" s="180">
        <f>'01_Вводные'!$J$276</f>
        <v/>
      </c>
      <c r="P68" s="180">
        <f>'01_Вводные'!$J$277</f>
        <v/>
      </c>
      <c r="Q68" s="180">
        <f>'01_Вводные'!$J$278</f>
        <v/>
      </c>
      <c r="R68" s="180">
        <f>'01_Вводные'!$J$279</f>
        <v/>
      </c>
      <c r="S68" s="180">
        <f>'01_Вводные'!$J$280</f>
        <v/>
      </c>
      <c r="T68" s="180">
        <f>'01_Вводные'!$J$281</f>
        <v/>
      </c>
      <c r="U68" s="180">
        <f>'01_Вводные'!$J$282</f>
        <v/>
      </c>
    </row>
    <row r="69" ht="15.75" customHeight="1" s="194">
      <c r="A69" s="178" t="inlineStr">
        <is>
          <t>16</t>
        </is>
      </c>
      <c r="B69" s="180">
        <f>'01_Вводные'!$J$263</f>
        <v/>
      </c>
      <c r="C69" s="180">
        <f>'01_Вводные'!$J$264</f>
        <v/>
      </c>
      <c r="D69" s="180">
        <f>'01_Вводные'!$J$265</f>
        <v/>
      </c>
      <c r="E69" s="180">
        <f>'01_Вводные'!$J$266</f>
        <v/>
      </c>
      <c r="F69" s="180">
        <f>'01_Вводные'!$J$267</f>
        <v/>
      </c>
      <c r="G69" s="180">
        <f>'01_Вводные'!$J$268</f>
        <v/>
      </c>
      <c r="H69" s="180">
        <f>'01_Вводные'!$J$269</f>
        <v/>
      </c>
      <c r="I69" s="180">
        <f>'01_Вводные'!$J$270</f>
        <v/>
      </c>
      <c r="J69" s="180">
        <f>'01_Вводные'!$J$271</f>
        <v/>
      </c>
      <c r="K69" s="180">
        <f>'01_Вводные'!$J$272</f>
        <v/>
      </c>
      <c r="L69" s="180">
        <f>'01_Вводные'!$J$273</f>
        <v/>
      </c>
      <c r="M69" s="180">
        <f>'01_Вводные'!$J$274</f>
        <v/>
      </c>
      <c r="N69" s="180">
        <f>'01_Вводные'!$J$275</f>
        <v/>
      </c>
      <c r="O69" s="180">
        <f>'01_Вводные'!$J$276</f>
        <v/>
      </c>
      <c r="P69" s="180">
        <f>'01_Вводные'!$J$277</f>
        <v/>
      </c>
      <c r="Q69" s="180">
        <f>'01_Вводные'!$J$278</f>
        <v/>
      </c>
      <c r="R69" s="180">
        <f>'01_Вводные'!$J$279</f>
        <v/>
      </c>
      <c r="S69" s="180">
        <f>'01_Вводные'!$J$280</f>
        <v/>
      </c>
      <c r="T69" s="180">
        <f>'01_Вводные'!$J$281</f>
        <v/>
      </c>
      <c r="U69" s="180">
        <f>'01_Вводные'!$J$282</f>
        <v/>
      </c>
    </row>
    <row r="70" ht="15.75" customHeight="1" s="194">
      <c r="A70" s="178" t="inlineStr">
        <is>
          <t>17</t>
        </is>
      </c>
      <c r="B70" s="180">
        <f>'01_Вводные'!$J$263</f>
        <v/>
      </c>
      <c r="C70" s="180">
        <f>'01_Вводные'!$J$264</f>
        <v/>
      </c>
      <c r="D70" s="180">
        <f>'01_Вводные'!$J$265</f>
        <v/>
      </c>
      <c r="E70" s="180">
        <f>'01_Вводные'!$J$266</f>
        <v/>
      </c>
      <c r="F70" s="180">
        <f>'01_Вводные'!$J$267</f>
        <v/>
      </c>
      <c r="G70" s="180">
        <f>'01_Вводные'!$J$268</f>
        <v/>
      </c>
      <c r="H70" s="180">
        <f>'01_Вводные'!$J$269</f>
        <v/>
      </c>
      <c r="I70" s="180">
        <f>'01_Вводные'!$J$270</f>
        <v/>
      </c>
      <c r="J70" s="180">
        <f>'01_Вводные'!$J$271</f>
        <v/>
      </c>
      <c r="K70" s="180">
        <f>'01_Вводные'!$J$272</f>
        <v/>
      </c>
      <c r="L70" s="180">
        <f>'01_Вводные'!$J$273</f>
        <v/>
      </c>
      <c r="M70" s="180">
        <f>'01_Вводные'!$J$274</f>
        <v/>
      </c>
      <c r="N70" s="180">
        <f>'01_Вводные'!$J$275</f>
        <v/>
      </c>
      <c r="O70" s="180">
        <f>'01_Вводные'!$J$276</f>
        <v/>
      </c>
      <c r="P70" s="180">
        <f>'01_Вводные'!$J$277</f>
        <v/>
      </c>
      <c r="Q70" s="180">
        <f>'01_Вводные'!$J$278</f>
        <v/>
      </c>
      <c r="R70" s="180">
        <f>'01_Вводные'!$J$279</f>
        <v/>
      </c>
      <c r="S70" s="180">
        <f>'01_Вводные'!$J$280</f>
        <v/>
      </c>
      <c r="T70" s="180">
        <f>'01_Вводные'!$J$281</f>
        <v/>
      </c>
      <c r="U70" s="180">
        <f>'01_Вводные'!$J$282</f>
        <v/>
      </c>
    </row>
    <row r="71" ht="15.75" customHeight="1" s="194">
      <c r="A71" s="178" t="inlineStr">
        <is>
          <t>18</t>
        </is>
      </c>
      <c r="B71" s="180">
        <f>'01_Вводные'!$J$263</f>
        <v/>
      </c>
      <c r="C71" s="180">
        <f>'01_Вводные'!$J$264</f>
        <v/>
      </c>
      <c r="D71" s="180">
        <f>'01_Вводные'!$J$265</f>
        <v/>
      </c>
      <c r="E71" s="180">
        <f>'01_Вводные'!$J$266</f>
        <v/>
      </c>
      <c r="F71" s="180">
        <f>'01_Вводные'!$J$267</f>
        <v/>
      </c>
      <c r="G71" s="180">
        <f>'01_Вводные'!$J$268</f>
        <v/>
      </c>
      <c r="H71" s="180">
        <f>'01_Вводные'!$J$269</f>
        <v/>
      </c>
      <c r="I71" s="180">
        <f>'01_Вводные'!$J$270</f>
        <v/>
      </c>
      <c r="J71" s="180">
        <f>'01_Вводные'!$J$271</f>
        <v/>
      </c>
      <c r="K71" s="180">
        <f>'01_Вводные'!$J$272</f>
        <v/>
      </c>
      <c r="L71" s="180">
        <f>'01_Вводные'!$J$273</f>
        <v/>
      </c>
      <c r="M71" s="180">
        <f>'01_Вводные'!$J$274</f>
        <v/>
      </c>
      <c r="N71" s="180">
        <f>'01_Вводные'!$J$275</f>
        <v/>
      </c>
      <c r="O71" s="180">
        <f>'01_Вводные'!$J$276</f>
        <v/>
      </c>
      <c r="P71" s="180">
        <f>'01_Вводные'!$J$277</f>
        <v/>
      </c>
      <c r="Q71" s="180">
        <f>'01_Вводные'!$J$278</f>
        <v/>
      </c>
      <c r="R71" s="180">
        <f>'01_Вводные'!$J$279</f>
        <v/>
      </c>
      <c r="S71" s="180">
        <f>'01_Вводные'!$J$280</f>
        <v/>
      </c>
      <c r="T71" s="180">
        <f>'01_Вводные'!$J$281</f>
        <v/>
      </c>
      <c r="U71" s="180">
        <f>'01_Вводные'!$J$282</f>
        <v/>
      </c>
    </row>
    <row r="72" ht="15.75" customHeight="1" s="194">
      <c r="A72" s="178" t="inlineStr">
        <is>
          <t>19</t>
        </is>
      </c>
      <c r="B72" s="180">
        <f>'01_Вводные'!$J$263</f>
        <v/>
      </c>
      <c r="C72" s="180">
        <f>'01_Вводные'!$J$264</f>
        <v/>
      </c>
      <c r="D72" s="180">
        <f>'01_Вводные'!$J$265</f>
        <v/>
      </c>
      <c r="E72" s="180">
        <f>'01_Вводные'!$J$266</f>
        <v/>
      </c>
      <c r="F72" s="180">
        <f>'01_Вводные'!$J$267</f>
        <v/>
      </c>
      <c r="G72" s="180">
        <f>'01_Вводные'!$J$268</f>
        <v/>
      </c>
      <c r="H72" s="180">
        <f>'01_Вводные'!$J$269</f>
        <v/>
      </c>
      <c r="I72" s="180">
        <f>'01_Вводные'!$J$270</f>
        <v/>
      </c>
      <c r="J72" s="180">
        <f>'01_Вводные'!$J$271</f>
        <v/>
      </c>
      <c r="K72" s="180">
        <f>'01_Вводные'!$J$272</f>
        <v/>
      </c>
      <c r="L72" s="180">
        <f>'01_Вводные'!$J$273</f>
        <v/>
      </c>
      <c r="M72" s="180">
        <f>'01_Вводные'!$J$274</f>
        <v/>
      </c>
      <c r="N72" s="180">
        <f>'01_Вводные'!$J$275</f>
        <v/>
      </c>
      <c r="O72" s="180">
        <f>'01_Вводные'!$J$276</f>
        <v/>
      </c>
      <c r="P72" s="180">
        <f>'01_Вводные'!$J$277</f>
        <v/>
      </c>
      <c r="Q72" s="180">
        <f>'01_Вводные'!$J$278</f>
        <v/>
      </c>
      <c r="R72" s="180">
        <f>'01_Вводные'!$J$279</f>
        <v/>
      </c>
      <c r="S72" s="180">
        <f>'01_Вводные'!$J$280</f>
        <v/>
      </c>
      <c r="T72" s="180">
        <f>'01_Вводные'!$J$281</f>
        <v/>
      </c>
      <c r="U72" s="180">
        <f>'01_Вводные'!$J$282</f>
        <v/>
      </c>
    </row>
    <row r="73" ht="15.75" customHeight="1" s="194">
      <c r="A73" s="178" t="inlineStr">
        <is>
          <t>20</t>
        </is>
      </c>
      <c r="B73" s="180">
        <f>'01_Вводные'!$J$263</f>
        <v/>
      </c>
      <c r="C73" s="180">
        <f>'01_Вводные'!$J$264</f>
        <v/>
      </c>
      <c r="D73" s="180">
        <f>'01_Вводные'!$J$265</f>
        <v/>
      </c>
      <c r="E73" s="180">
        <f>'01_Вводные'!$J$266</f>
        <v/>
      </c>
      <c r="F73" s="180">
        <f>'01_Вводные'!$J$267</f>
        <v/>
      </c>
      <c r="G73" s="180">
        <f>'01_Вводные'!$J$268</f>
        <v/>
      </c>
      <c r="H73" s="180">
        <f>'01_Вводные'!$J$269</f>
        <v/>
      </c>
      <c r="I73" s="180">
        <f>'01_Вводные'!$J$270</f>
        <v/>
      </c>
      <c r="J73" s="180">
        <f>'01_Вводные'!$J$271</f>
        <v/>
      </c>
      <c r="K73" s="180">
        <f>'01_Вводные'!$J$272</f>
        <v/>
      </c>
      <c r="L73" s="180">
        <f>'01_Вводные'!$J$273</f>
        <v/>
      </c>
      <c r="M73" s="180">
        <f>'01_Вводные'!$J$274</f>
        <v/>
      </c>
      <c r="N73" s="180">
        <f>'01_Вводные'!$J$275</f>
        <v/>
      </c>
      <c r="O73" s="180">
        <f>'01_Вводные'!$J$276</f>
        <v/>
      </c>
      <c r="P73" s="180">
        <f>'01_Вводные'!$J$277</f>
        <v/>
      </c>
      <c r="Q73" s="180">
        <f>'01_Вводные'!$J$278</f>
        <v/>
      </c>
      <c r="R73" s="180">
        <f>'01_Вводные'!$J$279</f>
        <v/>
      </c>
      <c r="S73" s="180">
        <f>'01_Вводные'!$J$280</f>
        <v/>
      </c>
      <c r="T73" s="180">
        <f>'01_Вводные'!$J$281</f>
        <v/>
      </c>
      <c r="U73" s="180">
        <f>'01_Вводные'!$J$282</f>
        <v/>
      </c>
    </row>
    <row r="74" ht="15.75" customHeight="1" s="194">
      <c r="A74" s="178" t="inlineStr">
        <is>
          <t>21</t>
        </is>
      </c>
      <c r="B74" s="180">
        <f>'01_Вводные'!$J$263</f>
        <v/>
      </c>
      <c r="C74" s="180">
        <f>'01_Вводные'!$J$264</f>
        <v/>
      </c>
      <c r="D74" s="180">
        <f>'01_Вводные'!$J$265</f>
        <v/>
      </c>
      <c r="E74" s="180">
        <f>'01_Вводные'!$J$266</f>
        <v/>
      </c>
      <c r="F74" s="180">
        <f>'01_Вводные'!$J$267</f>
        <v/>
      </c>
      <c r="G74" s="180">
        <f>'01_Вводные'!$J$268</f>
        <v/>
      </c>
      <c r="H74" s="180">
        <f>'01_Вводные'!$J$269</f>
        <v/>
      </c>
      <c r="I74" s="180">
        <f>'01_Вводные'!$J$270</f>
        <v/>
      </c>
      <c r="J74" s="180">
        <f>'01_Вводные'!$J$271</f>
        <v/>
      </c>
      <c r="K74" s="180">
        <f>'01_Вводные'!$J$272</f>
        <v/>
      </c>
      <c r="L74" s="180">
        <f>'01_Вводные'!$J$273</f>
        <v/>
      </c>
      <c r="M74" s="180">
        <f>'01_Вводные'!$J$274</f>
        <v/>
      </c>
      <c r="N74" s="180">
        <f>'01_Вводные'!$J$275</f>
        <v/>
      </c>
      <c r="O74" s="180">
        <f>'01_Вводные'!$J$276</f>
        <v/>
      </c>
      <c r="P74" s="180">
        <f>'01_Вводные'!$J$277</f>
        <v/>
      </c>
      <c r="Q74" s="180">
        <f>'01_Вводные'!$J$278</f>
        <v/>
      </c>
      <c r="R74" s="180">
        <f>'01_Вводные'!$J$279</f>
        <v/>
      </c>
      <c r="S74" s="180">
        <f>'01_Вводные'!$J$280</f>
        <v/>
      </c>
      <c r="T74" s="180">
        <f>'01_Вводные'!$J$281</f>
        <v/>
      </c>
      <c r="U74" s="180">
        <f>'01_Вводные'!$J$282</f>
        <v/>
      </c>
    </row>
    <row r="75" ht="15.75" customHeight="1" s="194">
      <c r="A75" s="178" t="inlineStr">
        <is>
          <t>22</t>
        </is>
      </c>
      <c r="B75" s="180">
        <f>'01_Вводные'!$J$263</f>
        <v/>
      </c>
      <c r="C75" s="180">
        <f>'01_Вводные'!$J$264</f>
        <v/>
      </c>
      <c r="D75" s="180">
        <f>'01_Вводные'!$J$265</f>
        <v/>
      </c>
      <c r="E75" s="180">
        <f>'01_Вводные'!$J$266</f>
        <v/>
      </c>
      <c r="F75" s="180">
        <f>'01_Вводные'!$J$267</f>
        <v/>
      </c>
      <c r="G75" s="180">
        <f>'01_Вводные'!$J$268</f>
        <v/>
      </c>
      <c r="H75" s="180">
        <f>'01_Вводные'!$J$269</f>
        <v/>
      </c>
      <c r="I75" s="180">
        <f>'01_Вводные'!$J$270</f>
        <v/>
      </c>
      <c r="J75" s="180">
        <f>'01_Вводные'!$J$271</f>
        <v/>
      </c>
      <c r="K75" s="180">
        <f>'01_Вводные'!$J$272</f>
        <v/>
      </c>
      <c r="L75" s="180">
        <f>'01_Вводные'!$J$273</f>
        <v/>
      </c>
      <c r="M75" s="180">
        <f>'01_Вводные'!$J$274</f>
        <v/>
      </c>
      <c r="N75" s="180">
        <f>'01_Вводные'!$J$275</f>
        <v/>
      </c>
      <c r="O75" s="180">
        <f>'01_Вводные'!$J$276</f>
        <v/>
      </c>
      <c r="P75" s="180">
        <f>'01_Вводные'!$J$277</f>
        <v/>
      </c>
      <c r="Q75" s="180">
        <f>'01_Вводные'!$J$278</f>
        <v/>
      </c>
      <c r="R75" s="180">
        <f>'01_Вводные'!$J$279</f>
        <v/>
      </c>
      <c r="S75" s="180">
        <f>'01_Вводные'!$J$280</f>
        <v/>
      </c>
      <c r="T75" s="180">
        <f>'01_Вводные'!$J$281</f>
        <v/>
      </c>
      <c r="U75" s="180">
        <f>'01_Вводные'!$J$282</f>
        <v/>
      </c>
    </row>
    <row r="76" ht="15.75" customHeight="1" s="194">
      <c r="A76" s="178" t="inlineStr">
        <is>
          <t>23</t>
        </is>
      </c>
      <c r="B76" s="180">
        <f>'01_Вводные'!$J$263</f>
        <v/>
      </c>
      <c r="C76" s="180">
        <f>'01_Вводные'!$J$264</f>
        <v/>
      </c>
      <c r="D76" s="180">
        <f>'01_Вводные'!$J$265</f>
        <v/>
      </c>
      <c r="E76" s="180">
        <f>'01_Вводные'!$J$266</f>
        <v/>
      </c>
      <c r="F76" s="180">
        <f>'01_Вводные'!$J$267</f>
        <v/>
      </c>
      <c r="G76" s="180">
        <f>'01_Вводные'!$J$268</f>
        <v/>
      </c>
      <c r="H76" s="180">
        <f>'01_Вводные'!$J$269</f>
        <v/>
      </c>
      <c r="I76" s="180">
        <f>'01_Вводные'!$J$270</f>
        <v/>
      </c>
      <c r="J76" s="180">
        <f>'01_Вводные'!$J$271</f>
        <v/>
      </c>
      <c r="K76" s="180">
        <f>'01_Вводные'!$J$272</f>
        <v/>
      </c>
      <c r="L76" s="180">
        <f>'01_Вводные'!$J$273</f>
        <v/>
      </c>
      <c r="M76" s="180">
        <f>'01_Вводные'!$J$274</f>
        <v/>
      </c>
      <c r="N76" s="180">
        <f>'01_Вводные'!$J$275</f>
        <v/>
      </c>
      <c r="O76" s="180">
        <f>'01_Вводные'!$J$276</f>
        <v/>
      </c>
      <c r="P76" s="180">
        <f>'01_Вводные'!$J$277</f>
        <v/>
      </c>
      <c r="Q76" s="180">
        <f>'01_Вводные'!$J$278</f>
        <v/>
      </c>
      <c r="R76" s="180">
        <f>'01_Вводные'!$J$279</f>
        <v/>
      </c>
      <c r="S76" s="180">
        <f>'01_Вводные'!$J$280</f>
        <v/>
      </c>
      <c r="T76" s="180">
        <f>'01_Вводные'!$J$281</f>
        <v/>
      </c>
      <c r="U76" s="180">
        <f>'01_Вводные'!$J$282</f>
        <v/>
      </c>
    </row>
    <row r="77" ht="15.75" customHeight="1" s="194">
      <c r="A77" s="178" t="inlineStr">
        <is>
          <t>24</t>
        </is>
      </c>
      <c r="B77" s="180">
        <f>'01_Вводные'!$J$263</f>
        <v/>
      </c>
      <c r="C77" s="180">
        <f>'01_Вводные'!$J$264</f>
        <v/>
      </c>
      <c r="D77" s="180">
        <f>'01_Вводные'!$J$265</f>
        <v/>
      </c>
      <c r="E77" s="180">
        <f>'01_Вводные'!$J$266</f>
        <v/>
      </c>
      <c r="F77" s="180">
        <f>'01_Вводные'!$J$267</f>
        <v/>
      </c>
      <c r="G77" s="180">
        <f>'01_Вводные'!$J$268</f>
        <v/>
      </c>
      <c r="H77" s="180">
        <f>'01_Вводные'!$J$269</f>
        <v/>
      </c>
      <c r="I77" s="180">
        <f>'01_Вводные'!$J$270</f>
        <v/>
      </c>
      <c r="J77" s="180">
        <f>'01_Вводные'!$J$271</f>
        <v/>
      </c>
      <c r="K77" s="180">
        <f>'01_Вводные'!$J$272</f>
        <v/>
      </c>
      <c r="L77" s="180">
        <f>'01_Вводные'!$J$273</f>
        <v/>
      </c>
      <c r="M77" s="180">
        <f>'01_Вводные'!$J$274</f>
        <v/>
      </c>
      <c r="N77" s="180">
        <f>'01_Вводные'!$J$275</f>
        <v/>
      </c>
      <c r="O77" s="180">
        <f>'01_Вводные'!$J$276</f>
        <v/>
      </c>
      <c r="P77" s="180">
        <f>'01_Вводные'!$J$277</f>
        <v/>
      </c>
      <c r="Q77" s="180">
        <f>'01_Вводные'!$J$278</f>
        <v/>
      </c>
      <c r="R77" s="180">
        <f>'01_Вводные'!$J$279</f>
        <v/>
      </c>
      <c r="S77" s="180">
        <f>'01_Вводные'!$J$280</f>
        <v/>
      </c>
      <c r="T77" s="180">
        <f>'01_Вводные'!$J$281</f>
        <v/>
      </c>
      <c r="U77" s="180">
        <f>'01_Вводные'!$J$282</f>
        <v/>
      </c>
    </row>
    <row r="78" ht="15.75" customHeight="1" s="194">
      <c r="A78" s="178" t="inlineStr">
        <is>
          <t>25+</t>
        </is>
      </c>
      <c r="B78" s="180">
        <f>'01_Вводные'!$J$263</f>
        <v/>
      </c>
      <c r="C78" s="180">
        <f>'01_Вводные'!$J$264</f>
        <v/>
      </c>
      <c r="D78" s="180">
        <f>'01_Вводные'!$J$265</f>
        <v/>
      </c>
      <c r="E78" s="180">
        <f>'01_Вводные'!$J$266</f>
        <v/>
      </c>
      <c r="F78" s="180">
        <f>'01_Вводные'!$J$267</f>
        <v/>
      </c>
      <c r="G78" s="180">
        <f>'01_Вводные'!$J$268</f>
        <v/>
      </c>
      <c r="H78" s="180">
        <f>'01_Вводные'!$J$269</f>
        <v/>
      </c>
      <c r="I78" s="180">
        <f>'01_Вводные'!$J$270</f>
        <v/>
      </c>
      <c r="J78" s="180">
        <f>'01_Вводные'!$J$271</f>
        <v/>
      </c>
      <c r="K78" s="180">
        <f>'01_Вводные'!$J$272</f>
        <v/>
      </c>
      <c r="L78" s="180">
        <f>'01_Вводные'!$J$273</f>
        <v/>
      </c>
      <c r="M78" s="180">
        <f>'01_Вводные'!$J$274</f>
        <v/>
      </c>
      <c r="N78" s="180">
        <f>'01_Вводные'!$J$275</f>
        <v/>
      </c>
      <c r="O78" s="180">
        <f>'01_Вводные'!$J$276</f>
        <v/>
      </c>
      <c r="P78" s="180">
        <f>'01_Вводные'!$J$277</f>
        <v/>
      </c>
      <c r="Q78" s="180">
        <f>'01_Вводные'!$J$278</f>
        <v/>
      </c>
      <c r="R78" s="180">
        <f>'01_Вводные'!$J$279</f>
        <v/>
      </c>
      <c r="S78" s="180">
        <f>'01_Вводные'!$J$280</f>
        <v/>
      </c>
      <c r="T78" s="180">
        <f>'01_Вводные'!$J$281</f>
        <v/>
      </c>
      <c r="U78" s="180">
        <f>'01_Вводные'!$J$282</f>
        <v/>
      </c>
    </row>
    <row r="79" ht="15.75" customHeight="1" s="194"/>
    <row r="80" ht="15.75" customHeight="1" s="194"/>
    <row r="81" ht="15.75" customHeight="1" s="194"/>
    <row r="82" ht="15.75" customHeight="1" s="194"/>
    <row r="83" ht="15.75" customHeight="1" s="194"/>
    <row r="84" ht="15.75" customHeight="1" s="194"/>
    <row r="85" ht="15.75" customHeight="1" s="194"/>
    <row r="86" ht="15.75" customHeight="1" s="194">
      <c r="A86" s="178" t="inlineStr">
        <is>
          <t>1</t>
        </is>
      </c>
      <c r="B86" s="180">
        <f>'01_Вводные'!$E$263*IF('01_Вводные'!$B$295="Да",1/12,1)</f>
        <v/>
      </c>
      <c r="C86" s="180">
        <f>'01_Вводные'!$E$264*IF('01_Вводные'!$B$295="Да",1/12,1)</f>
        <v/>
      </c>
      <c r="D86" s="180">
        <f>'01_Вводные'!$E$265*IF('01_Вводные'!$B$295="Да",1/12,1)</f>
        <v/>
      </c>
      <c r="E86" s="180">
        <f>'01_Вводные'!$E$266*IF('01_Вводные'!$B$295="Да",1/12,1)</f>
        <v/>
      </c>
      <c r="F86" s="180">
        <f>'01_Вводные'!$E$267*IF('01_Вводные'!$B$295="Да",1/12,1)</f>
        <v/>
      </c>
      <c r="G86" s="180">
        <f>'01_Вводные'!$E$268*IF('01_Вводные'!$B$295="Да",1/12,1)</f>
        <v/>
      </c>
      <c r="H86" s="180">
        <f>'01_Вводные'!$E$269*IF('01_Вводные'!$B$295="Да",1/12,1)</f>
        <v/>
      </c>
      <c r="I86" s="180">
        <f>'01_Вводные'!$E$270*IF('01_Вводные'!$B$295="Да",1/12,1)</f>
        <v/>
      </c>
      <c r="J86" s="180">
        <f>'01_Вводные'!$E$271*IF('01_Вводные'!$B$295="Да",1/12,1)</f>
        <v/>
      </c>
      <c r="K86" s="180">
        <f>'01_Вводные'!$E$272*IF('01_Вводные'!$B$295="Да",1/12,1)</f>
        <v/>
      </c>
      <c r="L86" s="180">
        <f>'01_Вводные'!$E$273*IF('01_Вводные'!$B$295="Да",1/12,1)</f>
        <v/>
      </c>
      <c r="M86" s="180">
        <f>'01_Вводные'!$E$274*IF('01_Вводные'!$B$295="Да",1/12,1)</f>
        <v/>
      </c>
      <c r="N86" s="180">
        <f>'01_Вводные'!$E$275*IF('01_Вводные'!$B$295="Да",1/12,1)</f>
        <v/>
      </c>
      <c r="O86" s="180">
        <f>'01_Вводные'!$E$276*IF('01_Вводные'!$B$295="Да",1/12,1)</f>
        <v/>
      </c>
      <c r="P86" s="180">
        <f>'01_Вводные'!$E$277*IF('01_Вводные'!$B$295="Да",1/12,1)</f>
        <v/>
      </c>
      <c r="Q86" s="180">
        <f>'01_Вводные'!$E$278*IF('01_Вводные'!$B$295="Да",1/12,1)</f>
        <v/>
      </c>
      <c r="R86" s="180">
        <f>'01_Вводные'!$E$279*IF('01_Вводные'!$B$295="Да",1/12,1)</f>
        <v/>
      </c>
      <c r="S86" s="180">
        <f>'01_Вводные'!$E$280*IF('01_Вводные'!$B$295="Да",1/12,1)</f>
        <v/>
      </c>
      <c r="T86" s="180">
        <f>'01_Вводные'!$E$281*IF('01_Вводные'!$B$295="Да",1/12,1)</f>
        <v/>
      </c>
      <c r="U86" s="180">
        <f>'01_Вводные'!$E$282*IF('01_Вводные'!$B$295="Да",1/12,1)</f>
        <v/>
      </c>
    </row>
    <row r="87" ht="15.75" customHeight="1" s="194">
      <c r="A87" s="178" t="inlineStr">
        <is>
          <t>2</t>
        </is>
      </c>
      <c r="B87" s="180">
        <f>'01_Вводные'!$E$263*IF('01_Вводные'!$B$295="Да",2/12,1)</f>
        <v/>
      </c>
      <c r="C87" s="180">
        <f>'01_Вводные'!$E$264*IF('01_Вводные'!$B$295="Да",2/12,1)</f>
        <v/>
      </c>
      <c r="D87" s="180">
        <f>'01_Вводные'!$E$265*IF('01_Вводные'!$B$295="Да",2/12,1)</f>
        <v/>
      </c>
      <c r="E87" s="180">
        <f>'01_Вводные'!$E$266*IF('01_Вводные'!$B$295="Да",2/12,1)</f>
        <v/>
      </c>
      <c r="F87" s="180">
        <f>'01_Вводные'!$E$267*IF('01_Вводные'!$B$295="Да",2/12,1)</f>
        <v/>
      </c>
      <c r="G87" s="180">
        <f>'01_Вводные'!$E$268*IF('01_Вводные'!$B$295="Да",2/12,1)</f>
        <v/>
      </c>
      <c r="H87" s="180">
        <f>'01_Вводные'!$E$269*IF('01_Вводные'!$B$295="Да",2/12,1)</f>
        <v/>
      </c>
      <c r="I87" s="180">
        <f>'01_Вводные'!$E$270*IF('01_Вводные'!$B$295="Да",2/12,1)</f>
        <v/>
      </c>
      <c r="J87" s="180">
        <f>'01_Вводные'!$E$271*IF('01_Вводные'!$B$295="Да",2/12,1)</f>
        <v/>
      </c>
      <c r="K87" s="180">
        <f>'01_Вводные'!$E$272*IF('01_Вводные'!$B$295="Да",2/12,1)</f>
        <v/>
      </c>
      <c r="L87" s="180">
        <f>'01_Вводные'!$E$273*IF('01_Вводные'!$B$295="Да",2/12,1)</f>
        <v/>
      </c>
      <c r="M87" s="180">
        <f>'01_Вводные'!$E$274*IF('01_Вводные'!$B$295="Да",2/12,1)</f>
        <v/>
      </c>
      <c r="N87" s="180">
        <f>'01_Вводные'!$E$275*IF('01_Вводные'!$B$295="Да",2/12,1)</f>
        <v/>
      </c>
      <c r="O87" s="180">
        <f>'01_Вводные'!$E$276*IF('01_Вводные'!$B$295="Да",2/12,1)</f>
        <v/>
      </c>
      <c r="P87" s="180">
        <f>'01_Вводные'!$E$277*IF('01_Вводные'!$B$295="Да",2/12,1)</f>
        <v/>
      </c>
      <c r="Q87" s="180">
        <f>'01_Вводные'!$E$278*IF('01_Вводные'!$B$295="Да",2/12,1)</f>
        <v/>
      </c>
      <c r="R87" s="180">
        <f>'01_Вводные'!$E$279*IF('01_Вводные'!$B$295="Да",2/12,1)</f>
        <v/>
      </c>
      <c r="S87" s="180">
        <f>'01_Вводные'!$E$280*IF('01_Вводные'!$B$295="Да",2/12,1)</f>
        <v/>
      </c>
      <c r="T87" s="180">
        <f>'01_Вводные'!$E$281*IF('01_Вводные'!$B$295="Да",2/12,1)</f>
        <v/>
      </c>
      <c r="U87" s="180">
        <f>'01_Вводные'!$E$282*IF('01_Вводные'!$B$295="Да",2/12,1)</f>
        <v/>
      </c>
    </row>
    <row r="88" ht="15.75" customHeight="1" s="194">
      <c r="A88" s="178" t="inlineStr">
        <is>
          <t>3</t>
        </is>
      </c>
      <c r="B88" s="180">
        <f>'01_Вводные'!$E$263*IF('01_Вводные'!$B$295="Да",3/12,1)</f>
        <v/>
      </c>
      <c r="C88" s="180">
        <f>'01_Вводные'!$E$264*IF('01_Вводные'!$B$295="Да",3/12,1)</f>
        <v/>
      </c>
      <c r="D88" s="180">
        <f>'01_Вводные'!$E$265*IF('01_Вводные'!$B$295="Да",3/12,1)</f>
        <v/>
      </c>
      <c r="E88" s="180">
        <f>'01_Вводные'!$E$266*IF('01_Вводные'!$B$295="Да",3/12,1)</f>
        <v/>
      </c>
      <c r="F88" s="180">
        <f>'01_Вводные'!$E$267*IF('01_Вводные'!$B$295="Да",3/12,1)</f>
        <v/>
      </c>
      <c r="G88" s="180">
        <f>'01_Вводные'!$E$268*IF('01_Вводные'!$B$295="Да",3/12,1)</f>
        <v/>
      </c>
      <c r="H88" s="180">
        <f>'01_Вводные'!$E$269*IF('01_Вводные'!$B$295="Да",3/12,1)</f>
        <v/>
      </c>
      <c r="I88" s="180">
        <f>'01_Вводные'!$E$270*IF('01_Вводные'!$B$295="Да",3/12,1)</f>
        <v/>
      </c>
      <c r="J88" s="180">
        <f>'01_Вводные'!$E$271*IF('01_Вводные'!$B$295="Да",3/12,1)</f>
        <v/>
      </c>
      <c r="K88" s="180">
        <f>'01_Вводные'!$E$272*IF('01_Вводные'!$B$295="Да",3/12,1)</f>
        <v/>
      </c>
      <c r="L88" s="180">
        <f>'01_Вводные'!$E$273*IF('01_Вводные'!$B$295="Да",3/12,1)</f>
        <v/>
      </c>
      <c r="M88" s="180">
        <f>'01_Вводные'!$E$274*IF('01_Вводные'!$B$295="Да",3/12,1)</f>
        <v/>
      </c>
      <c r="N88" s="180">
        <f>'01_Вводные'!$E$275*IF('01_Вводные'!$B$295="Да",3/12,1)</f>
        <v/>
      </c>
      <c r="O88" s="180">
        <f>'01_Вводные'!$E$276*IF('01_Вводные'!$B$295="Да",3/12,1)</f>
        <v/>
      </c>
      <c r="P88" s="180">
        <f>'01_Вводные'!$E$277*IF('01_Вводные'!$B$295="Да",3/12,1)</f>
        <v/>
      </c>
      <c r="Q88" s="180">
        <f>'01_Вводные'!$E$278*IF('01_Вводные'!$B$295="Да",3/12,1)</f>
        <v/>
      </c>
      <c r="R88" s="180">
        <f>'01_Вводные'!$E$279*IF('01_Вводные'!$B$295="Да",3/12,1)</f>
        <v/>
      </c>
      <c r="S88" s="180">
        <f>'01_Вводные'!$E$280*IF('01_Вводные'!$B$295="Да",3/12,1)</f>
        <v/>
      </c>
      <c r="T88" s="180">
        <f>'01_Вводные'!$E$281*IF('01_Вводные'!$B$295="Да",3/12,1)</f>
        <v/>
      </c>
      <c r="U88" s="180">
        <f>'01_Вводные'!$E$282*IF('01_Вводные'!$B$295="Да",3/12,1)</f>
        <v/>
      </c>
    </row>
    <row r="89" ht="15.75" customHeight="1" s="194">
      <c r="A89" s="178" t="inlineStr">
        <is>
          <t>4</t>
        </is>
      </c>
      <c r="B89" s="180">
        <f>'01_Вводные'!$E$263*IF('01_Вводные'!$B$295="Да",4/12,1)</f>
        <v/>
      </c>
      <c r="C89" s="180">
        <f>'01_Вводные'!$E$264*IF('01_Вводные'!$B$295="Да",4/12,1)</f>
        <v/>
      </c>
      <c r="D89" s="180">
        <f>'01_Вводные'!$E$265*IF('01_Вводные'!$B$295="Да",4/12,1)</f>
        <v/>
      </c>
      <c r="E89" s="180">
        <f>'01_Вводные'!$E$266*IF('01_Вводные'!$B$295="Да",4/12,1)</f>
        <v/>
      </c>
      <c r="F89" s="180">
        <f>'01_Вводные'!$E$267*IF('01_Вводные'!$B$295="Да",4/12,1)</f>
        <v/>
      </c>
      <c r="G89" s="180">
        <f>'01_Вводные'!$E$268*IF('01_Вводные'!$B$295="Да",4/12,1)</f>
        <v/>
      </c>
      <c r="H89" s="180">
        <f>'01_Вводные'!$E$269*IF('01_Вводные'!$B$295="Да",4/12,1)</f>
        <v/>
      </c>
      <c r="I89" s="180">
        <f>'01_Вводные'!$E$270*IF('01_Вводные'!$B$295="Да",4/12,1)</f>
        <v/>
      </c>
      <c r="J89" s="180">
        <f>'01_Вводные'!$E$271*IF('01_Вводные'!$B$295="Да",4/12,1)</f>
        <v/>
      </c>
      <c r="K89" s="180">
        <f>'01_Вводные'!$E$272*IF('01_Вводные'!$B$295="Да",4/12,1)</f>
        <v/>
      </c>
      <c r="L89" s="180">
        <f>'01_Вводные'!$E$273*IF('01_Вводные'!$B$295="Да",4/12,1)</f>
        <v/>
      </c>
      <c r="M89" s="180">
        <f>'01_Вводные'!$E$274*IF('01_Вводные'!$B$295="Да",4/12,1)</f>
        <v/>
      </c>
      <c r="N89" s="180">
        <f>'01_Вводные'!$E$275*IF('01_Вводные'!$B$295="Да",4/12,1)</f>
        <v/>
      </c>
      <c r="O89" s="180">
        <f>'01_Вводные'!$E$276*IF('01_Вводные'!$B$295="Да",4/12,1)</f>
        <v/>
      </c>
      <c r="P89" s="180">
        <f>'01_Вводные'!$E$277*IF('01_Вводные'!$B$295="Да",4/12,1)</f>
        <v/>
      </c>
      <c r="Q89" s="180">
        <f>'01_Вводные'!$E$278*IF('01_Вводные'!$B$295="Да",4/12,1)</f>
        <v/>
      </c>
      <c r="R89" s="180">
        <f>'01_Вводные'!$E$279*IF('01_Вводные'!$B$295="Да",4/12,1)</f>
        <v/>
      </c>
      <c r="S89" s="180">
        <f>'01_Вводные'!$E$280*IF('01_Вводные'!$B$295="Да",4/12,1)</f>
        <v/>
      </c>
      <c r="T89" s="180">
        <f>'01_Вводные'!$E$281*IF('01_Вводные'!$B$295="Да",4/12,1)</f>
        <v/>
      </c>
      <c r="U89" s="180">
        <f>'01_Вводные'!$E$282*IF('01_Вводные'!$B$295="Да",4/12,1)</f>
        <v/>
      </c>
    </row>
    <row r="90" ht="15.75" customHeight="1" s="194">
      <c r="A90" s="178" t="inlineStr">
        <is>
          <t>5</t>
        </is>
      </c>
      <c r="B90" s="180">
        <f>'01_Вводные'!$E$263*IF('01_Вводные'!$B$295="Да",5/12,1)</f>
        <v/>
      </c>
      <c r="C90" s="180">
        <f>'01_Вводные'!$E$264*IF('01_Вводные'!$B$295="Да",5/12,1)</f>
        <v/>
      </c>
      <c r="D90" s="180">
        <f>'01_Вводные'!$E$265*IF('01_Вводные'!$B$295="Да",5/12,1)</f>
        <v/>
      </c>
      <c r="E90" s="180">
        <f>'01_Вводные'!$E$266*IF('01_Вводные'!$B$295="Да",5/12,1)</f>
        <v/>
      </c>
      <c r="F90" s="180">
        <f>'01_Вводные'!$E$267*IF('01_Вводные'!$B$295="Да",5/12,1)</f>
        <v/>
      </c>
      <c r="G90" s="180">
        <f>'01_Вводные'!$E$268*IF('01_Вводные'!$B$295="Да",5/12,1)</f>
        <v/>
      </c>
      <c r="H90" s="180">
        <f>'01_Вводные'!$E$269*IF('01_Вводные'!$B$295="Да",5/12,1)</f>
        <v/>
      </c>
      <c r="I90" s="180">
        <f>'01_Вводные'!$E$270*IF('01_Вводные'!$B$295="Да",5/12,1)</f>
        <v/>
      </c>
      <c r="J90" s="180">
        <f>'01_Вводные'!$E$271*IF('01_Вводные'!$B$295="Да",5/12,1)</f>
        <v/>
      </c>
      <c r="K90" s="180">
        <f>'01_Вводные'!$E$272*IF('01_Вводные'!$B$295="Да",5/12,1)</f>
        <v/>
      </c>
      <c r="L90" s="180">
        <f>'01_Вводные'!$E$273*IF('01_Вводные'!$B$295="Да",5/12,1)</f>
        <v/>
      </c>
      <c r="M90" s="180">
        <f>'01_Вводные'!$E$274*IF('01_Вводные'!$B$295="Да",5/12,1)</f>
        <v/>
      </c>
      <c r="N90" s="180">
        <f>'01_Вводные'!$E$275*IF('01_Вводные'!$B$295="Да",5/12,1)</f>
        <v/>
      </c>
      <c r="O90" s="180">
        <f>'01_Вводные'!$E$276*IF('01_Вводные'!$B$295="Да",5/12,1)</f>
        <v/>
      </c>
      <c r="P90" s="180">
        <f>'01_Вводные'!$E$277*IF('01_Вводные'!$B$295="Да",5/12,1)</f>
        <v/>
      </c>
      <c r="Q90" s="180">
        <f>'01_Вводные'!$E$278*IF('01_Вводные'!$B$295="Да",5/12,1)</f>
        <v/>
      </c>
      <c r="R90" s="180">
        <f>'01_Вводные'!$E$279*IF('01_Вводные'!$B$295="Да",5/12,1)</f>
        <v/>
      </c>
      <c r="S90" s="180">
        <f>'01_Вводные'!$E$280*IF('01_Вводные'!$B$295="Да",5/12,1)</f>
        <v/>
      </c>
      <c r="T90" s="180">
        <f>'01_Вводные'!$E$281*IF('01_Вводные'!$B$295="Да",5/12,1)</f>
        <v/>
      </c>
      <c r="U90" s="180">
        <f>'01_Вводные'!$E$282*IF('01_Вводные'!$B$295="Да",5/12,1)</f>
        <v/>
      </c>
    </row>
    <row r="91" ht="15.75" customHeight="1" s="194">
      <c r="A91" s="178" t="inlineStr">
        <is>
          <t>6</t>
        </is>
      </c>
      <c r="B91" s="180">
        <f>'01_Вводные'!$E$263*IF('01_Вводные'!$B$295="Да",6/12,1)</f>
        <v/>
      </c>
      <c r="C91" s="180">
        <f>'01_Вводные'!$E$264*IF('01_Вводные'!$B$295="Да",6/12,1)</f>
        <v/>
      </c>
      <c r="D91" s="180">
        <f>'01_Вводные'!$E$265*IF('01_Вводные'!$B$295="Да",6/12,1)</f>
        <v/>
      </c>
      <c r="E91" s="180">
        <f>'01_Вводные'!$E$266*IF('01_Вводные'!$B$295="Да",6/12,1)</f>
        <v/>
      </c>
      <c r="F91" s="180">
        <f>'01_Вводные'!$E$267*IF('01_Вводные'!$B$295="Да",6/12,1)</f>
        <v/>
      </c>
      <c r="G91" s="180">
        <f>'01_Вводные'!$E$268*IF('01_Вводные'!$B$295="Да",6/12,1)</f>
        <v/>
      </c>
      <c r="H91" s="180">
        <f>'01_Вводные'!$E$269*IF('01_Вводные'!$B$295="Да",6/12,1)</f>
        <v/>
      </c>
      <c r="I91" s="180">
        <f>'01_Вводные'!$E$270*IF('01_Вводные'!$B$295="Да",6/12,1)</f>
        <v/>
      </c>
      <c r="J91" s="180">
        <f>'01_Вводные'!$E$271*IF('01_Вводные'!$B$295="Да",6/12,1)</f>
        <v/>
      </c>
      <c r="K91" s="180">
        <f>'01_Вводные'!$E$272*IF('01_Вводные'!$B$295="Да",6/12,1)</f>
        <v/>
      </c>
      <c r="L91" s="180">
        <f>'01_Вводные'!$E$273*IF('01_Вводные'!$B$295="Да",6/12,1)</f>
        <v/>
      </c>
      <c r="M91" s="180">
        <f>'01_Вводные'!$E$274*IF('01_Вводные'!$B$295="Да",6/12,1)</f>
        <v/>
      </c>
      <c r="N91" s="180">
        <f>'01_Вводные'!$E$275*IF('01_Вводные'!$B$295="Да",6/12,1)</f>
        <v/>
      </c>
      <c r="O91" s="180">
        <f>'01_Вводные'!$E$276*IF('01_Вводные'!$B$295="Да",6/12,1)</f>
        <v/>
      </c>
      <c r="P91" s="180">
        <f>'01_Вводные'!$E$277*IF('01_Вводные'!$B$295="Да",6/12,1)</f>
        <v/>
      </c>
      <c r="Q91" s="180">
        <f>'01_Вводные'!$E$278*IF('01_Вводные'!$B$295="Да",6/12,1)</f>
        <v/>
      </c>
      <c r="R91" s="180">
        <f>'01_Вводные'!$E$279*IF('01_Вводные'!$B$295="Да",6/12,1)</f>
        <v/>
      </c>
      <c r="S91" s="180">
        <f>'01_Вводные'!$E$280*IF('01_Вводные'!$B$295="Да",6/12,1)</f>
        <v/>
      </c>
      <c r="T91" s="180">
        <f>'01_Вводные'!$E$281*IF('01_Вводные'!$B$295="Да",6/12,1)</f>
        <v/>
      </c>
      <c r="U91" s="180">
        <f>'01_Вводные'!$E$282*IF('01_Вводные'!$B$295="Да",6/12,1)</f>
        <v/>
      </c>
    </row>
    <row r="92" ht="15.75" customHeight="1" s="194">
      <c r="A92" s="178" t="inlineStr">
        <is>
          <t>7</t>
        </is>
      </c>
      <c r="B92" s="180">
        <f>'01_Вводные'!$E$263*IF('01_Вводные'!$B$295="Да",7/12,1)</f>
        <v/>
      </c>
      <c r="C92" s="180">
        <f>'01_Вводные'!$E$264*IF('01_Вводные'!$B$295="Да",7/12,1)</f>
        <v/>
      </c>
      <c r="D92" s="180">
        <f>'01_Вводные'!$E$265*IF('01_Вводные'!$B$295="Да",7/12,1)</f>
        <v/>
      </c>
      <c r="E92" s="180">
        <f>'01_Вводные'!$E$266*IF('01_Вводные'!$B$295="Да",7/12,1)</f>
        <v/>
      </c>
      <c r="F92" s="180">
        <f>'01_Вводные'!$E$267*IF('01_Вводные'!$B$295="Да",7/12,1)</f>
        <v/>
      </c>
      <c r="G92" s="180">
        <f>'01_Вводные'!$E$268*IF('01_Вводные'!$B$295="Да",7/12,1)</f>
        <v/>
      </c>
      <c r="H92" s="180">
        <f>'01_Вводные'!$E$269*IF('01_Вводные'!$B$295="Да",7/12,1)</f>
        <v/>
      </c>
      <c r="I92" s="180">
        <f>'01_Вводные'!$E$270*IF('01_Вводные'!$B$295="Да",7/12,1)</f>
        <v/>
      </c>
      <c r="J92" s="180">
        <f>'01_Вводные'!$E$271*IF('01_Вводные'!$B$295="Да",7/12,1)</f>
        <v/>
      </c>
      <c r="K92" s="180">
        <f>'01_Вводные'!$E$272*IF('01_Вводные'!$B$295="Да",7/12,1)</f>
        <v/>
      </c>
      <c r="L92" s="180">
        <f>'01_Вводные'!$E$273*IF('01_Вводные'!$B$295="Да",7/12,1)</f>
        <v/>
      </c>
      <c r="M92" s="180">
        <f>'01_Вводные'!$E$274*IF('01_Вводные'!$B$295="Да",7/12,1)</f>
        <v/>
      </c>
      <c r="N92" s="180">
        <f>'01_Вводные'!$E$275*IF('01_Вводные'!$B$295="Да",7/12,1)</f>
        <v/>
      </c>
      <c r="O92" s="180">
        <f>'01_Вводные'!$E$276*IF('01_Вводные'!$B$295="Да",7/12,1)</f>
        <v/>
      </c>
      <c r="P92" s="180">
        <f>'01_Вводные'!$E$277*IF('01_Вводные'!$B$295="Да",7/12,1)</f>
        <v/>
      </c>
      <c r="Q92" s="180">
        <f>'01_Вводные'!$E$278*IF('01_Вводные'!$B$295="Да",7/12,1)</f>
        <v/>
      </c>
      <c r="R92" s="180">
        <f>'01_Вводные'!$E$279*IF('01_Вводные'!$B$295="Да",7/12,1)</f>
        <v/>
      </c>
      <c r="S92" s="180">
        <f>'01_Вводные'!$E$280*IF('01_Вводные'!$B$295="Да",7/12,1)</f>
        <v/>
      </c>
      <c r="T92" s="180">
        <f>'01_Вводные'!$E$281*IF('01_Вводные'!$B$295="Да",7/12,1)</f>
        <v/>
      </c>
      <c r="U92" s="180">
        <f>'01_Вводные'!$E$282*IF('01_Вводные'!$B$295="Да",7/12,1)</f>
        <v/>
      </c>
    </row>
    <row r="93" ht="15.75" customHeight="1" s="194">
      <c r="A93" s="178" t="inlineStr">
        <is>
          <t>8</t>
        </is>
      </c>
      <c r="B93" s="180">
        <f>'01_Вводные'!$E$263*IF('01_Вводные'!$B$295="Да",8/12,1)</f>
        <v/>
      </c>
      <c r="C93" s="180">
        <f>'01_Вводные'!$E$264*IF('01_Вводные'!$B$295="Да",8/12,1)</f>
        <v/>
      </c>
      <c r="D93" s="180">
        <f>'01_Вводные'!$E$265*IF('01_Вводные'!$B$295="Да",8/12,1)</f>
        <v/>
      </c>
      <c r="E93" s="180">
        <f>'01_Вводные'!$E$266*IF('01_Вводные'!$B$295="Да",8/12,1)</f>
        <v/>
      </c>
      <c r="F93" s="180">
        <f>'01_Вводные'!$E$267*IF('01_Вводные'!$B$295="Да",8/12,1)</f>
        <v/>
      </c>
      <c r="G93" s="180">
        <f>'01_Вводные'!$E$268*IF('01_Вводные'!$B$295="Да",8/12,1)</f>
        <v/>
      </c>
      <c r="H93" s="180">
        <f>'01_Вводные'!$E$269*IF('01_Вводные'!$B$295="Да",8/12,1)</f>
        <v/>
      </c>
      <c r="I93" s="180">
        <f>'01_Вводные'!$E$270*IF('01_Вводные'!$B$295="Да",8/12,1)</f>
        <v/>
      </c>
      <c r="J93" s="180">
        <f>'01_Вводные'!$E$271*IF('01_Вводные'!$B$295="Да",8/12,1)</f>
        <v/>
      </c>
      <c r="K93" s="180">
        <f>'01_Вводные'!$E$272*IF('01_Вводные'!$B$295="Да",8/12,1)</f>
        <v/>
      </c>
      <c r="L93" s="180">
        <f>'01_Вводные'!$E$273*IF('01_Вводные'!$B$295="Да",8/12,1)</f>
        <v/>
      </c>
      <c r="M93" s="180">
        <f>'01_Вводные'!$E$274*IF('01_Вводные'!$B$295="Да",8/12,1)</f>
        <v/>
      </c>
      <c r="N93" s="180">
        <f>'01_Вводные'!$E$275*IF('01_Вводные'!$B$295="Да",8/12,1)</f>
        <v/>
      </c>
      <c r="O93" s="180">
        <f>'01_Вводные'!$E$276*IF('01_Вводные'!$B$295="Да",8/12,1)</f>
        <v/>
      </c>
      <c r="P93" s="180">
        <f>'01_Вводные'!$E$277*IF('01_Вводные'!$B$295="Да",8/12,1)</f>
        <v/>
      </c>
      <c r="Q93" s="180">
        <f>'01_Вводные'!$E$278*IF('01_Вводные'!$B$295="Да",8/12,1)</f>
        <v/>
      </c>
      <c r="R93" s="180">
        <f>'01_Вводные'!$E$279*IF('01_Вводные'!$B$295="Да",8/12,1)</f>
        <v/>
      </c>
      <c r="S93" s="180">
        <f>'01_Вводные'!$E$280*IF('01_Вводные'!$B$295="Да",8/12,1)</f>
        <v/>
      </c>
      <c r="T93" s="180">
        <f>'01_Вводные'!$E$281*IF('01_Вводные'!$B$295="Да",8/12,1)</f>
        <v/>
      </c>
      <c r="U93" s="180">
        <f>'01_Вводные'!$E$282*IF('01_Вводные'!$B$295="Да",8/12,1)</f>
        <v/>
      </c>
    </row>
    <row r="94" ht="15.75" customHeight="1" s="194">
      <c r="A94" s="178" t="inlineStr">
        <is>
          <t>9</t>
        </is>
      </c>
      <c r="B94" s="180">
        <f>'01_Вводные'!$E$263*IF('01_Вводные'!$B$295="Да",9/12,1)</f>
        <v/>
      </c>
      <c r="C94" s="180">
        <f>'01_Вводные'!$E$264*IF('01_Вводные'!$B$295="Да",9/12,1)</f>
        <v/>
      </c>
      <c r="D94" s="180">
        <f>'01_Вводные'!$E$265*IF('01_Вводные'!$B$295="Да",9/12,1)</f>
        <v/>
      </c>
      <c r="E94" s="180">
        <f>'01_Вводные'!$E$266*IF('01_Вводные'!$B$295="Да",9/12,1)</f>
        <v/>
      </c>
      <c r="F94" s="180">
        <f>'01_Вводные'!$E$267*IF('01_Вводные'!$B$295="Да",9/12,1)</f>
        <v/>
      </c>
      <c r="G94" s="180">
        <f>'01_Вводные'!$E$268*IF('01_Вводные'!$B$295="Да",9/12,1)</f>
        <v/>
      </c>
      <c r="H94" s="180">
        <f>'01_Вводные'!$E$269*IF('01_Вводные'!$B$295="Да",9/12,1)</f>
        <v/>
      </c>
      <c r="I94" s="180">
        <f>'01_Вводные'!$E$270*IF('01_Вводные'!$B$295="Да",9/12,1)</f>
        <v/>
      </c>
      <c r="J94" s="180">
        <f>'01_Вводные'!$E$271*IF('01_Вводные'!$B$295="Да",9/12,1)</f>
        <v/>
      </c>
      <c r="K94" s="180">
        <f>'01_Вводные'!$E$272*IF('01_Вводные'!$B$295="Да",9/12,1)</f>
        <v/>
      </c>
      <c r="L94" s="180">
        <f>'01_Вводные'!$E$273*IF('01_Вводные'!$B$295="Да",9/12,1)</f>
        <v/>
      </c>
      <c r="M94" s="180">
        <f>'01_Вводные'!$E$274*IF('01_Вводные'!$B$295="Да",9/12,1)</f>
        <v/>
      </c>
      <c r="N94" s="180">
        <f>'01_Вводные'!$E$275*IF('01_Вводные'!$B$295="Да",9/12,1)</f>
        <v/>
      </c>
      <c r="O94" s="180">
        <f>'01_Вводные'!$E$276*IF('01_Вводные'!$B$295="Да",9/12,1)</f>
        <v/>
      </c>
      <c r="P94" s="180">
        <f>'01_Вводные'!$E$277*IF('01_Вводные'!$B$295="Да",9/12,1)</f>
        <v/>
      </c>
      <c r="Q94" s="180">
        <f>'01_Вводные'!$E$278*IF('01_Вводные'!$B$295="Да",9/12,1)</f>
        <v/>
      </c>
      <c r="R94" s="180">
        <f>'01_Вводные'!$E$279*IF('01_Вводные'!$B$295="Да",9/12,1)</f>
        <v/>
      </c>
      <c r="S94" s="180">
        <f>'01_Вводные'!$E$280*IF('01_Вводные'!$B$295="Да",9/12,1)</f>
        <v/>
      </c>
      <c r="T94" s="180">
        <f>'01_Вводные'!$E$281*IF('01_Вводные'!$B$295="Да",9/12,1)</f>
        <v/>
      </c>
      <c r="U94" s="180">
        <f>'01_Вводные'!$E$282*IF('01_Вводные'!$B$295="Да",9/12,1)</f>
        <v/>
      </c>
    </row>
    <row r="95" ht="15.75" customHeight="1" s="194">
      <c r="A95" s="178" t="inlineStr">
        <is>
          <t>10</t>
        </is>
      </c>
      <c r="B95" s="180">
        <f>'01_Вводные'!$E$263*IF('01_Вводные'!$B$295="Да",10/12,1)</f>
        <v/>
      </c>
      <c r="C95" s="180">
        <f>'01_Вводные'!$E$264*IF('01_Вводные'!$B$295="Да",10/12,1)</f>
        <v/>
      </c>
      <c r="D95" s="180">
        <f>'01_Вводные'!$E$265*IF('01_Вводные'!$B$295="Да",10/12,1)</f>
        <v/>
      </c>
      <c r="E95" s="180">
        <f>'01_Вводные'!$E$266*IF('01_Вводные'!$B$295="Да",10/12,1)</f>
        <v/>
      </c>
      <c r="F95" s="180">
        <f>'01_Вводные'!$E$267*IF('01_Вводные'!$B$295="Да",10/12,1)</f>
        <v/>
      </c>
      <c r="G95" s="180">
        <f>'01_Вводные'!$E$268*IF('01_Вводные'!$B$295="Да",10/12,1)</f>
        <v/>
      </c>
      <c r="H95" s="180">
        <f>'01_Вводные'!$E$269*IF('01_Вводные'!$B$295="Да",10/12,1)</f>
        <v/>
      </c>
      <c r="I95" s="180">
        <f>'01_Вводные'!$E$270*IF('01_Вводные'!$B$295="Да",10/12,1)</f>
        <v/>
      </c>
      <c r="J95" s="180">
        <f>'01_Вводные'!$E$271*IF('01_Вводные'!$B$295="Да",10/12,1)</f>
        <v/>
      </c>
      <c r="K95" s="180">
        <f>'01_Вводные'!$E$272*IF('01_Вводные'!$B$295="Да",10/12,1)</f>
        <v/>
      </c>
      <c r="L95" s="180">
        <f>'01_Вводные'!$E$273*IF('01_Вводные'!$B$295="Да",10/12,1)</f>
        <v/>
      </c>
      <c r="M95" s="180">
        <f>'01_Вводные'!$E$274*IF('01_Вводные'!$B$295="Да",10/12,1)</f>
        <v/>
      </c>
      <c r="N95" s="180">
        <f>'01_Вводные'!$E$275*IF('01_Вводные'!$B$295="Да",10/12,1)</f>
        <v/>
      </c>
      <c r="O95" s="180">
        <f>'01_Вводные'!$E$276*IF('01_Вводные'!$B$295="Да",10/12,1)</f>
        <v/>
      </c>
      <c r="P95" s="180">
        <f>'01_Вводные'!$E$277*IF('01_Вводные'!$B$295="Да",10/12,1)</f>
        <v/>
      </c>
      <c r="Q95" s="180">
        <f>'01_Вводные'!$E$278*IF('01_Вводные'!$B$295="Да",10/12,1)</f>
        <v/>
      </c>
      <c r="R95" s="180">
        <f>'01_Вводные'!$E$279*IF('01_Вводные'!$B$295="Да",10/12,1)</f>
        <v/>
      </c>
      <c r="S95" s="180">
        <f>'01_Вводные'!$E$280*IF('01_Вводные'!$B$295="Да",10/12,1)</f>
        <v/>
      </c>
      <c r="T95" s="180">
        <f>'01_Вводные'!$E$281*IF('01_Вводные'!$B$295="Да",10/12,1)</f>
        <v/>
      </c>
      <c r="U95" s="180">
        <f>'01_Вводные'!$E$282*IF('01_Вводные'!$B$295="Да",10/12,1)</f>
        <v/>
      </c>
    </row>
    <row r="96" ht="15.75" customHeight="1" s="194">
      <c r="A96" s="178" t="inlineStr">
        <is>
          <t>11</t>
        </is>
      </c>
      <c r="B96" s="180">
        <f>'01_Вводные'!$E$263*IF('01_Вводные'!$B$295="Да",11/12,1)</f>
        <v/>
      </c>
      <c r="C96" s="180">
        <f>'01_Вводные'!$E$264*IF('01_Вводные'!$B$295="Да",11/12,1)</f>
        <v/>
      </c>
      <c r="D96" s="180">
        <f>'01_Вводные'!$E$265*IF('01_Вводные'!$B$295="Да",11/12,1)</f>
        <v/>
      </c>
      <c r="E96" s="180">
        <f>'01_Вводные'!$E$266*IF('01_Вводные'!$B$295="Да",11/12,1)</f>
        <v/>
      </c>
      <c r="F96" s="180">
        <f>'01_Вводные'!$E$267*IF('01_Вводные'!$B$295="Да",11/12,1)</f>
        <v/>
      </c>
      <c r="G96" s="180">
        <f>'01_Вводные'!$E$268*IF('01_Вводные'!$B$295="Да",11/12,1)</f>
        <v/>
      </c>
      <c r="H96" s="180">
        <f>'01_Вводные'!$E$269*IF('01_Вводные'!$B$295="Да",11/12,1)</f>
        <v/>
      </c>
      <c r="I96" s="180">
        <f>'01_Вводные'!$E$270*IF('01_Вводные'!$B$295="Да",11/12,1)</f>
        <v/>
      </c>
      <c r="J96" s="180">
        <f>'01_Вводные'!$E$271*IF('01_Вводные'!$B$295="Да",11/12,1)</f>
        <v/>
      </c>
      <c r="K96" s="180">
        <f>'01_Вводные'!$E$272*IF('01_Вводные'!$B$295="Да",11/12,1)</f>
        <v/>
      </c>
      <c r="L96" s="180">
        <f>'01_Вводные'!$E$273*IF('01_Вводные'!$B$295="Да",11/12,1)</f>
        <v/>
      </c>
      <c r="M96" s="180">
        <f>'01_Вводные'!$E$274*IF('01_Вводные'!$B$295="Да",11/12,1)</f>
        <v/>
      </c>
      <c r="N96" s="180">
        <f>'01_Вводные'!$E$275*IF('01_Вводные'!$B$295="Да",11/12,1)</f>
        <v/>
      </c>
      <c r="O96" s="180">
        <f>'01_Вводные'!$E$276*IF('01_Вводные'!$B$295="Да",11/12,1)</f>
        <v/>
      </c>
      <c r="P96" s="180">
        <f>'01_Вводные'!$E$277*IF('01_Вводные'!$B$295="Да",11/12,1)</f>
        <v/>
      </c>
      <c r="Q96" s="180">
        <f>'01_Вводные'!$E$278*IF('01_Вводные'!$B$295="Да",11/12,1)</f>
        <v/>
      </c>
      <c r="R96" s="180">
        <f>'01_Вводные'!$E$279*IF('01_Вводные'!$B$295="Да",11/12,1)</f>
        <v/>
      </c>
      <c r="S96" s="180">
        <f>'01_Вводные'!$E$280*IF('01_Вводные'!$B$295="Да",11/12,1)</f>
        <v/>
      </c>
      <c r="T96" s="180">
        <f>'01_Вводные'!$E$281*IF('01_Вводные'!$B$295="Да",11/12,1)</f>
        <v/>
      </c>
      <c r="U96" s="180">
        <f>'01_Вводные'!$E$282*IF('01_Вводные'!$B$295="Да",11/12,1)</f>
        <v/>
      </c>
    </row>
    <row r="97" ht="15.75" customHeight="1" s="194">
      <c r="A97" s="178" t="inlineStr">
        <is>
          <t>12</t>
        </is>
      </c>
      <c r="B97" s="180">
        <f>'01_Вводные'!$E$263*IF('01_Вводные'!$B$295="Да",12/12,1)</f>
        <v/>
      </c>
      <c r="C97" s="180">
        <f>'01_Вводные'!$E$264*IF('01_Вводные'!$B$295="Да",12/12,1)</f>
        <v/>
      </c>
      <c r="D97" s="180">
        <f>'01_Вводные'!$E$265*IF('01_Вводные'!$B$295="Да",12/12,1)</f>
        <v/>
      </c>
      <c r="E97" s="180">
        <f>'01_Вводные'!$E$266*IF('01_Вводные'!$B$295="Да",12/12,1)</f>
        <v/>
      </c>
      <c r="F97" s="180">
        <f>'01_Вводные'!$E$267*IF('01_Вводные'!$B$295="Да",12/12,1)</f>
        <v/>
      </c>
      <c r="G97" s="180">
        <f>'01_Вводные'!$E$268*IF('01_Вводные'!$B$295="Да",12/12,1)</f>
        <v/>
      </c>
      <c r="H97" s="180">
        <f>'01_Вводные'!$E$269*IF('01_Вводные'!$B$295="Да",12/12,1)</f>
        <v/>
      </c>
      <c r="I97" s="180">
        <f>'01_Вводные'!$E$270*IF('01_Вводные'!$B$295="Да",12/12,1)</f>
        <v/>
      </c>
      <c r="J97" s="180">
        <f>'01_Вводные'!$E$271*IF('01_Вводные'!$B$295="Да",12/12,1)</f>
        <v/>
      </c>
      <c r="K97" s="180">
        <f>'01_Вводные'!$E$272*IF('01_Вводные'!$B$295="Да",12/12,1)</f>
        <v/>
      </c>
      <c r="L97" s="180">
        <f>'01_Вводные'!$E$273*IF('01_Вводные'!$B$295="Да",12/12,1)</f>
        <v/>
      </c>
      <c r="M97" s="180">
        <f>'01_Вводные'!$E$274*IF('01_Вводные'!$B$295="Да",12/12,1)</f>
        <v/>
      </c>
      <c r="N97" s="180">
        <f>'01_Вводные'!$E$275*IF('01_Вводные'!$B$295="Да",12/12,1)</f>
        <v/>
      </c>
      <c r="O97" s="180">
        <f>'01_Вводные'!$E$276*IF('01_Вводные'!$B$295="Да",12/12,1)</f>
        <v/>
      </c>
      <c r="P97" s="180">
        <f>'01_Вводные'!$E$277*IF('01_Вводные'!$B$295="Да",12/12,1)</f>
        <v/>
      </c>
      <c r="Q97" s="180">
        <f>'01_Вводные'!$E$278*IF('01_Вводные'!$B$295="Да",12/12,1)</f>
        <v/>
      </c>
      <c r="R97" s="180">
        <f>'01_Вводные'!$E$279*IF('01_Вводные'!$B$295="Да",12/12,1)</f>
        <v/>
      </c>
      <c r="S97" s="180">
        <f>'01_Вводные'!$E$280*IF('01_Вводные'!$B$295="Да",12/12,1)</f>
        <v/>
      </c>
      <c r="T97" s="180">
        <f>'01_Вводные'!$E$281*IF('01_Вводные'!$B$295="Да",12/12,1)</f>
        <v/>
      </c>
      <c r="U97" s="180">
        <f>'01_Вводные'!$E$282*IF('01_Вводные'!$B$295="Да",12/12,1)</f>
        <v/>
      </c>
    </row>
    <row r="98" ht="15.75" customHeight="1" s="194">
      <c r="A98" s="178" t="inlineStr">
        <is>
          <t>13</t>
        </is>
      </c>
      <c r="B98" s="180">
        <f>IF('01_Вводные'!$B$295="Да",'01_Вводные'!$E$263+('01_Вводные'!$F$263-'01_Вводные'!$E$263)*1/12,'01_Вводные'!$F$263)</f>
        <v/>
      </c>
      <c r="C98" s="180">
        <f>IF('01_Вводные'!$B$295="Да",'01_Вводные'!$E$264+('01_Вводные'!$F$264-'01_Вводные'!$E$264)*1/12,'01_Вводные'!$F$264)</f>
        <v/>
      </c>
      <c r="D98" s="180">
        <f>IF('01_Вводные'!$B$295="Да",'01_Вводные'!$E$265+('01_Вводные'!$F$265-'01_Вводные'!$E$265)*1/12,'01_Вводные'!$F$265)</f>
        <v/>
      </c>
      <c r="E98" s="180">
        <f>IF('01_Вводные'!$B$295="Да",'01_Вводные'!$E$266+('01_Вводные'!$F$266-'01_Вводные'!$E$266)*1/12,'01_Вводные'!$F$266)</f>
        <v/>
      </c>
      <c r="F98" s="180">
        <f>IF('01_Вводные'!$B$295="Да",'01_Вводные'!$E$267+('01_Вводные'!$F$267-'01_Вводные'!$E$267)*1/12,'01_Вводные'!$F$267)</f>
        <v/>
      </c>
      <c r="G98" s="180">
        <f>IF('01_Вводные'!$B$295="Да",'01_Вводные'!$E$268+('01_Вводные'!$F$268-'01_Вводные'!$E$268)*1/12,'01_Вводные'!$F$268)</f>
        <v/>
      </c>
      <c r="H98" s="180">
        <f>IF('01_Вводные'!$B$295="Да",'01_Вводные'!$E$269+('01_Вводные'!$F$269-'01_Вводные'!$E$269)*1/12,'01_Вводные'!$F$269)</f>
        <v/>
      </c>
      <c r="I98" s="180">
        <f>IF('01_Вводные'!$B$295="Да",'01_Вводные'!$E$270+('01_Вводные'!$F$270-'01_Вводные'!$E$270)*1/12,'01_Вводные'!$F$270)</f>
        <v/>
      </c>
      <c r="J98" s="180">
        <f>IF('01_Вводные'!$B$295="Да",'01_Вводные'!$E$271+('01_Вводные'!$F$271-'01_Вводные'!$E$271)*1/12,'01_Вводные'!$F$271)</f>
        <v/>
      </c>
      <c r="K98" s="180">
        <f>IF('01_Вводные'!$B$295="Да",'01_Вводные'!$E$272+('01_Вводные'!$F$272-'01_Вводные'!$E$272)*1/12,'01_Вводные'!$F$272)</f>
        <v/>
      </c>
      <c r="L98" s="180">
        <f>IF('01_Вводные'!$B$295="Да",'01_Вводные'!$E$273+('01_Вводные'!$F$273-'01_Вводные'!$E$273)*1/12,'01_Вводные'!$F$273)</f>
        <v/>
      </c>
      <c r="M98" s="180">
        <f>IF('01_Вводные'!$B$295="Да",'01_Вводные'!$E$274+('01_Вводные'!$F$274-'01_Вводные'!$E$274)*1/12,'01_Вводные'!$F$274)</f>
        <v/>
      </c>
      <c r="N98" s="180">
        <f>IF('01_Вводные'!$B$295="Да",'01_Вводные'!$E$275+('01_Вводные'!$F$275-'01_Вводные'!$E$275)*1/12,'01_Вводные'!$F$275)</f>
        <v/>
      </c>
      <c r="O98" s="180">
        <f>IF('01_Вводные'!$B$295="Да",'01_Вводные'!$E$276+('01_Вводные'!$F$276-'01_Вводные'!$E$276)*1/12,'01_Вводные'!$F$276)</f>
        <v/>
      </c>
      <c r="P98" s="180">
        <f>IF('01_Вводные'!$B$295="Да",'01_Вводные'!$E$277+('01_Вводные'!$F$277-'01_Вводные'!$E$277)*1/12,'01_Вводные'!$F$277)</f>
        <v/>
      </c>
      <c r="Q98" s="180">
        <f>IF('01_Вводные'!$B$295="Да",'01_Вводные'!$E$278+('01_Вводные'!$F$278-'01_Вводные'!$E$278)*1/12,'01_Вводные'!$F$278)</f>
        <v/>
      </c>
      <c r="R98" s="180">
        <f>IF('01_Вводные'!$B$295="Да",'01_Вводные'!$E$279+('01_Вводные'!$F$279-'01_Вводные'!$E$279)*1/12,'01_Вводные'!$F$279)</f>
        <v/>
      </c>
      <c r="S98" s="180">
        <f>IF('01_Вводные'!$B$295="Да",'01_Вводные'!$E$280+('01_Вводные'!$F$280-'01_Вводные'!$E$280)*1/12,'01_Вводные'!$F$280)</f>
        <v/>
      </c>
      <c r="T98" s="180">
        <f>IF('01_Вводные'!$B$295="Да",'01_Вводные'!$E$281+('01_Вводные'!$F$281-'01_Вводные'!$E$281)*1/12,'01_Вводные'!$F$281)</f>
        <v/>
      </c>
      <c r="U98" s="180">
        <f>IF('01_Вводные'!$B$295="Да",'01_Вводные'!$E$282+('01_Вводные'!$F$282-'01_Вводные'!$E$282)*1/12,'01_Вводные'!$F$282)</f>
        <v/>
      </c>
    </row>
    <row r="99" ht="15.75" customHeight="1" s="194">
      <c r="A99" s="178" t="inlineStr">
        <is>
          <t>14</t>
        </is>
      </c>
      <c r="B99" s="180">
        <f>IF('01_Вводные'!$B$295="Да",'01_Вводные'!$E$263+('01_Вводные'!$F$263-'01_Вводные'!$E$263)*2/12,'01_Вводные'!$F$263)</f>
        <v/>
      </c>
      <c r="C99" s="180">
        <f>IF('01_Вводные'!$B$295="Да",'01_Вводные'!$E$264+('01_Вводные'!$F$264-'01_Вводные'!$E$264)*2/12,'01_Вводные'!$F$264)</f>
        <v/>
      </c>
      <c r="D99" s="180">
        <f>IF('01_Вводные'!$B$295="Да",'01_Вводные'!$E$265+('01_Вводные'!$F$265-'01_Вводные'!$E$265)*2/12,'01_Вводные'!$F$265)</f>
        <v/>
      </c>
      <c r="E99" s="180">
        <f>IF('01_Вводные'!$B$295="Да",'01_Вводные'!$E$266+('01_Вводные'!$F$266-'01_Вводные'!$E$266)*2/12,'01_Вводные'!$F$266)</f>
        <v/>
      </c>
      <c r="F99" s="180">
        <f>IF('01_Вводные'!$B$295="Да",'01_Вводные'!$E$267+('01_Вводные'!$F$267-'01_Вводные'!$E$267)*2/12,'01_Вводные'!$F$267)</f>
        <v/>
      </c>
      <c r="G99" s="180">
        <f>IF('01_Вводные'!$B$295="Да",'01_Вводные'!$E$268+('01_Вводные'!$F$268-'01_Вводные'!$E$268)*2/12,'01_Вводные'!$F$268)</f>
        <v/>
      </c>
      <c r="H99" s="180">
        <f>IF('01_Вводные'!$B$295="Да",'01_Вводные'!$E$269+('01_Вводные'!$F$269-'01_Вводные'!$E$269)*2/12,'01_Вводные'!$F$269)</f>
        <v/>
      </c>
      <c r="I99" s="180">
        <f>IF('01_Вводные'!$B$295="Да",'01_Вводные'!$E$270+('01_Вводные'!$F$270-'01_Вводные'!$E$270)*2/12,'01_Вводные'!$F$270)</f>
        <v/>
      </c>
      <c r="J99" s="180">
        <f>IF('01_Вводные'!$B$295="Да",'01_Вводные'!$E$271+('01_Вводные'!$F$271-'01_Вводные'!$E$271)*2/12,'01_Вводные'!$F$271)</f>
        <v/>
      </c>
      <c r="K99" s="180">
        <f>IF('01_Вводные'!$B$295="Да",'01_Вводные'!$E$272+('01_Вводные'!$F$272-'01_Вводные'!$E$272)*2/12,'01_Вводные'!$F$272)</f>
        <v/>
      </c>
      <c r="L99" s="180">
        <f>IF('01_Вводные'!$B$295="Да",'01_Вводные'!$E$273+('01_Вводные'!$F$273-'01_Вводные'!$E$273)*2/12,'01_Вводные'!$F$273)</f>
        <v/>
      </c>
      <c r="M99" s="180">
        <f>IF('01_Вводные'!$B$295="Да",'01_Вводные'!$E$274+('01_Вводные'!$F$274-'01_Вводные'!$E$274)*2/12,'01_Вводные'!$F$274)</f>
        <v/>
      </c>
      <c r="N99" s="180">
        <f>IF('01_Вводные'!$B$295="Да",'01_Вводные'!$E$275+('01_Вводные'!$F$275-'01_Вводные'!$E$275)*2/12,'01_Вводные'!$F$275)</f>
        <v/>
      </c>
      <c r="O99" s="180">
        <f>IF('01_Вводные'!$B$295="Да",'01_Вводные'!$E$276+('01_Вводные'!$F$276-'01_Вводные'!$E$276)*2/12,'01_Вводные'!$F$276)</f>
        <v/>
      </c>
      <c r="P99" s="180">
        <f>IF('01_Вводные'!$B$295="Да",'01_Вводные'!$E$277+('01_Вводные'!$F$277-'01_Вводные'!$E$277)*2/12,'01_Вводные'!$F$277)</f>
        <v/>
      </c>
      <c r="Q99" s="180">
        <f>IF('01_Вводные'!$B$295="Да",'01_Вводные'!$E$278+('01_Вводные'!$F$278-'01_Вводные'!$E$278)*2/12,'01_Вводные'!$F$278)</f>
        <v/>
      </c>
      <c r="R99" s="180">
        <f>IF('01_Вводные'!$B$295="Да",'01_Вводные'!$E$279+('01_Вводные'!$F$279-'01_Вводные'!$E$279)*2/12,'01_Вводные'!$F$279)</f>
        <v/>
      </c>
      <c r="S99" s="180">
        <f>IF('01_Вводные'!$B$295="Да",'01_Вводные'!$E$280+('01_Вводные'!$F$280-'01_Вводные'!$E$280)*2/12,'01_Вводные'!$F$280)</f>
        <v/>
      </c>
      <c r="T99" s="180">
        <f>IF('01_Вводные'!$B$295="Да",'01_Вводные'!$E$281+('01_Вводные'!$F$281-'01_Вводные'!$E$281)*2/12,'01_Вводные'!$F$281)</f>
        <v/>
      </c>
      <c r="U99" s="180">
        <f>IF('01_Вводные'!$B$295="Да",'01_Вводные'!$E$282+('01_Вводные'!$F$282-'01_Вводные'!$E$282)*2/12,'01_Вводные'!$F$282)</f>
        <v/>
      </c>
    </row>
    <row r="100" ht="15.75" customHeight="1" s="194">
      <c r="A100" s="178" t="inlineStr">
        <is>
          <t>15</t>
        </is>
      </c>
      <c r="B100" s="180">
        <f>IF('01_Вводные'!$B$295="Да",'01_Вводные'!$E$263+('01_Вводные'!$F$263-'01_Вводные'!$E$263)*3/12,'01_Вводные'!$F$263)</f>
        <v/>
      </c>
      <c r="C100" s="180">
        <f>IF('01_Вводные'!$B$295="Да",'01_Вводные'!$E$264+('01_Вводные'!$F$264-'01_Вводные'!$E$264)*3/12,'01_Вводные'!$F$264)</f>
        <v/>
      </c>
      <c r="D100" s="180">
        <f>IF('01_Вводные'!$B$295="Да",'01_Вводные'!$E$265+('01_Вводные'!$F$265-'01_Вводные'!$E$265)*3/12,'01_Вводные'!$F$265)</f>
        <v/>
      </c>
      <c r="E100" s="180">
        <f>IF('01_Вводные'!$B$295="Да",'01_Вводные'!$E$266+('01_Вводные'!$F$266-'01_Вводные'!$E$266)*3/12,'01_Вводные'!$F$266)</f>
        <v/>
      </c>
      <c r="F100" s="180">
        <f>IF('01_Вводные'!$B$295="Да",'01_Вводные'!$E$267+('01_Вводные'!$F$267-'01_Вводные'!$E$267)*3/12,'01_Вводные'!$F$267)</f>
        <v/>
      </c>
      <c r="G100" s="180">
        <f>IF('01_Вводные'!$B$295="Да",'01_Вводные'!$E$268+('01_Вводные'!$F$268-'01_Вводные'!$E$268)*3/12,'01_Вводные'!$F$268)</f>
        <v/>
      </c>
      <c r="H100" s="180">
        <f>IF('01_Вводные'!$B$295="Да",'01_Вводные'!$E$269+('01_Вводные'!$F$269-'01_Вводные'!$E$269)*3/12,'01_Вводные'!$F$269)</f>
        <v/>
      </c>
      <c r="I100" s="180">
        <f>IF('01_Вводные'!$B$295="Да",'01_Вводные'!$E$270+('01_Вводные'!$F$270-'01_Вводные'!$E$270)*3/12,'01_Вводные'!$F$270)</f>
        <v/>
      </c>
      <c r="J100" s="180">
        <f>IF('01_Вводные'!$B$295="Да",'01_Вводные'!$E$271+('01_Вводные'!$F$271-'01_Вводные'!$E$271)*3/12,'01_Вводные'!$F$271)</f>
        <v/>
      </c>
      <c r="K100" s="180">
        <f>IF('01_Вводные'!$B$295="Да",'01_Вводные'!$E$272+('01_Вводные'!$F$272-'01_Вводные'!$E$272)*3/12,'01_Вводные'!$F$272)</f>
        <v/>
      </c>
      <c r="L100" s="180">
        <f>IF('01_Вводные'!$B$295="Да",'01_Вводные'!$E$273+('01_Вводные'!$F$273-'01_Вводные'!$E$273)*3/12,'01_Вводные'!$F$273)</f>
        <v/>
      </c>
      <c r="M100" s="180">
        <f>IF('01_Вводные'!$B$295="Да",'01_Вводные'!$E$274+('01_Вводные'!$F$274-'01_Вводные'!$E$274)*3/12,'01_Вводные'!$F$274)</f>
        <v/>
      </c>
      <c r="N100" s="180">
        <f>IF('01_Вводные'!$B$295="Да",'01_Вводные'!$E$275+('01_Вводные'!$F$275-'01_Вводные'!$E$275)*3/12,'01_Вводные'!$F$275)</f>
        <v/>
      </c>
      <c r="O100" s="180">
        <f>IF('01_Вводные'!$B$295="Да",'01_Вводные'!$E$276+('01_Вводные'!$F$276-'01_Вводные'!$E$276)*3/12,'01_Вводные'!$F$276)</f>
        <v/>
      </c>
      <c r="P100" s="180">
        <f>IF('01_Вводные'!$B$295="Да",'01_Вводные'!$E$277+('01_Вводные'!$F$277-'01_Вводные'!$E$277)*3/12,'01_Вводные'!$F$277)</f>
        <v/>
      </c>
      <c r="Q100" s="180">
        <f>IF('01_Вводные'!$B$295="Да",'01_Вводные'!$E$278+('01_Вводные'!$F$278-'01_Вводные'!$E$278)*3/12,'01_Вводные'!$F$278)</f>
        <v/>
      </c>
      <c r="R100" s="180">
        <f>IF('01_Вводные'!$B$295="Да",'01_Вводные'!$E$279+('01_Вводные'!$F$279-'01_Вводные'!$E$279)*3/12,'01_Вводные'!$F$279)</f>
        <v/>
      </c>
      <c r="S100" s="180">
        <f>IF('01_Вводные'!$B$295="Да",'01_Вводные'!$E$280+('01_Вводные'!$F$280-'01_Вводные'!$E$280)*3/12,'01_Вводные'!$F$280)</f>
        <v/>
      </c>
      <c r="T100" s="180">
        <f>IF('01_Вводные'!$B$295="Да",'01_Вводные'!$E$281+('01_Вводные'!$F$281-'01_Вводные'!$E$281)*3/12,'01_Вводные'!$F$281)</f>
        <v/>
      </c>
      <c r="U100" s="180">
        <f>IF('01_Вводные'!$B$295="Да",'01_Вводные'!$E$282+('01_Вводные'!$F$282-'01_Вводные'!$E$282)*3/12,'01_Вводные'!$F$282)</f>
        <v/>
      </c>
    </row>
    <row r="101" ht="15.75" customHeight="1" s="194">
      <c r="A101" s="178" t="inlineStr">
        <is>
          <t>16</t>
        </is>
      </c>
      <c r="B101" s="180">
        <f>IF('01_Вводные'!$B$295="Да",'01_Вводные'!$E$263+('01_Вводные'!$F$263-'01_Вводные'!$E$263)*4/12,'01_Вводные'!$F$263)</f>
        <v/>
      </c>
      <c r="C101" s="180">
        <f>IF('01_Вводные'!$B$295="Да",'01_Вводные'!$E$264+('01_Вводные'!$F$264-'01_Вводные'!$E$264)*4/12,'01_Вводные'!$F$264)</f>
        <v/>
      </c>
      <c r="D101" s="180">
        <f>IF('01_Вводные'!$B$295="Да",'01_Вводные'!$E$265+('01_Вводные'!$F$265-'01_Вводные'!$E$265)*4/12,'01_Вводные'!$F$265)</f>
        <v/>
      </c>
      <c r="E101" s="180">
        <f>IF('01_Вводные'!$B$295="Да",'01_Вводные'!$E$266+('01_Вводные'!$F$266-'01_Вводные'!$E$266)*4/12,'01_Вводные'!$F$266)</f>
        <v/>
      </c>
      <c r="F101" s="180">
        <f>IF('01_Вводные'!$B$295="Да",'01_Вводные'!$E$267+('01_Вводные'!$F$267-'01_Вводные'!$E$267)*4/12,'01_Вводные'!$F$267)</f>
        <v/>
      </c>
      <c r="G101" s="180">
        <f>IF('01_Вводные'!$B$295="Да",'01_Вводные'!$E$268+('01_Вводные'!$F$268-'01_Вводные'!$E$268)*4/12,'01_Вводные'!$F$268)</f>
        <v/>
      </c>
      <c r="H101" s="180">
        <f>IF('01_Вводные'!$B$295="Да",'01_Вводные'!$E$269+('01_Вводные'!$F$269-'01_Вводные'!$E$269)*4/12,'01_Вводные'!$F$269)</f>
        <v/>
      </c>
      <c r="I101" s="180">
        <f>IF('01_Вводные'!$B$295="Да",'01_Вводные'!$E$270+('01_Вводные'!$F$270-'01_Вводные'!$E$270)*4/12,'01_Вводные'!$F$270)</f>
        <v/>
      </c>
      <c r="J101" s="180">
        <f>IF('01_Вводные'!$B$295="Да",'01_Вводные'!$E$271+('01_Вводные'!$F$271-'01_Вводные'!$E$271)*4/12,'01_Вводные'!$F$271)</f>
        <v/>
      </c>
      <c r="K101" s="180">
        <f>IF('01_Вводные'!$B$295="Да",'01_Вводные'!$E$272+('01_Вводные'!$F$272-'01_Вводные'!$E$272)*4/12,'01_Вводные'!$F$272)</f>
        <v/>
      </c>
      <c r="L101" s="180">
        <f>IF('01_Вводные'!$B$295="Да",'01_Вводные'!$E$273+('01_Вводные'!$F$273-'01_Вводные'!$E$273)*4/12,'01_Вводные'!$F$273)</f>
        <v/>
      </c>
      <c r="M101" s="180">
        <f>IF('01_Вводные'!$B$295="Да",'01_Вводные'!$E$274+('01_Вводные'!$F$274-'01_Вводные'!$E$274)*4/12,'01_Вводные'!$F$274)</f>
        <v/>
      </c>
      <c r="N101" s="180">
        <f>IF('01_Вводные'!$B$295="Да",'01_Вводные'!$E$275+('01_Вводные'!$F$275-'01_Вводные'!$E$275)*4/12,'01_Вводные'!$F$275)</f>
        <v/>
      </c>
      <c r="O101" s="180">
        <f>IF('01_Вводные'!$B$295="Да",'01_Вводные'!$E$276+('01_Вводные'!$F$276-'01_Вводные'!$E$276)*4/12,'01_Вводные'!$F$276)</f>
        <v/>
      </c>
      <c r="P101" s="180">
        <f>IF('01_Вводные'!$B$295="Да",'01_Вводные'!$E$277+('01_Вводные'!$F$277-'01_Вводные'!$E$277)*4/12,'01_Вводные'!$F$277)</f>
        <v/>
      </c>
      <c r="Q101" s="180">
        <f>IF('01_Вводные'!$B$295="Да",'01_Вводные'!$E$278+('01_Вводные'!$F$278-'01_Вводные'!$E$278)*4/12,'01_Вводные'!$F$278)</f>
        <v/>
      </c>
      <c r="R101" s="180">
        <f>IF('01_Вводные'!$B$295="Да",'01_Вводные'!$E$279+('01_Вводные'!$F$279-'01_Вводные'!$E$279)*4/12,'01_Вводные'!$F$279)</f>
        <v/>
      </c>
      <c r="S101" s="180">
        <f>IF('01_Вводные'!$B$295="Да",'01_Вводные'!$E$280+('01_Вводные'!$F$280-'01_Вводные'!$E$280)*4/12,'01_Вводные'!$F$280)</f>
        <v/>
      </c>
      <c r="T101" s="180">
        <f>IF('01_Вводные'!$B$295="Да",'01_Вводные'!$E$281+('01_Вводные'!$F$281-'01_Вводные'!$E$281)*4/12,'01_Вводные'!$F$281)</f>
        <v/>
      </c>
      <c r="U101" s="180">
        <f>IF('01_Вводные'!$B$295="Да",'01_Вводные'!$E$282+('01_Вводные'!$F$282-'01_Вводные'!$E$282)*4/12,'01_Вводные'!$F$282)</f>
        <v/>
      </c>
    </row>
    <row r="102" ht="15.75" customHeight="1" s="194">
      <c r="A102" s="178" t="inlineStr">
        <is>
          <t>17</t>
        </is>
      </c>
      <c r="B102" s="180">
        <f>IF('01_Вводные'!$B$295="Да",'01_Вводные'!$E$263+('01_Вводные'!$F$263-'01_Вводные'!$E$263)*5/12,'01_Вводные'!$F$263)</f>
        <v/>
      </c>
      <c r="C102" s="180">
        <f>IF('01_Вводные'!$B$295="Да",'01_Вводные'!$E$264+('01_Вводные'!$F$264-'01_Вводные'!$E$264)*5/12,'01_Вводные'!$F$264)</f>
        <v/>
      </c>
      <c r="D102" s="180">
        <f>IF('01_Вводные'!$B$295="Да",'01_Вводные'!$E$265+('01_Вводные'!$F$265-'01_Вводные'!$E$265)*5/12,'01_Вводные'!$F$265)</f>
        <v/>
      </c>
      <c r="E102" s="180">
        <f>IF('01_Вводные'!$B$295="Да",'01_Вводные'!$E$266+('01_Вводные'!$F$266-'01_Вводные'!$E$266)*5/12,'01_Вводные'!$F$266)</f>
        <v/>
      </c>
      <c r="F102" s="180">
        <f>IF('01_Вводные'!$B$295="Да",'01_Вводные'!$E$267+('01_Вводные'!$F$267-'01_Вводные'!$E$267)*5/12,'01_Вводные'!$F$267)</f>
        <v/>
      </c>
      <c r="G102" s="180">
        <f>IF('01_Вводные'!$B$295="Да",'01_Вводные'!$E$268+('01_Вводные'!$F$268-'01_Вводные'!$E$268)*5/12,'01_Вводные'!$F$268)</f>
        <v/>
      </c>
      <c r="H102" s="180">
        <f>IF('01_Вводные'!$B$295="Да",'01_Вводные'!$E$269+('01_Вводные'!$F$269-'01_Вводные'!$E$269)*5/12,'01_Вводные'!$F$269)</f>
        <v/>
      </c>
      <c r="I102" s="180">
        <f>IF('01_Вводные'!$B$295="Да",'01_Вводные'!$E$270+('01_Вводные'!$F$270-'01_Вводные'!$E$270)*5/12,'01_Вводные'!$F$270)</f>
        <v/>
      </c>
      <c r="J102" s="180">
        <f>IF('01_Вводные'!$B$295="Да",'01_Вводные'!$E$271+('01_Вводные'!$F$271-'01_Вводные'!$E$271)*5/12,'01_Вводные'!$F$271)</f>
        <v/>
      </c>
      <c r="K102" s="180">
        <f>IF('01_Вводные'!$B$295="Да",'01_Вводные'!$E$272+('01_Вводные'!$F$272-'01_Вводные'!$E$272)*5/12,'01_Вводные'!$F$272)</f>
        <v/>
      </c>
      <c r="L102" s="180">
        <f>IF('01_Вводные'!$B$295="Да",'01_Вводные'!$E$273+('01_Вводные'!$F$273-'01_Вводные'!$E$273)*5/12,'01_Вводные'!$F$273)</f>
        <v/>
      </c>
      <c r="M102" s="180">
        <f>IF('01_Вводные'!$B$295="Да",'01_Вводные'!$E$274+('01_Вводные'!$F$274-'01_Вводные'!$E$274)*5/12,'01_Вводные'!$F$274)</f>
        <v/>
      </c>
      <c r="N102" s="180">
        <f>IF('01_Вводные'!$B$295="Да",'01_Вводные'!$E$275+('01_Вводные'!$F$275-'01_Вводные'!$E$275)*5/12,'01_Вводные'!$F$275)</f>
        <v/>
      </c>
      <c r="O102" s="180">
        <f>IF('01_Вводные'!$B$295="Да",'01_Вводные'!$E$276+('01_Вводные'!$F$276-'01_Вводные'!$E$276)*5/12,'01_Вводные'!$F$276)</f>
        <v/>
      </c>
      <c r="P102" s="180">
        <f>IF('01_Вводные'!$B$295="Да",'01_Вводные'!$E$277+('01_Вводные'!$F$277-'01_Вводные'!$E$277)*5/12,'01_Вводные'!$F$277)</f>
        <v/>
      </c>
      <c r="Q102" s="180">
        <f>IF('01_Вводные'!$B$295="Да",'01_Вводные'!$E$278+('01_Вводные'!$F$278-'01_Вводные'!$E$278)*5/12,'01_Вводные'!$F$278)</f>
        <v/>
      </c>
      <c r="R102" s="180">
        <f>IF('01_Вводные'!$B$295="Да",'01_Вводные'!$E$279+('01_Вводные'!$F$279-'01_Вводные'!$E$279)*5/12,'01_Вводные'!$F$279)</f>
        <v/>
      </c>
      <c r="S102" s="180">
        <f>IF('01_Вводные'!$B$295="Да",'01_Вводные'!$E$280+('01_Вводные'!$F$280-'01_Вводные'!$E$280)*5/12,'01_Вводные'!$F$280)</f>
        <v/>
      </c>
      <c r="T102" s="180">
        <f>IF('01_Вводные'!$B$295="Да",'01_Вводные'!$E$281+('01_Вводные'!$F$281-'01_Вводные'!$E$281)*5/12,'01_Вводные'!$F$281)</f>
        <v/>
      </c>
      <c r="U102" s="180">
        <f>IF('01_Вводные'!$B$295="Да",'01_Вводные'!$E$282+('01_Вводные'!$F$282-'01_Вводные'!$E$282)*5/12,'01_Вводные'!$F$282)</f>
        <v/>
      </c>
    </row>
    <row r="103" ht="15.75" customHeight="1" s="194">
      <c r="A103" s="178" t="inlineStr">
        <is>
          <t>18</t>
        </is>
      </c>
      <c r="B103" s="180">
        <f>IF('01_Вводные'!$B$295="Да",'01_Вводные'!$E$263+('01_Вводные'!$F$263-'01_Вводные'!$E$263)*6/12,'01_Вводные'!$F$263)</f>
        <v/>
      </c>
      <c r="C103" s="180">
        <f>IF('01_Вводные'!$B$295="Да",'01_Вводные'!$E$264+('01_Вводные'!$F$264-'01_Вводные'!$E$264)*6/12,'01_Вводные'!$F$264)</f>
        <v/>
      </c>
      <c r="D103" s="180">
        <f>IF('01_Вводные'!$B$295="Да",'01_Вводные'!$E$265+('01_Вводные'!$F$265-'01_Вводные'!$E$265)*6/12,'01_Вводные'!$F$265)</f>
        <v/>
      </c>
      <c r="E103" s="180">
        <f>IF('01_Вводные'!$B$295="Да",'01_Вводные'!$E$266+('01_Вводные'!$F$266-'01_Вводные'!$E$266)*6/12,'01_Вводные'!$F$266)</f>
        <v/>
      </c>
      <c r="F103" s="180">
        <f>IF('01_Вводные'!$B$295="Да",'01_Вводные'!$E$267+('01_Вводные'!$F$267-'01_Вводные'!$E$267)*6/12,'01_Вводные'!$F$267)</f>
        <v/>
      </c>
      <c r="G103" s="180">
        <f>IF('01_Вводные'!$B$295="Да",'01_Вводные'!$E$268+('01_Вводные'!$F$268-'01_Вводные'!$E$268)*6/12,'01_Вводные'!$F$268)</f>
        <v/>
      </c>
      <c r="H103" s="180">
        <f>IF('01_Вводные'!$B$295="Да",'01_Вводные'!$E$269+('01_Вводные'!$F$269-'01_Вводные'!$E$269)*6/12,'01_Вводные'!$F$269)</f>
        <v/>
      </c>
      <c r="I103" s="180">
        <f>IF('01_Вводные'!$B$295="Да",'01_Вводные'!$E$270+('01_Вводные'!$F$270-'01_Вводные'!$E$270)*6/12,'01_Вводные'!$F$270)</f>
        <v/>
      </c>
      <c r="J103" s="180">
        <f>IF('01_Вводные'!$B$295="Да",'01_Вводные'!$E$271+('01_Вводные'!$F$271-'01_Вводные'!$E$271)*6/12,'01_Вводные'!$F$271)</f>
        <v/>
      </c>
      <c r="K103" s="180">
        <f>IF('01_Вводные'!$B$295="Да",'01_Вводные'!$E$272+('01_Вводные'!$F$272-'01_Вводные'!$E$272)*6/12,'01_Вводные'!$F$272)</f>
        <v/>
      </c>
      <c r="L103" s="180">
        <f>IF('01_Вводные'!$B$295="Да",'01_Вводные'!$E$273+('01_Вводные'!$F$273-'01_Вводные'!$E$273)*6/12,'01_Вводные'!$F$273)</f>
        <v/>
      </c>
      <c r="M103" s="180">
        <f>IF('01_Вводные'!$B$295="Да",'01_Вводные'!$E$274+('01_Вводные'!$F$274-'01_Вводные'!$E$274)*6/12,'01_Вводные'!$F$274)</f>
        <v/>
      </c>
      <c r="N103" s="180">
        <f>IF('01_Вводные'!$B$295="Да",'01_Вводные'!$E$275+('01_Вводные'!$F$275-'01_Вводные'!$E$275)*6/12,'01_Вводные'!$F$275)</f>
        <v/>
      </c>
      <c r="O103" s="180">
        <f>IF('01_Вводные'!$B$295="Да",'01_Вводные'!$E$276+('01_Вводные'!$F$276-'01_Вводные'!$E$276)*6/12,'01_Вводные'!$F$276)</f>
        <v/>
      </c>
      <c r="P103" s="180">
        <f>IF('01_Вводные'!$B$295="Да",'01_Вводные'!$E$277+('01_Вводные'!$F$277-'01_Вводные'!$E$277)*6/12,'01_Вводные'!$F$277)</f>
        <v/>
      </c>
      <c r="Q103" s="180">
        <f>IF('01_Вводные'!$B$295="Да",'01_Вводные'!$E$278+('01_Вводные'!$F$278-'01_Вводные'!$E$278)*6/12,'01_Вводные'!$F$278)</f>
        <v/>
      </c>
      <c r="R103" s="180">
        <f>IF('01_Вводные'!$B$295="Да",'01_Вводные'!$E$279+('01_Вводные'!$F$279-'01_Вводные'!$E$279)*6/12,'01_Вводные'!$F$279)</f>
        <v/>
      </c>
      <c r="S103" s="180">
        <f>IF('01_Вводные'!$B$295="Да",'01_Вводные'!$E$280+('01_Вводные'!$F$280-'01_Вводные'!$E$280)*6/12,'01_Вводные'!$F$280)</f>
        <v/>
      </c>
      <c r="T103" s="180">
        <f>IF('01_Вводные'!$B$295="Да",'01_Вводные'!$E$281+('01_Вводные'!$F$281-'01_Вводные'!$E$281)*6/12,'01_Вводные'!$F$281)</f>
        <v/>
      </c>
      <c r="U103" s="180">
        <f>IF('01_Вводные'!$B$295="Да",'01_Вводные'!$E$282+('01_Вводные'!$F$282-'01_Вводные'!$E$282)*6/12,'01_Вводные'!$F$282)</f>
        <v/>
      </c>
    </row>
    <row r="104" ht="15.75" customHeight="1" s="194">
      <c r="A104" s="178" t="inlineStr">
        <is>
          <t>19</t>
        </is>
      </c>
      <c r="B104" s="180">
        <f>IF('01_Вводные'!$B$295="Да",'01_Вводные'!$E$263+('01_Вводные'!$F$263-'01_Вводные'!$E$263)*7/12,'01_Вводные'!$F$263)</f>
        <v/>
      </c>
      <c r="C104" s="180">
        <f>IF('01_Вводные'!$B$295="Да",'01_Вводные'!$E$264+('01_Вводные'!$F$264-'01_Вводные'!$E$264)*7/12,'01_Вводные'!$F$264)</f>
        <v/>
      </c>
      <c r="D104" s="180">
        <f>IF('01_Вводные'!$B$295="Да",'01_Вводные'!$E$265+('01_Вводные'!$F$265-'01_Вводные'!$E$265)*7/12,'01_Вводные'!$F$265)</f>
        <v/>
      </c>
      <c r="E104" s="180">
        <f>IF('01_Вводные'!$B$295="Да",'01_Вводные'!$E$266+('01_Вводные'!$F$266-'01_Вводные'!$E$266)*7/12,'01_Вводные'!$F$266)</f>
        <v/>
      </c>
      <c r="F104" s="180">
        <f>IF('01_Вводные'!$B$295="Да",'01_Вводные'!$E$267+('01_Вводные'!$F$267-'01_Вводные'!$E$267)*7/12,'01_Вводные'!$F$267)</f>
        <v/>
      </c>
      <c r="G104" s="180">
        <f>IF('01_Вводные'!$B$295="Да",'01_Вводные'!$E$268+('01_Вводные'!$F$268-'01_Вводные'!$E$268)*7/12,'01_Вводные'!$F$268)</f>
        <v/>
      </c>
      <c r="H104" s="180">
        <f>IF('01_Вводные'!$B$295="Да",'01_Вводные'!$E$269+('01_Вводные'!$F$269-'01_Вводные'!$E$269)*7/12,'01_Вводные'!$F$269)</f>
        <v/>
      </c>
      <c r="I104" s="180">
        <f>IF('01_Вводные'!$B$295="Да",'01_Вводные'!$E$270+('01_Вводные'!$F$270-'01_Вводные'!$E$270)*7/12,'01_Вводные'!$F$270)</f>
        <v/>
      </c>
      <c r="J104" s="180">
        <f>IF('01_Вводные'!$B$295="Да",'01_Вводные'!$E$271+('01_Вводные'!$F$271-'01_Вводные'!$E$271)*7/12,'01_Вводные'!$F$271)</f>
        <v/>
      </c>
      <c r="K104" s="180">
        <f>IF('01_Вводные'!$B$295="Да",'01_Вводные'!$E$272+('01_Вводные'!$F$272-'01_Вводные'!$E$272)*7/12,'01_Вводные'!$F$272)</f>
        <v/>
      </c>
      <c r="L104" s="180">
        <f>IF('01_Вводные'!$B$295="Да",'01_Вводные'!$E$273+('01_Вводные'!$F$273-'01_Вводные'!$E$273)*7/12,'01_Вводные'!$F$273)</f>
        <v/>
      </c>
      <c r="M104" s="180">
        <f>IF('01_Вводные'!$B$295="Да",'01_Вводные'!$E$274+('01_Вводные'!$F$274-'01_Вводные'!$E$274)*7/12,'01_Вводные'!$F$274)</f>
        <v/>
      </c>
      <c r="N104" s="180">
        <f>IF('01_Вводные'!$B$295="Да",'01_Вводные'!$E$275+('01_Вводные'!$F$275-'01_Вводные'!$E$275)*7/12,'01_Вводные'!$F$275)</f>
        <v/>
      </c>
      <c r="O104" s="180">
        <f>IF('01_Вводные'!$B$295="Да",'01_Вводные'!$E$276+('01_Вводные'!$F$276-'01_Вводные'!$E$276)*7/12,'01_Вводные'!$F$276)</f>
        <v/>
      </c>
      <c r="P104" s="180">
        <f>IF('01_Вводные'!$B$295="Да",'01_Вводные'!$E$277+('01_Вводные'!$F$277-'01_Вводные'!$E$277)*7/12,'01_Вводные'!$F$277)</f>
        <v/>
      </c>
      <c r="Q104" s="180">
        <f>IF('01_Вводные'!$B$295="Да",'01_Вводные'!$E$278+('01_Вводные'!$F$278-'01_Вводные'!$E$278)*7/12,'01_Вводные'!$F$278)</f>
        <v/>
      </c>
      <c r="R104" s="180">
        <f>IF('01_Вводные'!$B$295="Да",'01_Вводные'!$E$279+('01_Вводные'!$F$279-'01_Вводные'!$E$279)*7/12,'01_Вводные'!$F$279)</f>
        <v/>
      </c>
      <c r="S104" s="180">
        <f>IF('01_Вводные'!$B$295="Да",'01_Вводные'!$E$280+('01_Вводные'!$F$280-'01_Вводные'!$E$280)*7/12,'01_Вводные'!$F$280)</f>
        <v/>
      </c>
      <c r="T104" s="180">
        <f>IF('01_Вводные'!$B$295="Да",'01_Вводные'!$E$281+('01_Вводные'!$F$281-'01_Вводные'!$E$281)*7/12,'01_Вводные'!$F$281)</f>
        <v/>
      </c>
      <c r="U104" s="180">
        <f>IF('01_Вводные'!$B$295="Да",'01_Вводные'!$E$282+('01_Вводные'!$F$282-'01_Вводные'!$E$282)*7/12,'01_Вводные'!$F$282)</f>
        <v/>
      </c>
    </row>
    <row r="105" ht="15.75" customHeight="1" s="194">
      <c r="A105" s="178" t="inlineStr">
        <is>
          <t>20</t>
        </is>
      </c>
      <c r="B105" s="180">
        <f>IF('01_Вводные'!$B$295="Да",'01_Вводные'!$E$263+('01_Вводные'!$F$263-'01_Вводные'!$E$263)*8/12,'01_Вводные'!$F$263)</f>
        <v/>
      </c>
      <c r="C105" s="180">
        <f>IF('01_Вводные'!$B$295="Да",'01_Вводные'!$E$264+('01_Вводные'!$F$264-'01_Вводные'!$E$264)*8/12,'01_Вводные'!$F$264)</f>
        <v/>
      </c>
      <c r="D105" s="180">
        <f>IF('01_Вводные'!$B$295="Да",'01_Вводные'!$E$265+('01_Вводные'!$F$265-'01_Вводные'!$E$265)*8/12,'01_Вводные'!$F$265)</f>
        <v/>
      </c>
      <c r="E105" s="180">
        <f>IF('01_Вводные'!$B$295="Да",'01_Вводные'!$E$266+('01_Вводные'!$F$266-'01_Вводные'!$E$266)*8/12,'01_Вводные'!$F$266)</f>
        <v/>
      </c>
      <c r="F105" s="180">
        <f>IF('01_Вводные'!$B$295="Да",'01_Вводные'!$E$267+('01_Вводные'!$F$267-'01_Вводные'!$E$267)*8/12,'01_Вводные'!$F$267)</f>
        <v/>
      </c>
      <c r="G105" s="180">
        <f>IF('01_Вводные'!$B$295="Да",'01_Вводные'!$E$268+('01_Вводные'!$F$268-'01_Вводные'!$E$268)*8/12,'01_Вводные'!$F$268)</f>
        <v/>
      </c>
      <c r="H105" s="180">
        <f>IF('01_Вводные'!$B$295="Да",'01_Вводные'!$E$269+('01_Вводные'!$F$269-'01_Вводные'!$E$269)*8/12,'01_Вводные'!$F$269)</f>
        <v/>
      </c>
      <c r="I105" s="180">
        <f>IF('01_Вводные'!$B$295="Да",'01_Вводные'!$E$270+('01_Вводные'!$F$270-'01_Вводные'!$E$270)*8/12,'01_Вводные'!$F$270)</f>
        <v/>
      </c>
      <c r="J105" s="180">
        <f>IF('01_Вводные'!$B$295="Да",'01_Вводные'!$E$271+('01_Вводные'!$F$271-'01_Вводные'!$E$271)*8/12,'01_Вводные'!$F$271)</f>
        <v/>
      </c>
      <c r="K105" s="180">
        <f>IF('01_Вводные'!$B$295="Да",'01_Вводные'!$E$272+('01_Вводные'!$F$272-'01_Вводные'!$E$272)*8/12,'01_Вводные'!$F$272)</f>
        <v/>
      </c>
      <c r="L105" s="180">
        <f>IF('01_Вводные'!$B$295="Да",'01_Вводные'!$E$273+('01_Вводные'!$F$273-'01_Вводные'!$E$273)*8/12,'01_Вводные'!$F$273)</f>
        <v/>
      </c>
      <c r="M105" s="180">
        <f>IF('01_Вводные'!$B$295="Да",'01_Вводные'!$E$274+('01_Вводные'!$F$274-'01_Вводные'!$E$274)*8/12,'01_Вводные'!$F$274)</f>
        <v/>
      </c>
      <c r="N105" s="180">
        <f>IF('01_Вводные'!$B$295="Да",'01_Вводные'!$E$275+('01_Вводные'!$F$275-'01_Вводные'!$E$275)*8/12,'01_Вводные'!$F$275)</f>
        <v/>
      </c>
      <c r="O105" s="180">
        <f>IF('01_Вводные'!$B$295="Да",'01_Вводные'!$E$276+('01_Вводные'!$F$276-'01_Вводные'!$E$276)*8/12,'01_Вводные'!$F$276)</f>
        <v/>
      </c>
      <c r="P105" s="180">
        <f>IF('01_Вводные'!$B$295="Да",'01_Вводные'!$E$277+('01_Вводные'!$F$277-'01_Вводные'!$E$277)*8/12,'01_Вводные'!$F$277)</f>
        <v/>
      </c>
      <c r="Q105" s="180">
        <f>IF('01_Вводные'!$B$295="Да",'01_Вводные'!$E$278+('01_Вводные'!$F$278-'01_Вводные'!$E$278)*8/12,'01_Вводные'!$F$278)</f>
        <v/>
      </c>
      <c r="R105" s="180">
        <f>IF('01_Вводные'!$B$295="Да",'01_Вводные'!$E$279+('01_Вводные'!$F$279-'01_Вводные'!$E$279)*8/12,'01_Вводные'!$F$279)</f>
        <v/>
      </c>
      <c r="S105" s="180">
        <f>IF('01_Вводные'!$B$295="Да",'01_Вводные'!$E$280+('01_Вводные'!$F$280-'01_Вводные'!$E$280)*8/12,'01_Вводные'!$F$280)</f>
        <v/>
      </c>
      <c r="T105" s="180">
        <f>IF('01_Вводные'!$B$295="Да",'01_Вводные'!$E$281+('01_Вводные'!$F$281-'01_Вводные'!$E$281)*8/12,'01_Вводные'!$F$281)</f>
        <v/>
      </c>
      <c r="U105" s="180">
        <f>IF('01_Вводные'!$B$295="Да",'01_Вводные'!$E$282+('01_Вводные'!$F$282-'01_Вводные'!$E$282)*8/12,'01_Вводные'!$F$282)</f>
        <v/>
      </c>
    </row>
    <row r="106" ht="15.75" customHeight="1" s="194">
      <c r="A106" s="178" t="inlineStr">
        <is>
          <t>21</t>
        </is>
      </c>
      <c r="B106" s="180">
        <f>IF('01_Вводные'!$B$295="Да",'01_Вводные'!$E$263+('01_Вводные'!$F$263-'01_Вводные'!$E$263)*9/12,'01_Вводные'!$F$263)</f>
        <v/>
      </c>
      <c r="C106" s="180">
        <f>IF('01_Вводные'!$B$295="Да",'01_Вводные'!$E$264+('01_Вводные'!$F$264-'01_Вводные'!$E$264)*9/12,'01_Вводные'!$F$264)</f>
        <v/>
      </c>
      <c r="D106" s="180">
        <f>IF('01_Вводные'!$B$295="Да",'01_Вводные'!$E$265+('01_Вводные'!$F$265-'01_Вводные'!$E$265)*9/12,'01_Вводные'!$F$265)</f>
        <v/>
      </c>
      <c r="E106" s="180">
        <f>IF('01_Вводные'!$B$295="Да",'01_Вводные'!$E$266+('01_Вводные'!$F$266-'01_Вводные'!$E$266)*9/12,'01_Вводные'!$F$266)</f>
        <v/>
      </c>
      <c r="F106" s="180">
        <f>IF('01_Вводные'!$B$295="Да",'01_Вводные'!$E$267+('01_Вводные'!$F$267-'01_Вводные'!$E$267)*9/12,'01_Вводные'!$F$267)</f>
        <v/>
      </c>
      <c r="G106" s="180">
        <f>IF('01_Вводные'!$B$295="Да",'01_Вводные'!$E$268+('01_Вводные'!$F$268-'01_Вводные'!$E$268)*9/12,'01_Вводные'!$F$268)</f>
        <v/>
      </c>
      <c r="H106" s="180">
        <f>IF('01_Вводные'!$B$295="Да",'01_Вводные'!$E$269+('01_Вводные'!$F$269-'01_Вводные'!$E$269)*9/12,'01_Вводные'!$F$269)</f>
        <v/>
      </c>
      <c r="I106" s="180">
        <f>IF('01_Вводные'!$B$295="Да",'01_Вводные'!$E$270+('01_Вводные'!$F$270-'01_Вводные'!$E$270)*9/12,'01_Вводные'!$F$270)</f>
        <v/>
      </c>
      <c r="J106" s="180">
        <f>IF('01_Вводные'!$B$295="Да",'01_Вводные'!$E$271+('01_Вводные'!$F$271-'01_Вводные'!$E$271)*9/12,'01_Вводные'!$F$271)</f>
        <v/>
      </c>
      <c r="K106" s="180">
        <f>IF('01_Вводные'!$B$295="Да",'01_Вводные'!$E$272+('01_Вводные'!$F$272-'01_Вводные'!$E$272)*9/12,'01_Вводные'!$F$272)</f>
        <v/>
      </c>
      <c r="L106" s="180">
        <f>IF('01_Вводные'!$B$295="Да",'01_Вводные'!$E$273+('01_Вводные'!$F$273-'01_Вводные'!$E$273)*9/12,'01_Вводные'!$F$273)</f>
        <v/>
      </c>
      <c r="M106" s="180">
        <f>IF('01_Вводные'!$B$295="Да",'01_Вводные'!$E$274+('01_Вводные'!$F$274-'01_Вводные'!$E$274)*9/12,'01_Вводные'!$F$274)</f>
        <v/>
      </c>
      <c r="N106" s="180">
        <f>IF('01_Вводные'!$B$295="Да",'01_Вводные'!$E$275+('01_Вводные'!$F$275-'01_Вводные'!$E$275)*9/12,'01_Вводные'!$F$275)</f>
        <v/>
      </c>
      <c r="O106" s="180">
        <f>IF('01_Вводные'!$B$295="Да",'01_Вводные'!$E$276+('01_Вводные'!$F$276-'01_Вводные'!$E$276)*9/12,'01_Вводные'!$F$276)</f>
        <v/>
      </c>
      <c r="P106" s="180">
        <f>IF('01_Вводные'!$B$295="Да",'01_Вводные'!$E$277+('01_Вводные'!$F$277-'01_Вводные'!$E$277)*9/12,'01_Вводные'!$F$277)</f>
        <v/>
      </c>
      <c r="Q106" s="180">
        <f>IF('01_Вводные'!$B$295="Да",'01_Вводные'!$E$278+('01_Вводные'!$F$278-'01_Вводные'!$E$278)*9/12,'01_Вводные'!$F$278)</f>
        <v/>
      </c>
      <c r="R106" s="180">
        <f>IF('01_Вводные'!$B$295="Да",'01_Вводные'!$E$279+('01_Вводные'!$F$279-'01_Вводные'!$E$279)*9/12,'01_Вводные'!$F$279)</f>
        <v/>
      </c>
      <c r="S106" s="180">
        <f>IF('01_Вводные'!$B$295="Да",'01_Вводные'!$E$280+('01_Вводные'!$F$280-'01_Вводные'!$E$280)*9/12,'01_Вводные'!$F$280)</f>
        <v/>
      </c>
      <c r="T106" s="180">
        <f>IF('01_Вводные'!$B$295="Да",'01_Вводные'!$E$281+('01_Вводные'!$F$281-'01_Вводные'!$E$281)*9/12,'01_Вводные'!$F$281)</f>
        <v/>
      </c>
      <c r="U106" s="180">
        <f>IF('01_Вводные'!$B$295="Да",'01_Вводные'!$E$282+('01_Вводные'!$F$282-'01_Вводные'!$E$282)*9/12,'01_Вводные'!$F$282)</f>
        <v/>
      </c>
    </row>
    <row r="107" ht="15.75" customHeight="1" s="194">
      <c r="A107" s="178" t="inlineStr">
        <is>
          <t>22</t>
        </is>
      </c>
      <c r="B107" s="180">
        <f>IF('01_Вводные'!$B$295="Да",'01_Вводные'!$E$263+('01_Вводные'!$F$263-'01_Вводные'!$E$263)*10/12,'01_Вводные'!$F$263)</f>
        <v/>
      </c>
      <c r="C107" s="180">
        <f>IF('01_Вводные'!$B$295="Да",'01_Вводные'!$E$264+('01_Вводные'!$F$264-'01_Вводные'!$E$264)*10/12,'01_Вводные'!$F$264)</f>
        <v/>
      </c>
      <c r="D107" s="180">
        <f>IF('01_Вводные'!$B$295="Да",'01_Вводные'!$E$265+('01_Вводные'!$F$265-'01_Вводные'!$E$265)*10/12,'01_Вводные'!$F$265)</f>
        <v/>
      </c>
      <c r="E107" s="180">
        <f>IF('01_Вводные'!$B$295="Да",'01_Вводные'!$E$266+('01_Вводные'!$F$266-'01_Вводные'!$E$266)*10/12,'01_Вводные'!$F$266)</f>
        <v/>
      </c>
      <c r="F107" s="180">
        <f>IF('01_Вводные'!$B$295="Да",'01_Вводные'!$E$267+('01_Вводные'!$F$267-'01_Вводные'!$E$267)*10/12,'01_Вводные'!$F$267)</f>
        <v/>
      </c>
      <c r="G107" s="180">
        <f>IF('01_Вводные'!$B$295="Да",'01_Вводные'!$E$268+('01_Вводные'!$F$268-'01_Вводные'!$E$268)*10/12,'01_Вводные'!$F$268)</f>
        <v/>
      </c>
      <c r="H107" s="180">
        <f>IF('01_Вводные'!$B$295="Да",'01_Вводные'!$E$269+('01_Вводные'!$F$269-'01_Вводные'!$E$269)*10/12,'01_Вводные'!$F$269)</f>
        <v/>
      </c>
      <c r="I107" s="180">
        <f>IF('01_Вводные'!$B$295="Да",'01_Вводные'!$E$270+('01_Вводные'!$F$270-'01_Вводные'!$E$270)*10/12,'01_Вводные'!$F$270)</f>
        <v/>
      </c>
      <c r="J107" s="180">
        <f>IF('01_Вводные'!$B$295="Да",'01_Вводные'!$E$271+('01_Вводные'!$F$271-'01_Вводные'!$E$271)*10/12,'01_Вводные'!$F$271)</f>
        <v/>
      </c>
      <c r="K107" s="180">
        <f>IF('01_Вводные'!$B$295="Да",'01_Вводные'!$E$272+('01_Вводные'!$F$272-'01_Вводные'!$E$272)*10/12,'01_Вводные'!$F$272)</f>
        <v/>
      </c>
      <c r="L107" s="180">
        <f>IF('01_Вводные'!$B$295="Да",'01_Вводные'!$E$273+('01_Вводные'!$F$273-'01_Вводные'!$E$273)*10/12,'01_Вводные'!$F$273)</f>
        <v/>
      </c>
      <c r="M107" s="180">
        <f>IF('01_Вводные'!$B$295="Да",'01_Вводные'!$E$274+('01_Вводные'!$F$274-'01_Вводные'!$E$274)*10/12,'01_Вводные'!$F$274)</f>
        <v/>
      </c>
      <c r="N107" s="180">
        <f>IF('01_Вводные'!$B$295="Да",'01_Вводные'!$E$275+('01_Вводные'!$F$275-'01_Вводные'!$E$275)*10/12,'01_Вводные'!$F$275)</f>
        <v/>
      </c>
      <c r="O107" s="180">
        <f>IF('01_Вводные'!$B$295="Да",'01_Вводные'!$E$276+('01_Вводные'!$F$276-'01_Вводные'!$E$276)*10/12,'01_Вводные'!$F$276)</f>
        <v/>
      </c>
      <c r="P107" s="180">
        <f>IF('01_Вводные'!$B$295="Да",'01_Вводные'!$E$277+('01_Вводные'!$F$277-'01_Вводные'!$E$277)*10/12,'01_Вводные'!$F$277)</f>
        <v/>
      </c>
      <c r="Q107" s="180">
        <f>IF('01_Вводные'!$B$295="Да",'01_Вводные'!$E$278+('01_Вводные'!$F$278-'01_Вводные'!$E$278)*10/12,'01_Вводные'!$F$278)</f>
        <v/>
      </c>
      <c r="R107" s="180">
        <f>IF('01_Вводные'!$B$295="Да",'01_Вводные'!$E$279+('01_Вводные'!$F$279-'01_Вводные'!$E$279)*10/12,'01_Вводные'!$F$279)</f>
        <v/>
      </c>
      <c r="S107" s="180">
        <f>IF('01_Вводные'!$B$295="Да",'01_Вводные'!$E$280+('01_Вводные'!$F$280-'01_Вводные'!$E$280)*10/12,'01_Вводные'!$F$280)</f>
        <v/>
      </c>
      <c r="T107" s="180">
        <f>IF('01_Вводные'!$B$295="Да",'01_Вводные'!$E$281+('01_Вводные'!$F$281-'01_Вводные'!$E$281)*10/12,'01_Вводные'!$F$281)</f>
        <v/>
      </c>
      <c r="U107" s="180">
        <f>IF('01_Вводные'!$B$295="Да",'01_Вводные'!$E$282+('01_Вводные'!$F$282-'01_Вводные'!$E$282)*10/12,'01_Вводные'!$F$282)</f>
        <v/>
      </c>
    </row>
    <row r="108" ht="15.75" customHeight="1" s="194">
      <c r="A108" s="178" t="inlineStr">
        <is>
          <t>23</t>
        </is>
      </c>
      <c r="B108" s="180">
        <f>IF('01_Вводные'!$B$295="Да",'01_Вводные'!$E$263+('01_Вводные'!$F$263-'01_Вводные'!$E$263)*11/12,'01_Вводные'!$F$263)</f>
        <v/>
      </c>
      <c r="C108" s="180">
        <f>IF('01_Вводные'!$B$295="Да",'01_Вводные'!$E$264+('01_Вводные'!$F$264-'01_Вводные'!$E$264)*11/12,'01_Вводные'!$F$264)</f>
        <v/>
      </c>
      <c r="D108" s="180">
        <f>IF('01_Вводные'!$B$295="Да",'01_Вводные'!$E$265+('01_Вводные'!$F$265-'01_Вводные'!$E$265)*11/12,'01_Вводные'!$F$265)</f>
        <v/>
      </c>
      <c r="E108" s="180">
        <f>IF('01_Вводные'!$B$295="Да",'01_Вводные'!$E$266+('01_Вводные'!$F$266-'01_Вводные'!$E$266)*11/12,'01_Вводные'!$F$266)</f>
        <v/>
      </c>
      <c r="F108" s="180">
        <f>IF('01_Вводные'!$B$295="Да",'01_Вводные'!$E$267+('01_Вводные'!$F$267-'01_Вводные'!$E$267)*11/12,'01_Вводные'!$F$267)</f>
        <v/>
      </c>
      <c r="G108" s="180">
        <f>IF('01_Вводные'!$B$295="Да",'01_Вводные'!$E$268+('01_Вводные'!$F$268-'01_Вводные'!$E$268)*11/12,'01_Вводные'!$F$268)</f>
        <v/>
      </c>
      <c r="H108" s="180">
        <f>IF('01_Вводные'!$B$295="Да",'01_Вводные'!$E$269+('01_Вводные'!$F$269-'01_Вводные'!$E$269)*11/12,'01_Вводные'!$F$269)</f>
        <v/>
      </c>
      <c r="I108" s="180">
        <f>IF('01_Вводные'!$B$295="Да",'01_Вводные'!$E$270+('01_Вводные'!$F$270-'01_Вводные'!$E$270)*11/12,'01_Вводные'!$F$270)</f>
        <v/>
      </c>
      <c r="J108" s="180">
        <f>IF('01_Вводные'!$B$295="Да",'01_Вводные'!$E$271+('01_Вводные'!$F$271-'01_Вводные'!$E$271)*11/12,'01_Вводные'!$F$271)</f>
        <v/>
      </c>
      <c r="K108" s="180">
        <f>IF('01_Вводные'!$B$295="Да",'01_Вводные'!$E$272+('01_Вводные'!$F$272-'01_Вводные'!$E$272)*11/12,'01_Вводные'!$F$272)</f>
        <v/>
      </c>
      <c r="L108" s="180">
        <f>IF('01_Вводные'!$B$295="Да",'01_Вводные'!$E$273+('01_Вводные'!$F$273-'01_Вводные'!$E$273)*11/12,'01_Вводные'!$F$273)</f>
        <v/>
      </c>
      <c r="M108" s="180">
        <f>IF('01_Вводные'!$B$295="Да",'01_Вводные'!$E$274+('01_Вводные'!$F$274-'01_Вводные'!$E$274)*11/12,'01_Вводные'!$F$274)</f>
        <v/>
      </c>
      <c r="N108" s="180">
        <f>IF('01_Вводные'!$B$295="Да",'01_Вводные'!$E$275+('01_Вводные'!$F$275-'01_Вводные'!$E$275)*11/12,'01_Вводные'!$F$275)</f>
        <v/>
      </c>
      <c r="O108" s="180">
        <f>IF('01_Вводные'!$B$295="Да",'01_Вводные'!$E$276+('01_Вводные'!$F$276-'01_Вводные'!$E$276)*11/12,'01_Вводные'!$F$276)</f>
        <v/>
      </c>
      <c r="P108" s="180">
        <f>IF('01_Вводные'!$B$295="Да",'01_Вводные'!$E$277+('01_Вводные'!$F$277-'01_Вводные'!$E$277)*11/12,'01_Вводные'!$F$277)</f>
        <v/>
      </c>
      <c r="Q108" s="180">
        <f>IF('01_Вводные'!$B$295="Да",'01_Вводные'!$E$278+('01_Вводные'!$F$278-'01_Вводные'!$E$278)*11/12,'01_Вводные'!$F$278)</f>
        <v/>
      </c>
      <c r="R108" s="180">
        <f>IF('01_Вводные'!$B$295="Да",'01_Вводные'!$E$279+('01_Вводные'!$F$279-'01_Вводные'!$E$279)*11/12,'01_Вводные'!$F$279)</f>
        <v/>
      </c>
      <c r="S108" s="180">
        <f>IF('01_Вводные'!$B$295="Да",'01_Вводные'!$E$280+('01_Вводные'!$F$280-'01_Вводные'!$E$280)*11/12,'01_Вводные'!$F$280)</f>
        <v/>
      </c>
      <c r="T108" s="180">
        <f>IF('01_Вводные'!$B$295="Да",'01_Вводные'!$E$281+('01_Вводные'!$F$281-'01_Вводные'!$E$281)*11/12,'01_Вводные'!$F$281)</f>
        <v/>
      </c>
      <c r="U108" s="180">
        <f>IF('01_Вводные'!$B$295="Да",'01_Вводные'!$E$282+('01_Вводные'!$F$282-'01_Вводные'!$E$282)*11/12,'01_Вводные'!$F$282)</f>
        <v/>
      </c>
    </row>
    <row r="109" ht="15.75" customHeight="1" s="194">
      <c r="A109" s="178" t="inlineStr">
        <is>
          <t>24</t>
        </is>
      </c>
      <c r="B109" s="180">
        <f>IF('01_Вводные'!$B$295="Да",'01_Вводные'!$E$263+('01_Вводные'!$F$263-'01_Вводные'!$E$263)*12/12,'01_Вводные'!$F$263)</f>
        <v/>
      </c>
      <c r="C109" s="180">
        <f>IF('01_Вводные'!$B$295="Да",'01_Вводные'!$E$264+('01_Вводные'!$F$264-'01_Вводные'!$E$264)*12/12,'01_Вводные'!$F$264)</f>
        <v/>
      </c>
      <c r="D109" s="180">
        <f>IF('01_Вводные'!$B$295="Да",'01_Вводные'!$E$265+('01_Вводные'!$F$265-'01_Вводные'!$E$265)*12/12,'01_Вводные'!$F$265)</f>
        <v/>
      </c>
      <c r="E109" s="180">
        <f>IF('01_Вводные'!$B$295="Да",'01_Вводные'!$E$266+('01_Вводные'!$F$266-'01_Вводные'!$E$266)*12/12,'01_Вводные'!$F$266)</f>
        <v/>
      </c>
      <c r="F109" s="180">
        <f>IF('01_Вводные'!$B$295="Да",'01_Вводные'!$E$267+('01_Вводные'!$F$267-'01_Вводные'!$E$267)*12/12,'01_Вводные'!$F$267)</f>
        <v/>
      </c>
      <c r="G109" s="180">
        <f>IF('01_Вводные'!$B$295="Да",'01_Вводные'!$E$268+('01_Вводные'!$F$268-'01_Вводные'!$E$268)*12/12,'01_Вводные'!$F$268)</f>
        <v/>
      </c>
      <c r="H109" s="180">
        <f>IF('01_Вводные'!$B$295="Да",'01_Вводные'!$E$269+('01_Вводные'!$F$269-'01_Вводные'!$E$269)*12/12,'01_Вводные'!$F$269)</f>
        <v/>
      </c>
      <c r="I109" s="180">
        <f>IF('01_Вводные'!$B$295="Да",'01_Вводные'!$E$270+('01_Вводные'!$F$270-'01_Вводные'!$E$270)*12/12,'01_Вводные'!$F$270)</f>
        <v/>
      </c>
      <c r="J109" s="180">
        <f>IF('01_Вводные'!$B$295="Да",'01_Вводные'!$E$271+('01_Вводные'!$F$271-'01_Вводные'!$E$271)*12/12,'01_Вводные'!$F$271)</f>
        <v/>
      </c>
      <c r="K109" s="180">
        <f>IF('01_Вводные'!$B$295="Да",'01_Вводные'!$E$272+('01_Вводные'!$F$272-'01_Вводные'!$E$272)*12/12,'01_Вводные'!$F$272)</f>
        <v/>
      </c>
      <c r="L109" s="180">
        <f>IF('01_Вводные'!$B$295="Да",'01_Вводные'!$E$273+('01_Вводные'!$F$273-'01_Вводные'!$E$273)*12/12,'01_Вводные'!$F$273)</f>
        <v/>
      </c>
      <c r="M109" s="180">
        <f>IF('01_Вводные'!$B$295="Да",'01_Вводные'!$E$274+('01_Вводные'!$F$274-'01_Вводные'!$E$274)*12/12,'01_Вводные'!$F$274)</f>
        <v/>
      </c>
      <c r="N109" s="180">
        <f>IF('01_Вводные'!$B$295="Да",'01_Вводные'!$E$275+('01_Вводные'!$F$275-'01_Вводные'!$E$275)*12/12,'01_Вводные'!$F$275)</f>
        <v/>
      </c>
      <c r="O109" s="180">
        <f>IF('01_Вводные'!$B$295="Да",'01_Вводные'!$E$276+('01_Вводные'!$F$276-'01_Вводные'!$E$276)*12/12,'01_Вводные'!$F$276)</f>
        <v/>
      </c>
      <c r="P109" s="180">
        <f>IF('01_Вводные'!$B$295="Да",'01_Вводные'!$E$277+('01_Вводные'!$F$277-'01_Вводные'!$E$277)*12/12,'01_Вводные'!$F$277)</f>
        <v/>
      </c>
      <c r="Q109" s="180">
        <f>IF('01_Вводные'!$B$295="Да",'01_Вводные'!$E$278+('01_Вводные'!$F$278-'01_Вводные'!$E$278)*12/12,'01_Вводные'!$F$278)</f>
        <v/>
      </c>
      <c r="R109" s="180">
        <f>IF('01_Вводные'!$B$295="Да",'01_Вводные'!$E$279+('01_Вводные'!$F$279-'01_Вводные'!$E$279)*12/12,'01_Вводные'!$F$279)</f>
        <v/>
      </c>
      <c r="S109" s="180">
        <f>IF('01_Вводные'!$B$295="Да",'01_Вводные'!$E$280+('01_Вводные'!$F$280-'01_Вводные'!$E$280)*12/12,'01_Вводные'!$F$280)</f>
        <v/>
      </c>
      <c r="T109" s="180">
        <f>IF('01_Вводные'!$B$295="Да",'01_Вводные'!$E$281+('01_Вводные'!$F$281-'01_Вводные'!$E$281)*12/12,'01_Вводные'!$F$281)</f>
        <v/>
      </c>
      <c r="U109" s="180">
        <f>IF('01_Вводные'!$B$295="Да",'01_Вводные'!$E$282+('01_Вводные'!$F$282-'01_Вводные'!$E$282)*12/12,'01_Вводные'!$F$282)</f>
        <v/>
      </c>
    </row>
    <row r="110" ht="15.75" customHeight="1" s="194">
      <c r="A110" s="178" t="inlineStr">
        <is>
          <t>25+</t>
        </is>
      </c>
      <c r="B110" s="180">
        <f>'01_Вводные'!$G$263</f>
        <v/>
      </c>
      <c r="C110" s="180">
        <f>'01_Вводные'!$G$264</f>
        <v/>
      </c>
      <c r="D110" s="180">
        <f>'01_Вводные'!$G$265</f>
        <v/>
      </c>
      <c r="E110" s="180">
        <f>'01_Вводные'!$G$266</f>
        <v/>
      </c>
      <c r="F110" s="180">
        <f>'01_Вводные'!$G$267</f>
        <v/>
      </c>
      <c r="G110" s="180">
        <f>'01_Вводные'!$G$268</f>
        <v/>
      </c>
      <c r="H110" s="180">
        <f>'01_Вводные'!$G$269</f>
        <v/>
      </c>
      <c r="I110" s="180">
        <f>'01_Вводные'!$G$270</f>
        <v/>
      </c>
      <c r="J110" s="180">
        <f>'01_Вводные'!$G$271</f>
        <v/>
      </c>
      <c r="K110" s="180">
        <f>'01_Вводные'!$G$272</f>
        <v/>
      </c>
      <c r="L110" s="180">
        <f>'01_Вводные'!$G$273</f>
        <v/>
      </c>
      <c r="M110" s="180">
        <f>'01_Вводные'!$G$274</f>
        <v/>
      </c>
      <c r="N110" s="180">
        <f>'01_Вводные'!$G$275</f>
        <v/>
      </c>
      <c r="O110" s="180">
        <f>'01_Вводные'!$G$276</f>
        <v/>
      </c>
      <c r="P110" s="180">
        <f>'01_Вводные'!$G$277</f>
        <v/>
      </c>
      <c r="Q110" s="180">
        <f>'01_Вводные'!$G$278</f>
        <v/>
      </c>
      <c r="R110" s="180">
        <f>'01_Вводные'!$G$279</f>
        <v/>
      </c>
      <c r="S110" s="180">
        <f>'01_Вводные'!$G$280</f>
        <v/>
      </c>
      <c r="T110" s="180">
        <f>'01_Вводные'!$G$281</f>
        <v/>
      </c>
      <c r="U110" s="180">
        <f>'01_Вводные'!$G$282</f>
        <v/>
      </c>
    </row>
    <row r="111" ht="15.75" customHeight="1" s="194"/>
    <row r="112" ht="15.75" customHeight="1" s="194"/>
    <row r="113" ht="15.75" customHeight="1" s="194"/>
    <row r="114" ht="15.75" customHeight="1" s="194">
      <c r="B114" s="182">
        <f>IF(B24&gt;0,B54/B24,1E+99)</f>
        <v/>
      </c>
      <c r="C114" s="182">
        <f>IF(C24&gt;0,C54/C24,1E+99)</f>
        <v/>
      </c>
      <c r="D114" s="182">
        <f>IF(D24&gt;0,D54/D24,1E+99)</f>
        <v/>
      </c>
      <c r="E114" s="182">
        <f>IF(E24&gt;0,E54/E24,1E+99)</f>
        <v/>
      </c>
      <c r="F114" s="182">
        <f>IF(F24&gt;0,F54/F24,1E+99)</f>
        <v/>
      </c>
      <c r="G114" s="182">
        <f>IF(G24&gt;0,G54/G24,1E+99)</f>
        <v/>
      </c>
      <c r="H114" s="182">
        <f>IF(H24&gt;0,H54/H24,1E+99)</f>
        <v/>
      </c>
      <c r="I114" s="182">
        <f>IF(I24&gt;0,I54/I24,1E+99)</f>
        <v/>
      </c>
      <c r="J114" s="182">
        <f>IF(J24&gt;0,J54/J24,1E+99)</f>
        <v/>
      </c>
      <c r="K114" s="182">
        <f>IF(K24&gt;0,K54/K24,1E+99)</f>
        <v/>
      </c>
      <c r="L114" s="182">
        <f>IF(L24&gt;0,L54/L24,1E+99)</f>
        <v/>
      </c>
      <c r="M114" s="182">
        <f>IF(M24&gt;0,M54/M24,1E+99)</f>
        <v/>
      </c>
      <c r="N114" s="182">
        <f>IF(N24&gt;0,N54/N24,1E+99)</f>
        <v/>
      </c>
      <c r="O114" s="182">
        <f>IF(O24&gt;0,O54/O24,1E+99)</f>
        <v/>
      </c>
      <c r="P114" s="182">
        <f>IF(P24&gt;0,P54/P24,1E+99)</f>
        <v/>
      </c>
      <c r="Q114" s="182">
        <f>IF(Q24&gt;0,Q54/Q24,1E+99)</f>
        <v/>
      </c>
      <c r="R114" s="182">
        <f>IF(R24&gt;0,R54/R24,1E+99)</f>
        <v/>
      </c>
      <c r="S114" s="182">
        <f>IF(S24&gt;0,S54/S24,1E+99)</f>
        <v/>
      </c>
      <c r="T114" s="182">
        <f>IF(T24&gt;0,T54/T24,1E+99)</f>
        <v/>
      </c>
      <c r="U114" s="182">
        <f>IF(U24&gt;0,U54/U24,1E+99)</f>
        <v/>
      </c>
    </row>
    <row r="115" ht="15.75" customHeight="1" s="194">
      <c r="B115" s="182">
        <f>IF(B25&gt;0,B55/B25,1E+99)</f>
        <v/>
      </c>
      <c r="C115" s="182">
        <f>IF(C25&gt;0,C55/C25,1E+99)</f>
        <v/>
      </c>
      <c r="D115" s="182">
        <f>IF(D25&gt;0,D55/D25,1E+99)</f>
        <v/>
      </c>
      <c r="E115" s="182">
        <f>IF(E25&gt;0,E55/E25,1E+99)</f>
        <v/>
      </c>
      <c r="F115" s="182">
        <f>IF(F25&gt;0,F55/F25,1E+99)</f>
        <v/>
      </c>
      <c r="G115" s="182">
        <f>IF(G25&gt;0,G55/G25,1E+99)</f>
        <v/>
      </c>
      <c r="H115" s="182">
        <f>IF(H25&gt;0,H55/H25,1E+99)</f>
        <v/>
      </c>
      <c r="I115" s="182">
        <f>IF(I25&gt;0,I55/I25,1E+99)</f>
        <v/>
      </c>
      <c r="J115" s="182">
        <f>IF(J25&gt;0,J55/J25,1E+99)</f>
        <v/>
      </c>
      <c r="K115" s="182">
        <f>IF(K25&gt;0,K55/K25,1E+99)</f>
        <v/>
      </c>
      <c r="L115" s="182">
        <f>IF(L25&gt;0,L55/L25,1E+99)</f>
        <v/>
      </c>
      <c r="M115" s="182">
        <f>IF(M25&gt;0,M55/M25,1E+99)</f>
        <v/>
      </c>
      <c r="N115" s="182">
        <f>IF(N25&gt;0,N55/N25,1E+99)</f>
        <v/>
      </c>
      <c r="O115" s="182">
        <f>IF(O25&gt;0,O55/O25,1E+99)</f>
        <v/>
      </c>
      <c r="P115" s="182">
        <f>IF(P25&gt;0,P55/P25,1E+99)</f>
        <v/>
      </c>
      <c r="Q115" s="182">
        <f>IF(Q25&gt;0,Q55/Q25,1E+99)</f>
        <v/>
      </c>
      <c r="R115" s="182">
        <f>IF(R25&gt;0,R55/R25,1E+99)</f>
        <v/>
      </c>
      <c r="S115" s="182">
        <f>IF(S25&gt;0,S55/S25,1E+99)</f>
        <v/>
      </c>
      <c r="T115" s="182">
        <f>IF(T25&gt;0,T55/T25,1E+99)</f>
        <v/>
      </c>
      <c r="U115" s="182">
        <f>IF(U25&gt;0,U55/U25,1E+99)</f>
        <v/>
      </c>
    </row>
    <row r="116" ht="15.75" customHeight="1" s="194">
      <c r="B116" s="182">
        <f>IF(B26&gt;0,B56/B26,1E+99)</f>
        <v/>
      </c>
      <c r="C116" s="182">
        <f>IF(C26&gt;0,C56/C26,1E+99)</f>
        <v/>
      </c>
      <c r="D116" s="182">
        <f>IF(D26&gt;0,D56/D26,1E+99)</f>
        <v/>
      </c>
      <c r="E116" s="182">
        <f>IF(E26&gt;0,E56/E26,1E+99)</f>
        <v/>
      </c>
      <c r="F116" s="182">
        <f>IF(F26&gt;0,F56/F26,1E+99)</f>
        <v/>
      </c>
      <c r="G116" s="182">
        <f>IF(G26&gt;0,G56/G26,1E+99)</f>
        <v/>
      </c>
      <c r="H116" s="182">
        <f>IF(H26&gt;0,H56/H26,1E+99)</f>
        <v/>
      </c>
      <c r="I116" s="182">
        <f>IF(I26&gt;0,I56/I26,1E+99)</f>
        <v/>
      </c>
      <c r="J116" s="182">
        <f>IF(J26&gt;0,J56/J26,1E+99)</f>
        <v/>
      </c>
      <c r="K116" s="182">
        <f>IF(K26&gt;0,K56/K26,1E+99)</f>
        <v/>
      </c>
      <c r="L116" s="182">
        <f>IF(L26&gt;0,L56/L26,1E+99)</f>
        <v/>
      </c>
      <c r="M116" s="182">
        <f>IF(M26&gt;0,M56/M26,1E+99)</f>
        <v/>
      </c>
      <c r="N116" s="182">
        <f>IF(N26&gt;0,N56/N26,1E+99)</f>
        <v/>
      </c>
      <c r="O116" s="182">
        <f>IF(O26&gt;0,O56/O26,1E+99)</f>
        <v/>
      </c>
      <c r="P116" s="182">
        <f>IF(P26&gt;0,P56/P26,1E+99)</f>
        <v/>
      </c>
      <c r="Q116" s="182">
        <f>IF(Q26&gt;0,Q56/Q26,1E+99)</f>
        <v/>
      </c>
      <c r="R116" s="182">
        <f>IF(R26&gt;0,R56/R26,1E+99)</f>
        <v/>
      </c>
      <c r="S116" s="182">
        <f>IF(S26&gt;0,S56/S26,1E+99)</f>
        <v/>
      </c>
      <c r="T116" s="182">
        <f>IF(T26&gt;0,T56/T26,1E+99)</f>
        <v/>
      </c>
      <c r="U116" s="182">
        <f>IF(U26&gt;0,U56/U26,1E+99)</f>
        <v/>
      </c>
    </row>
    <row r="117" ht="15.75" customHeight="1" s="194">
      <c r="B117" s="182">
        <f>IF(B27&gt;0,B57/B27,1E+99)</f>
        <v/>
      </c>
      <c r="C117" s="182">
        <f>IF(C27&gt;0,C57/C27,1E+99)</f>
        <v/>
      </c>
      <c r="D117" s="182">
        <f>IF(D27&gt;0,D57/D27,1E+99)</f>
        <v/>
      </c>
      <c r="E117" s="182">
        <f>IF(E27&gt;0,E57/E27,1E+99)</f>
        <v/>
      </c>
      <c r="F117" s="182">
        <f>IF(F27&gt;0,F57/F27,1E+99)</f>
        <v/>
      </c>
      <c r="G117" s="182">
        <f>IF(G27&gt;0,G57/G27,1E+99)</f>
        <v/>
      </c>
      <c r="H117" s="182">
        <f>IF(H27&gt;0,H57/H27,1E+99)</f>
        <v/>
      </c>
      <c r="I117" s="182">
        <f>IF(I27&gt;0,I57/I27,1E+99)</f>
        <v/>
      </c>
      <c r="J117" s="182">
        <f>IF(J27&gt;0,J57/J27,1E+99)</f>
        <v/>
      </c>
      <c r="K117" s="182">
        <f>IF(K27&gt;0,K57/K27,1E+99)</f>
        <v/>
      </c>
      <c r="L117" s="182">
        <f>IF(L27&gt;0,L57/L27,1E+99)</f>
        <v/>
      </c>
      <c r="M117" s="182">
        <f>IF(M27&gt;0,M57/M27,1E+99)</f>
        <v/>
      </c>
      <c r="N117" s="182">
        <f>IF(N27&gt;0,N57/N27,1E+99)</f>
        <v/>
      </c>
      <c r="O117" s="182">
        <f>IF(O27&gt;0,O57/O27,1E+99)</f>
        <v/>
      </c>
      <c r="P117" s="182">
        <f>IF(P27&gt;0,P57/P27,1E+99)</f>
        <v/>
      </c>
      <c r="Q117" s="182">
        <f>IF(Q27&gt;0,Q57/Q27,1E+99)</f>
        <v/>
      </c>
      <c r="R117" s="182">
        <f>IF(R27&gt;0,R57/R27,1E+99)</f>
        <v/>
      </c>
      <c r="S117" s="182">
        <f>IF(S27&gt;0,S57/S27,1E+99)</f>
        <v/>
      </c>
      <c r="T117" s="182">
        <f>IF(T27&gt;0,T57/T27,1E+99)</f>
        <v/>
      </c>
      <c r="U117" s="182">
        <f>IF(U27&gt;0,U57/U27,1E+99)</f>
        <v/>
      </c>
    </row>
    <row r="118" ht="15.75" customHeight="1" s="194">
      <c r="B118" s="182">
        <f>IF(B28&gt;0,B58/B28,1E+99)</f>
        <v/>
      </c>
      <c r="C118" s="182">
        <f>IF(C28&gt;0,C58/C28,1E+99)</f>
        <v/>
      </c>
      <c r="D118" s="182">
        <f>IF(D28&gt;0,D58/D28,1E+99)</f>
        <v/>
      </c>
      <c r="E118" s="182">
        <f>IF(E28&gt;0,E58/E28,1E+99)</f>
        <v/>
      </c>
      <c r="F118" s="182">
        <f>IF(F28&gt;0,F58/F28,1E+99)</f>
        <v/>
      </c>
      <c r="G118" s="182">
        <f>IF(G28&gt;0,G58/G28,1E+99)</f>
        <v/>
      </c>
      <c r="H118" s="182">
        <f>IF(H28&gt;0,H58/H28,1E+99)</f>
        <v/>
      </c>
      <c r="I118" s="182">
        <f>IF(I28&gt;0,I58/I28,1E+99)</f>
        <v/>
      </c>
      <c r="J118" s="182">
        <f>IF(J28&gt;0,J58/J28,1E+99)</f>
        <v/>
      </c>
      <c r="K118" s="182">
        <f>IF(K28&gt;0,K58/K28,1E+99)</f>
        <v/>
      </c>
      <c r="L118" s="182">
        <f>IF(L28&gt;0,L58/L28,1E+99)</f>
        <v/>
      </c>
      <c r="M118" s="182">
        <f>IF(M28&gt;0,M58/M28,1E+99)</f>
        <v/>
      </c>
      <c r="N118" s="182">
        <f>IF(N28&gt;0,N58/N28,1E+99)</f>
        <v/>
      </c>
      <c r="O118" s="182">
        <f>IF(O28&gt;0,O58/O28,1E+99)</f>
        <v/>
      </c>
      <c r="P118" s="182">
        <f>IF(P28&gt;0,P58/P28,1E+99)</f>
        <v/>
      </c>
      <c r="Q118" s="182">
        <f>IF(Q28&gt;0,Q58/Q28,1E+99)</f>
        <v/>
      </c>
      <c r="R118" s="182">
        <f>IF(R28&gt;0,R58/R28,1E+99)</f>
        <v/>
      </c>
      <c r="S118" s="182">
        <f>IF(S28&gt;0,S58/S28,1E+99)</f>
        <v/>
      </c>
      <c r="T118" s="182">
        <f>IF(T28&gt;0,T58/T28,1E+99)</f>
        <v/>
      </c>
      <c r="U118" s="182">
        <f>IF(U28&gt;0,U58/U28,1E+99)</f>
        <v/>
      </c>
    </row>
    <row r="119" ht="15.75" customHeight="1" s="194">
      <c r="B119" s="182">
        <f>IF(B29&gt;0,B59/B29,1E+99)</f>
        <v/>
      </c>
      <c r="C119" s="182">
        <f>IF(C29&gt;0,C59/C29,1E+99)</f>
        <v/>
      </c>
      <c r="D119" s="182">
        <f>IF(D29&gt;0,D59/D29,1E+99)</f>
        <v/>
      </c>
      <c r="E119" s="182">
        <f>IF(E29&gt;0,E59/E29,1E+99)</f>
        <v/>
      </c>
      <c r="F119" s="182">
        <f>IF(F29&gt;0,F59/F29,1E+99)</f>
        <v/>
      </c>
      <c r="G119" s="182">
        <f>IF(G29&gt;0,G59/G29,1E+99)</f>
        <v/>
      </c>
      <c r="H119" s="182">
        <f>IF(H29&gt;0,H59/H29,1E+99)</f>
        <v/>
      </c>
      <c r="I119" s="182">
        <f>IF(I29&gt;0,I59/I29,1E+99)</f>
        <v/>
      </c>
      <c r="J119" s="182">
        <f>IF(J29&gt;0,J59/J29,1E+99)</f>
        <v/>
      </c>
      <c r="K119" s="182">
        <f>IF(K29&gt;0,K59/K29,1E+99)</f>
        <v/>
      </c>
      <c r="L119" s="182">
        <f>IF(L29&gt;0,L59/L29,1E+99)</f>
        <v/>
      </c>
      <c r="M119" s="182">
        <f>IF(M29&gt;0,M59/M29,1E+99)</f>
        <v/>
      </c>
      <c r="N119" s="182">
        <f>IF(N29&gt;0,N59/N29,1E+99)</f>
        <v/>
      </c>
      <c r="O119" s="182">
        <f>IF(O29&gt;0,O59/O29,1E+99)</f>
        <v/>
      </c>
      <c r="P119" s="182">
        <f>IF(P29&gt;0,P59/P29,1E+99)</f>
        <v/>
      </c>
      <c r="Q119" s="182">
        <f>IF(Q29&gt;0,Q59/Q29,1E+99)</f>
        <v/>
      </c>
      <c r="R119" s="182">
        <f>IF(R29&gt;0,R59/R29,1E+99)</f>
        <v/>
      </c>
      <c r="S119" s="182">
        <f>IF(S29&gt;0,S59/S29,1E+99)</f>
        <v/>
      </c>
      <c r="T119" s="182">
        <f>IF(T29&gt;0,T59/T29,1E+99)</f>
        <v/>
      </c>
      <c r="U119" s="182">
        <f>IF(U29&gt;0,U59/U29,1E+99)</f>
        <v/>
      </c>
    </row>
    <row r="120" ht="15.75" customHeight="1" s="194">
      <c r="B120" s="182">
        <f>IF(B30&gt;0,B60/B30,1E+99)</f>
        <v/>
      </c>
      <c r="C120" s="182">
        <f>IF(C30&gt;0,C60/C30,1E+99)</f>
        <v/>
      </c>
      <c r="D120" s="182">
        <f>IF(D30&gt;0,D60/D30,1E+99)</f>
        <v/>
      </c>
      <c r="E120" s="182">
        <f>IF(E30&gt;0,E60/E30,1E+99)</f>
        <v/>
      </c>
      <c r="F120" s="182">
        <f>IF(F30&gt;0,F60/F30,1E+99)</f>
        <v/>
      </c>
      <c r="G120" s="182">
        <f>IF(G30&gt;0,G60/G30,1E+99)</f>
        <v/>
      </c>
      <c r="H120" s="182">
        <f>IF(H30&gt;0,H60/H30,1E+99)</f>
        <v/>
      </c>
      <c r="I120" s="182">
        <f>IF(I30&gt;0,I60/I30,1E+99)</f>
        <v/>
      </c>
      <c r="J120" s="182">
        <f>IF(J30&gt;0,J60/J30,1E+99)</f>
        <v/>
      </c>
      <c r="K120" s="182">
        <f>IF(K30&gt;0,K60/K30,1E+99)</f>
        <v/>
      </c>
      <c r="L120" s="182">
        <f>IF(L30&gt;0,L60/L30,1E+99)</f>
        <v/>
      </c>
      <c r="M120" s="182">
        <f>IF(M30&gt;0,M60/M30,1E+99)</f>
        <v/>
      </c>
      <c r="N120" s="182">
        <f>IF(N30&gt;0,N60/N30,1E+99)</f>
        <v/>
      </c>
      <c r="O120" s="182">
        <f>IF(O30&gt;0,O60/O30,1E+99)</f>
        <v/>
      </c>
      <c r="P120" s="182">
        <f>IF(P30&gt;0,P60/P30,1E+99)</f>
        <v/>
      </c>
      <c r="Q120" s="182">
        <f>IF(Q30&gt;0,Q60/Q30,1E+99)</f>
        <v/>
      </c>
      <c r="R120" s="182">
        <f>IF(R30&gt;0,R60/R30,1E+99)</f>
        <v/>
      </c>
      <c r="S120" s="182">
        <f>IF(S30&gt;0,S60/S30,1E+99)</f>
        <v/>
      </c>
      <c r="T120" s="182">
        <f>IF(T30&gt;0,T60/T30,1E+99)</f>
        <v/>
      </c>
      <c r="U120" s="182">
        <f>IF(U30&gt;0,U60/U30,1E+99)</f>
        <v/>
      </c>
    </row>
    <row r="121" ht="15.75" customHeight="1" s="194">
      <c r="B121" s="182">
        <f>IF(B31&gt;0,B61/B31,1E+99)</f>
        <v/>
      </c>
      <c r="C121" s="182">
        <f>IF(C31&gt;0,C61/C31,1E+99)</f>
        <v/>
      </c>
      <c r="D121" s="182">
        <f>IF(D31&gt;0,D61/D31,1E+99)</f>
        <v/>
      </c>
      <c r="E121" s="182">
        <f>IF(E31&gt;0,E61/E31,1E+99)</f>
        <v/>
      </c>
      <c r="F121" s="182">
        <f>IF(F31&gt;0,F61/F31,1E+99)</f>
        <v/>
      </c>
      <c r="G121" s="182">
        <f>IF(G31&gt;0,G61/G31,1E+99)</f>
        <v/>
      </c>
      <c r="H121" s="182">
        <f>IF(H31&gt;0,H61/H31,1E+99)</f>
        <v/>
      </c>
      <c r="I121" s="182">
        <f>IF(I31&gt;0,I61/I31,1E+99)</f>
        <v/>
      </c>
      <c r="J121" s="182">
        <f>IF(J31&gt;0,J61/J31,1E+99)</f>
        <v/>
      </c>
      <c r="K121" s="182">
        <f>IF(K31&gt;0,K61/K31,1E+99)</f>
        <v/>
      </c>
      <c r="L121" s="182">
        <f>IF(L31&gt;0,L61/L31,1E+99)</f>
        <v/>
      </c>
      <c r="M121" s="182">
        <f>IF(M31&gt;0,M61/M31,1E+99)</f>
        <v/>
      </c>
      <c r="N121" s="182">
        <f>IF(N31&gt;0,N61/N31,1E+99)</f>
        <v/>
      </c>
      <c r="O121" s="182">
        <f>IF(O31&gt;0,O61/O31,1E+99)</f>
        <v/>
      </c>
      <c r="P121" s="182">
        <f>IF(P31&gt;0,P61/P31,1E+99)</f>
        <v/>
      </c>
      <c r="Q121" s="182">
        <f>IF(Q31&gt;0,Q61/Q31,1E+99)</f>
        <v/>
      </c>
      <c r="R121" s="182">
        <f>IF(R31&gt;0,R61/R31,1E+99)</f>
        <v/>
      </c>
      <c r="S121" s="182">
        <f>IF(S31&gt;0,S61/S31,1E+99)</f>
        <v/>
      </c>
      <c r="T121" s="182">
        <f>IF(T31&gt;0,T61/T31,1E+99)</f>
        <v/>
      </c>
      <c r="U121" s="182">
        <f>IF(U31&gt;0,U61/U31,1E+99)</f>
        <v/>
      </c>
    </row>
    <row r="122" ht="15.75" customHeight="1" s="194">
      <c r="B122" s="182">
        <f>IF(B32&gt;0,B62/B32,1E+99)</f>
        <v/>
      </c>
      <c r="C122" s="182">
        <f>IF(C32&gt;0,C62/C32,1E+99)</f>
        <v/>
      </c>
      <c r="D122" s="182">
        <f>IF(D32&gt;0,D62/D32,1E+99)</f>
        <v/>
      </c>
      <c r="E122" s="182">
        <f>IF(E32&gt;0,E62/E32,1E+99)</f>
        <v/>
      </c>
      <c r="F122" s="182">
        <f>IF(F32&gt;0,F62/F32,1E+99)</f>
        <v/>
      </c>
      <c r="G122" s="182">
        <f>IF(G32&gt;0,G62/G32,1E+99)</f>
        <v/>
      </c>
      <c r="H122" s="182">
        <f>IF(H32&gt;0,H62/H32,1E+99)</f>
        <v/>
      </c>
      <c r="I122" s="182">
        <f>IF(I32&gt;0,I62/I32,1E+99)</f>
        <v/>
      </c>
      <c r="J122" s="182">
        <f>IF(J32&gt;0,J62/J32,1E+99)</f>
        <v/>
      </c>
      <c r="K122" s="182">
        <f>IF(K32&gt;0,K62/K32,1E+99)</f>
        <v/>
      </c>
      <c r="L122" s="182">
        <f>IF(L32&gt;0,L62/L32,1E+99)</f>
        <v/>
      </c>
      <c r="M122" s="182">
        <f>IF(M32&gt;0,M62/M32,1E+99)</f>
        <v/>
      </c>
      <c r="N122" s="182">
        <f>IF(N32&gt;0,N62/N32,1E+99)</f>
        <v/>
      </c>
      <c r="O122" s="182">
        <f>IF(O32&gt;0,O62/O32,1E+99)</f>
        <v/>
      </c>
      <c r="P122" s="182">
        <f>IF(P32&gt;0,P62/P32,1E+99)</f>
        <v/>
      </c>
      <c r="Q122" s="182">
        <f>IF(Q32&gt;0,Q62/Q32,1E+99)</f>
        <v/>
      </c>
      <c r="R122" s="182">
        <f>IF(R32&gt;0,R62/R32,1E+99)</f>
        <v/>
      </c>
      <c r="S122" s="182">
        <f>IF(S32&gt;0,S62/S32,1E+99)</f>
        <v/>
      </c>
      <c r="T122" s="182">
        <f>IF(T32&gt;0,T62/T32,1E+99)</f>
        <v/>
      </c>
      <c r="U122" s="182">
        <f>IF(U32&gt;0,U62/U32,1E+99)</f>
        <v/>
      </c>
    </row>
    <row r="123" ht="15.75" customHeight="1" s="194">
      <c r="B123" s="182">
        <f>IF(B33&gt;0,B63/B33,1E+99)</f>
        <v/>
      </c>
      <c r="C123" s="182">
        <f>IF(C33&gt;0,C63/C33,1E+99)</f>
        <v/>
      </c>
      <c r="D123" s="182">
        <f>IF(D33&gt;0,D63/D33,1E+99)</f>
        <v/>
      </c>
      <c r="E123" s="182">
        <f>IF(E33&gt;0,E63/E33,1E+99)</f>
        <v/>
      </c>
      <c r="F123" s="182">
        <f>IF(F33&gt;0,F63/F33,1E+99)</f>
        <v/>
      </c>
      <c r="G123" s="182">
        <f>IF(G33&gt;0,G63/G33,1E+99)</f>
        <v/>
      </c>
      <c r="H123" s="182">
        <f>IF(H33&gt;0,H63/H33,1E+99)</f>
        <v/>
      </c>
      <c r="I123" s="182">
        <f>IF(I33&gt;0,I63/I33,1E+99)</f>
        <v/>
      </c>
      <c r="J123" s="182">
        <f>IF(J33&gt;0,J63/J33,1E+99)</f>
        <v/>
      </c>
      <c r="K123" s="182">
        <f>IF(K33&gt;0,K63/K33,1E+99)</f>
        <v/>
      </c>
      <c r="L123" s="182">
        <f>IF(L33&gt;0,L63/L33,1E+99)</f>
        <v/>
      </c>
      <c r="M123" s="182">
        <f>IF(M33&gt;0,M63/M33,1E+99)</f>
        <v/>
      </c>
      <c r="N123" s="182">
        <f>IF(N33&gt;0,N63/N33,1E+99)</f>
        <v/>
      </c>
      <c r="O123" s="182">
        <f>IF(O33&gt;0,O63/O33,1E+99)</f>
        <v/>
      </c>
      <c r="P123" s="182">
        <f>IF(P33&gt;0,P63/P33,1E+99)</f>
        <v/>
      </c>
      <c r="Q123" s="182">
        <f>IF(Q33&gt;0,Q63/Q33,1E+99)</f>
        <v/>
      </c>
      <c r="R123" s="182">
        <f>IF(R33&gt;0,R63/R33,1E+99)</f>
        <v/>
      </c>
      <c r="S123" s="182">
        <f>IF(S33&gt;0,S63/S33,1E+99)</f>
        <v/>
      </c>
      <c r="T123" s="182">
        <f>IF(T33&gt;0,T63/T33,1E+99)</f>
        <v/>
      </c>
      <c r="U123" s="182">
        <f>IF(U33&gt;0,U63/U33,1E+99)</f>
        <v/>
      </c>
    </row>
    <row r="124" ht="15.75" customHeight="1" s="194">
      <c r="B124" s="182">
        <f>IF(B34&gt;0,B64/B34,1E+99)</f>
        <v/>
      </c>
      <c r="C124" s="182">
        <f>IF(C34&gt;0,C64/C34,1E+99)</f>
        <v/>
      </c>
      <c r="D124" s="182">
        <f>IF(D34&gt;0,D64/D34,1E+99)</f>
        <v/>
      </c>
      <c r="E124" s="182">
        <f>IF(E34&gt;0,E64/E34,1E+99)</f>
        <v/>
      </c>
      <c r="F124" s="182">
        <f>IF(F34&gt;0,F64/F34,1E+99)</f>
        <v/>
      </c>
      <c r="G124" s="182">
        <f>IF(G34&gt;0,G64/G34,1E+99)</f>
        <v/>
      </c>
      <c r="H124" s="182">
        <f>IF(H34&gt;0,H64/H34,1E+99)</f>
        <v/>
      </c>
      <c r="I124" s="182">
        <f>IF(I34&gt;0,I64/I34,1E+99)</f>
        <v/>
      </c>
      <c r="J124" s="182">
        <f>IF(J34&gt;0,J64/J34,1E+99)</f>
        <v/>
      </c>
      <c r="K124" s="182">
        <f>IF(K34&gt;0,K64/K34,1E+99)</f>
        <v/>
      </c>
      <c r="L124" s="182">
        <f>IF(L34&gt;0,L64/L34,1E+99)</f>
        <v/>
      </c>
      <c r="M124" s="182">
        <f>IF(M34&gt;0,M64/M34,1E+99)</f>
        <v/>
      </c>
      <c r="N124" s="182">
        <f>IF(N34&gt;0,N64/N34,1E+99)</f>
        <v/>
      </c>
      <c r="O124" s="182">
        <f>IF(O34&gt;0,O64/O34,1E+99)</f>
        <v/>
      </c>
      <c r="P124" s="182">
        <f>IF(P34&gt;0,P64/P34,1E+99)</f>
        <v/>
      </c>
      <c r="Q124" s="182">
        <f>IF(Q34&gt;0,Q64/Q34,1E+99)</f>
        <v/>
      </c>
      <c r="R124" s="182">
        <f>IF(R34&gt;0,R64/R34,1E+99)</f>
        <v/>
      </c>
      <c r="S124" s="182">
        <f>IF(S34&gt;0,S64/S34,1E+99)</f>
        <v/>
      </c>
      <c r="T124" s="182">
        <f>IF(T34&gt;0,T64/T34,1E+99)</f>
        <v/>
      </c>
      <c r="U124" s="182">
        <f>IF(U34&gt;0,U64/U34,1E+99)</f>
        <v/>
      </c>
    </row>
    <row r="125" ht="15.75" customHeight="1" s="194">
      <c r="B125" s="182">
        <f>IF(B35&gt;0,B65/B35,1E+99)</f>
        <v/>
      </c>
      <c r="C125" s="182">
        <f>IF(C35&gt;0,C65/C35,1E+99)</f>
        <v/>
      </c>
      <c r="D125" s="182">
        <f>IF(D35&gt;0,D65/D35,1E+99)</f>
        <v/>
      </c>
      <c r="E125" s="182">
        <f>IF(E35&gt;0,E65/E35,1E+99)</f>
        <v/>
      </c>
      <c r="F125" s="182">
        <f>IF(F35&gt;0,F65/F35,1E+99)</f>
        <v/>
      </c>
      <c r="G125" s="182">
        <f>IF(G35&gt;0,G65/G35,1E+99)</f>
        <v/>
      </c>
      <c r="H125" s="182">
        <f>IF(H35&gt;0,H65/H35,1E+99)</f>
        <v/>
      </c>
      <c r="I125" s="182">
        <f>IF(I35&gt;0,I65/I35,1E+99)</f>
        <v/>
      </c>
      <c r="J125" s="182">
        <f>IF(J35&gt;0,J65/J35,1E+99)</f>
        <v/>
      </c>
      <c r="K125" s="182">
        <f>IF(K35&gt;0,K65/K35,1E+99)</f>
        <v/>
      </c>
      <c r="L125" s="182">
        <f>IF(L35&gt;0,L65/L35,1E+99)</f>
        <v/>
      </c>
      <c r="M125" s="182">
        <f>IF(M35&gt;0,M65/M35,1E+99)</f>
        <v/>
      </c>
      <c r="N125" s="182">
        <f>IF(N35&gt;0,N65/N35,1E+99)</f>
        <v/>
      </c>
      <c r="O125" s="182">
        <f>IF(O35&gt;0,O65/O35,1E+99)</f>
        <v/>
      </c>
      <c r="P125" s="182">
        <f>IF(P35&gt;0,P65/P35,1E+99)</f>
        <v/>
      </c>
      <c r="Q125" s="182">
        <f>IF(Q35&gt;0,Q65/Q35,1E+99)</f>
        <v/>
      </c>
      <c r="R125" s="182">
        <f>IF(R35&gt;0,R65/R35,1E+99)</f>
        <v/>
      </c>
      <c r="S125" s="182">
        <f>IF(S35&gt;0,S65/S35,1E+99)</f>
        <v/>
      </c>
      <c r="T125" s="182">
        <f>IF(T35&gt;0,T65/T35,1E+99)</f>
        <v/>
      </c>
      <c r="U125" s="182">
        <f>IF(U35&gt;0,U65/U35,1E+99)</f>
        <v/>
      </c>
    </row>
    <row r="126" ht="15.75" customHeight="1" s="194">
      <c r="B126" s="182">
        <f>IF(B36&gt;0,B66/B36,1E+99)</f>
        <v/>
      </c>
      <c r="C126" s="182">
        <f>IF(C36&gt;0,C66/C36,1E+99)</f>
        <v/>
      </c>
      <c r="D126" s="182">
        <f>IF(D36&gt;0,D66/D36,1E+99)</f>
        <v/>
      </c>
      <c r="E126" s="182">
        <f>IF(E36&gt;0,E66/E36,1E+99)</f>
        <v/>
      </c>
      <c r="F126" s="182">
        <f>IF(F36&gt;0,F66/F36,1E+99)</f>
        <v/>
      </c>
      <c r="G126" s="182">
        <f>IF(G36&gt;0,G66/G36,1E+99)</f>
        <v/>
      </c>
      <c r="H126" s="182">
        <f>IF(H36&gt;0,H66/H36,1E+99)</f>
        <v/>
      </c>
      <c r="I126" s="182">
        <f>IF(I36&gt;0,I66/I36,1E+99)</f>
        <v/>
      </c>
      <c r="J126" s="182">
        <f>IF(J36&gt;0,J66/J36,1E+99)</f>
        <v/>
      </c>
      <c r="K126" s="182">
        <f>IF(K36&gt;0,K66/K36,1E+99)</f>
        <v/>
      </c>
      <c r="L126" s="182">
        <f>IF(L36&gt;0,L66/L36,1E+99)</f>
        <v/>
      </c>
      <c r="M126" s="182">
        <f>IF(M36&gt;0,M66/M36,1E+99)</f>
        <v/>
      </c>
      <c r="N126" s="182">
        <f>IF(N36&gt;0,N66/N36,1E+99)</f>
        <v/>
      </c>
      <c r="O126" s="182">
        <f>IF(O36&gt;0,O66/O36,1E+99)</f>
        <v/>
      </c>
      <c r="P126" s="182">
        <f>IF(P36&gt;0,P66/P36,1E+99)</f>
        <v/>
      </c>
      <c r="Q126" s="182">
        <f>IF(Q36&gt;0,Q66/Q36,1E+99)</f>
        <v/>
      </c>
      <c r="R126" s="182">
        <f>IF(R36&gt;0,R66/R36,1E+99)</f>
        <v/>
      </c>
      <c r="S126" s="182">
        <f>IF(S36&gt;0,S66/S36,1E+99)</f>
        <v/>
      </c>
      <c r="T126" s="182">
        <f>IF(T36&gt;0,T66/T36,1E+99)</f>
        <v/>
      </c>
      <c r="U126" s="182">
        <f>IF(U36&gt;0,U66/U36,1E+99)</f>
        <v/>
      </c>
    </row>
    <row r="127" ht="15.75" customHeight="1" s="194">
      <c r="B127" s="182">
        <f>IF(B37&gt;0,B67/B37,1E+99)</f>
        <v/>
      </c>
      <c r="C127" s="182">
        <f>IF(C37&gt;0,C67/C37,1E+99)</f>
        <v/>
      </c>
      <c r="D127" s="182">
        <f>IF(D37&gt;0,D67/D37,1E+99)</f>
        <v/>
      </c>
      <c r="E127" s="182">
        <f>IF(E37&gt;0,E67/E37,1E+99)</f>
        <v/>
      </c>
      <c r="F127" s="182">
        <f>IF(F37&gt;0,F67/F37,1E+99)</f>
        <v/>
      </c>
      <c r="G127" s="182">
        <f>IF(G37&gt;0,G67/G37,1E+99)</f>
        <v/>
      </c>
      <c r="H127" s="182">
        <f>IF(H37&gt;0,H67/H37,1E+99)</f>
        <v/>
      </c>
      <c r="I127" s="182">
        <f>IF(I37&gt;0,I67/I37,1E+99)</f>
        <v/>
      </c>
      <c r="J127" s="182">
        <f>IF(J37&gt;0,J67/J37,1E+99)</f>
        <v/>
      </c>
      <c r="K127" s="182">
        <f>IF(K37&gt;0,K67/K37,1E+99)</f>
        <v/>
      </c>
      <c r="L127" s="182">
        <f>IF(L37&gt;0,L67/L37,1E+99)</f>
        <v/>
      </c>
      <c r="M127" s="182">
        <f>IF(M37&gt;0,M67/M37,1E+99)</f>
        <v/>
      </c>
      <c r="N127" s="182">
        <f>IF(N37&gt;0,N67/N37,1E+99)</f>
        <v/>
      </c>
      <c r="O127" s="182">
        <f>IF(O37&gt;0,O67/O37,1E+99)</f>
        <v/>
      </c>
      <c r="P127" s="182">
        <f>IF(P37&gt;0,P67/P37,1E+99)</f>
        <v/>
      </c>
      <c r="Q127" s="182">
        <f>IF(Q37&gt;0,Q67/Q37,1E+99)</f>
        <v/>
      </c>
      <c r="R127" s="182">
        <f>IF(R37&gt;0,R67/R37,1E+99)</f>
        <v/>
      </c>
      <c r="S127" s="182">
        <f>IF(S37&gt;0,S67/S37,1E+99)</f>
        <v/>
      </c>
      <c r="T127" s="182">
        <f>IF(T37&gt;0,T67/T37,1E+99)</f>
        <v/>
      </c>
      <c r="U127" s="182">
        <f>IF(U37&gt;0,U67/U37,1E+99)</f>
        <v/>
      </c>
    </row>
    <row r="128" ht="15.75" customHeight="1" s="194">
      <c r="B128" s="182">
        <f>IF(B38&gt;0,B68/B38,1E+99)</f>
        <v/>
      </c>
      <c r="C128" s="182">
        <f>IF(C38&gt;0,C68/C38,1E+99)</f>
        <v/>
      </c>
      <c r="D128" s="182">
        <f>IF(D38&gt;0,D68/D38,1E+99)</f>
        <v/>
      </c>
      <c r="E128" s="182">
        <f>IF(E38&gt;0,E68/E38,1E+99)</f>
        <v/>
      </c>
      <c r="F128" s="182">
        <f>IF(F38&gt;0,F68/F38,1E+99)</f>
        <v/>
      </c>
      <c r="G128" s="182">
        <f>IF(G38&gt;0,G68/G38,1E+99)</f>
        <v/>
      </c>
      <c r="H128" s="182">
        <f>IF(H38&gt;0,H68/H38,1E+99)</f>
        <v/>
      </c>
      <c r="I128" s="182">
        <f>IF(I38&gt;0,I68/I38,1E+99)</f>
        <v/>
      </c>
      <c r="J128" s="182">
        <f>IF(J38&gt;0,J68/J38,1E+99)</f>
        <v/>
      </c>
      <c r="K128" s="182">
        <f>IF(K38&gt;0,K68/K38,1E+99)</f>
        <v/>
      </c>
      <c r="L128" s="182">
        <f>IF(L38&gt;0,L68/L38,1E+99)</f>
        <v/>
      </c>
      <c r="M128" s="182">
        <f>IF(M38&gt;0,M68/M38,1E+99)</f>
        <v/>
      </c>
      <c r="N128" s="182">
        <f>IF(N38&gt;0,N68/N38,1E+99)</f>
        <v/>
      </c>
      <c r="O128" s="182">
        <f>IF(O38&gt;0,O68/O38,1E+99)</f>
        <v/>
      </c>
      <c r="P128" s="182">
        <f>IF(P38&gt;0,P68/P38,1E+99)</f>
        <v/>
      </c>
      <c r="Q128" s="182">
        <f>IF(Q38&gt;0,Q68/Q38,1E+99)</f>
        <v/>
      </c>
      <c r="R128" s="182">
        <f>IF(R38&gt;0,R68/R38,1E+99)</f>
        <v/>
      </c>
      <c r="S128" s="182">
        <f>IF(S38&gt;0,S68/S38,1E+99)</f>
        <v/>
      </c>
      <c r="T128" s="182">
        <f>IF(T38&gt;0,T68/T38,1E+99)</f>
        <v/>
      </c>
      <c r="U128" s="182">
        <f>IF(U38&gt;0,U68/U38,1E+99)</f>
        <v/>
      </c>
    </row>
    <row r="129" ht="15.75" customHeight="1" s="194">
      <c r="B129" s="182">
        <f>IF(B39&gt;0,B69/B39,1E+99)</f>
        <v/>
      </c>
      <c r="C129" s="182">
        <f>IF(C39&gt;0,C69/C39,1E+99)</f>
        <v/>
      </c>
      <c r="D129" s="182">
        <f>IF(D39&gt;0,D69/D39,1E+99)</f>
        <v/>
      </c>
      <c r="E129" s="182">
        <f>IF(E39&gt;0,E69/E39,1E+99)</f>
        <v/>
      </c>
      <c r="F129" s="182">
        <f>IF(F39&gt;0,F69/F39,1E+99)</f>
        <v/>
      </c>
      <c r="G129" s="182">
        <f>IF(G39&gt;0,G69/G39,1E+99)</f>
        <v/>
      </c>
      <c r="H129" s="182">
        <f>IF(H39&gt;0,H69/H39,1E+99)</f>
        <v/>
      </c>
      <c r="I129" s="182">
        <f>IF(I39&gt;0,I69/I39,1E+99)</f>
        <v/>
      </c>
      <c r="J129" s="182">
        <f>IF(J39&gt;0,J69/J39,1E+99)</f>
        <v/>
      </c>
      <c r="K129" s="182">
        <f>IF(K39&gt;0,K69/K39,1E+99)</f>
        <v/>
      </c>
      <c r="L129" s="182">
        <f>IF(L39&gt;0,L69/L39,1E+99)</f>
        <v/>
      </c>
      <c r="M129" s="182">
        <f>IF(M39&gt;0,M69/M39,1E+99)</f>
        <v/>
      </c>
      <c r="N129" s="182">
        <f>IF(N39&gt;0,N69/N39,1E+99)</f>
        <v/>
      </c>
      <c r="O129" s="182">
        <f>IF(O39&gt;0,O69/O39,1E+99)</f>
        <v/>
      </c>
      <c r="P129" s="182">
        <f>IF(P39&gt;0,P69/P39,1E+99)</f>
        <v/>
      </c>
      <c r="Q129" s="182">
        <f>IF(Q39&gt;0,Q69/Q39,1E+99)</f>
        <v/>
      </c>
      <c r="R129" s="182">
        <f>IF(R39&gt;0,R69/R39,1E+99)</f>
        <v/>
      </c>
      <c r="S129" s="182">
        <f>IF(S39&gt;0,S69/S39,1E+99)</f>
        <v/>
      </c>
      <c r="T129" s="182">
        <f>IF(T39&gt;0,T69/T39,1E+99)</f>
        <v/>
      </c>
      <c r="U129" s="182">
        <f>IF(U39&gt;0,U69/U39,1E+99)</f>
        <v/>
      </c>
    </row>
    <row r="130" ht="15.75" customHeight="1" s="194">
      <c r="B130" s="182">
        <f>IF(B40&gt;0,B70/B40,1E+99)</f>
        <v/>
      </c>
      <c r="C130" s="182">
        <f>IF(C40&gt;0,C70/C40,1E+99)</f>
        <v/>
      </c>
      <c r="D130" s="182">
        <f>IF(D40&gt;0,D70/D40,1E+99)</f>
        <v/>
      </c>
      <c r="E130" s="182">
        <f>IF(E40&gt;0,E70/E40,1E+99)</f>
        <v/>
      </c>
      <c r="F130" s="182">
        <f>IF(F40&gt;0,F70/F40,1E+99)</f>
        <v/>
      </c>
      <c r="G130" s="182">
        <f>IF(G40&gt;0,G70/G40,1E+99)</f>
        <v/>
      </c>
      <c r="H130" s="182">
        <f>IF(H40&gt;0,H70/H40,1E+99)</f>
        <v/>
      </c>
      <c r="I130" s="182">
        <f>IF(I40&gt;0,I70/I40,1E+99)</f>
        <v/>
      </c>
      <c r="J130" s="182">
        <f>IF(J40&gt;0,J70/J40,1E+99)</f>
        <v/>
      </c>
      <c r="K130" s="182">
        <f>IF(K40&gt;0,K70/K40,1E+99)</f>
        <v/>
      </c>
      <c r="L130" s="182">
        <f>IF(L40&gt;0,L70/L40,1E+99)</f>
        <v/>
      </c>
      <c r="M130" s="182">
        <f>IF(M40&gt;0,M70/M40,1E+99)</f>
        <v/>
      </c>
      <c r="N130" s="182">
        <f>IF(N40&gt;0,N70/N40,1E+99)</f>
        <v/>
      </c>
      <c r="O130" s="182">
        <f>IF(O40&gt;0,O70/O40,1E+99)</f>
        <v/>
      </c>
      <c r="P130" s="182">
        <f>IF(P40&gt;0,P70/P40,1E+99)</f>
        <v/>
      </c>
      <c r="Q130" s="182">
        <f>IF(Q40&gt;0,Q70/Q40,1E+99)</f>
        <v/>
      </c>
      <c r="R130" s="182">
        <f>IF(R40&gt;0,R70/R40,1E+99)</f>
        <v/>
      </c>
      <c r="S130" s="182">
        <f>IF(S40&gt;0,S70/S40,1E+99)</f>
        <v/>
      </c>
      <c r="T130" s="182">
        <f>IF(T40&gt;0,T70/T40,1E+99)</f>
        <v/>
      </c>
      <c r="U130" s="182">
        <f>IF(U40&gt;0,U70/U40,1E+99)</f>
        <v/>
      </c>
    </row>
    <row r="131" ht="15.75" customHeight="1" s="194">
      <c r="B131" s="182">
        <f>IF(B41&gt;0,B71/B41,1E+99)</f>
        <v/>
      </c>
      <c r="C131" s="182">
        <f>IF(C41&gt;0,C71/C41,1E+99)</f>
        <v/>
      </c>
      <c r="D131" s="182">
        <f>IF(D41&gt;0,D71/D41,1E+99)</f>
        <v/>
      </c>
      <c r="E131" s="182">
        <f>IF(E41&gt;0,E71/E41,1E+99)</f>
        <v/>
      </c>
      <c r="F131" s="182">
        <f>IF(F41&gt;0,F71/F41,1E+99)</f>
        <v/>
      </c>
      <c r="G131" s="182">
        <f>IF(G41&gt;0,G71/G41,1E+99)</f>
        <v/>
      </c>
      <c r="H131" s="182">
        <f>IF(H41&gt;0,H71/H41,1E+99)</f>
        <v/>
      </c>
      <c r="I131" s="182">
        <f>IF(I41&gt;0,I71/I41,1E+99)</f>
        <v/>
      </c>
      <c r="J131" s="182">
        <f>IF(J41&gt;0,J71/J41,1E+99)</f>
        <v/>
      </c>
      <c r="K131" s="182">
        <f>IF(K41&gt;0,K71/K41,1E+99)</f>
        <v/>
      </c>
      <c r="L131" s="182">
        <f>IF(L41&gt;0,L71/L41,1E+99)</f>
        <v/>
      </c>
      <c r="M131" s="182">
        <f>IF(M41&gt;0,M71/M41,1E+99)</f>
        <v/>
      </c>
      <c r="N131" s="182">
        <f>IF(N41&gt;0,N71/N41,1E+99)</f>
        <v/>
      </c>
      <c r="O131" s="182">
        <f>IF(O41&gt;0,O71/O41,1E+99)</f>
        <v/>
      </c>
      <c r="P131" s="182">
        <f>IF(P41&gt;0,P71/P41,1E+99)</f>
        <v/>
      </c>
      <c r="Q131" s="182">
        <f>IF(Q41&gt;0,Q71/Q41,1E+99)</f>
        <v/>
      </c>
      <c r="R131" s="182">
        <f>IF(R41&gt;0,R71/R41,1E+99)</f>
        <v/>
      </c>
      <c r="S131" s="182">
        <f>IF(S41&gt;0,S71/S41,1E+99)</f>
        <v/>
      </c>
      <c r="T131" s="182">
        <f>IF(T41&gt;0,T71/T41,1E+99)</f>
        <v/>
      </c>
      <c r="U131" s="182">
        <f>IF(U41&gt;0,U71/U41,1E+99)</f>
        <v/>
      </c>
    </row>
    <row r="132" ht="15.75" customHeight="1" s="194">
      <c r="B132" s="182">
        <f>IF(B42&gt;0,B72/B42,1E+99)</f>
        <v/>
      </c>
      <c r="C132" s="182">
        <f>IF(C42&gt;0,C72/C42,1E+99)</f>
        <v/>
      </c>
      <c r="D132" s="182">
        <f>IF(D42&gt;0,D72/D42,1E+99)</f>
        <v/>
      </c>
      <c r="E132" s="182">
        <f>IF(E42&gt;0,E72/E42,1E+99)</f>
        <v/>
      </c>
      <c r="F132" s="182">
        <f>IF(F42&gt;0,F72/F42,1E+99)</f>
        <v/>
      </c>
      <c r="G132" s="182">
        <f>IF(G42&gt;0,G72/G42,1E+99)</f>
        <v/>
      </c>
      <c r="H132" s="182">
        <f>IF(H42&gt;0,H72/H42,1E+99)</f>
        <v/>
      </c>
      <c r="I132" s="182">
        <f>IF(I42&gt;0,I72/I42,1E+99)</f>
        <v/>
      </c>
      <c r="J132" s="182">
        <f>IF(J42&gt;0,J72/J42,1E+99)</f>
        <v/>
      </c>
      <c r="K132" s="182">
        <f>IF(K42&gt;0,K72/K42,1E+99)</f>
        <v/>
      </c>
      <c r="L132" s="182">
        <f>IF(L42&gt;0,L72/L42,1E+99)</f>
        <v/>
      </c>
      <c r="M132" s="182">
        <f>IF(M42&gt;0,M72/M42,1E+99)</f>
        <v/>
      </c>
      <c r="N132" s="182">
        <f>IF(N42&gt;0,N72/N42,1E+99)</f>
        <v/>
      </c>
      <c r="O132" s="182">
        <f>IF(O42&gt;0,O72/O42,1E+99)</f>
        <v/>
      </c>
      <c r="P132" s="182">
        <f>IF(P42&gt;0,P72/P42,1E+99)</f>
        <v/>
      </c>
      <c r="Q132" s="182">
        <f>IF(Q42&gt;0,Q72/Q42,1E+99)</f>
        <v/>
      </c>
      <c r="R132" s="182">
        <f>IF(R42&gt;0,R72/R42,1E+99)</f>
        <v/>
      </c>
      <c r="S132" s="182">
        <f>IF(S42&gt;0,S72/S42,1E+99)</f>
        <v/>
      </c>
      <c r="T132" s="182">
        <f>IF(T42&gt;0,T72/T42,1E+99)</f>
        <v/>
      </c>
      <c r="U132" s="182">
        <f>IF(U42&gt;0,U72/U42,1E+99)</f>
        <v/>
      </c>
    </row>
    <row r="133" ht="15.75" customHeight="1" s="194">
      <c r="B133" s="182">
        <f>IF(B43&gt;0,B73/B43,1E+99)</f>
        <v/>
      </c>
      <c r="C133" s="182">
        <f>IF(C43&gt;0,C73/C43,1E+99)</f>
        <v/>
      </c>
      <c r="D133" s="182">
        <f>IF(D43&gt;0,D73/D43,1E+99)</f>
        <v/>
      </c>
      <c r="E133" s="182">
        <f>IF(E43&gt;0,E73/E43,1E+99)</f>
        <v/>
      </c>
      <c r="F133" s="182">
        <f>IF(F43&gt;0,F73/F43,1E+99)</f>
        <v/>
      </c>
      <c r="G133" s="182">
        <f>IF(G43&gt;0,G73/G43,1E+99)</f>
        <v/>
      </c>
      <c r="H133" s="182">
        <f>IF(H43&gt;0,H73/H43,1E+99)</f>
        <v/>
      </c>
      <c r="I133" s="182">
        <f>IF(I43&gt;0,I73/I43,1E+99)</f>
        <v/>
      </c>
      <c r="J133" s="182">
        <f>IF(J43&gt;0,J73/J43,1E+99)</f>
        <v/>
      </c>
      <c r="K133" s="182">
        <f>IF(K43&gt;0,K73/K43,1E+99)</f>
        <v/>
      </c>
      <c r="L133" s="182">
        <f>IF(L43&gt;0,L73/L43,1E+99)</f>
        <v/>
      </c>
      <c r="M133" s="182">
        <f>IF(M43&gt;0,M73/M43,1E+99)</f>
        <v/>
      </c>
      <c r="N133" s="182">
        <f>IF(N43&gt;0,N73/N43,1E+99)</f>
        <v/>
      </c>
      <c r="O133" s="182">
        <f>IF(O43&gt;0,O73/O43,1E+99)</f>
        <v/>
      </c>
      <c r="P133" s="182">
        <f>IF(P43&gt;0,P73/P43,1E+99)</f>
        <v/>
      </c>
      <c r="Q133" s="182">
        <f>IF(Q43&gt;0,Q73/Q43,1E+99)</f>
        <v/>
      </c>
      <c r="R133" s="182">
        <f>IF(R43&gt;0,R73/R43,1E+99)</f>
        <v/>
      </c>
      <c r="S133" s="182">
        <f>IF(S43&gt;0,S73/S43,1E+99)</f>
        <v/>
      </c>
      <c r="T133" s="182">
        <f>IF(T43&gt;0,T73/T43,1E+99)</f>
        <v/>
      </c>
      <c r="U133" s="182">
        <f>IF(U43&gt;0,U73/U43,1E+99)</f>
        <v/>
      </c>
    </row>
    <row r="134" ht="15.75" customHeight="1" s="194">
      <c r="B134" s="182">
        <f>IF(B44&gt;0,B74/B44,1E+99)</f>
        <v/>
      </c>
      <c r="C134" s="182">
        <f>IF(C44&gt;0,C74/C44,1E+99)</f>
        <v/>
      </c>
      <c r="D134" s="182">
        <f>IF(D44&gt;0,D74/D44,1E+99)</f>
        <v/>
      </c>
      <c r="E134" s="182">
        <f>IF(E44&gt;0,E74/E44,1E+99)</f>
        <v/>
      </c>
      <c r="F134" s="182">
        <f>IF(F44&gt;0,F74/F44,1E+99)</f>
        <v/>
      </c>
      <c r="G134" s="182">
        <f>IF(G44&gt;0,G74/G44,1E+99)</f>
        <v/>
      </c>
      <c r="H134" s="182">
        <f>IF(H44&gt;0,H74/H44,1E+99)</f>
        <v/>
      </c>
      <c r="I134" s="182">
        <f>IF(I44&gt;0,I74/I44,1E+99)</f>
        <v/>
      </c>
      <c r="J134" s="182">
        <f>IF(J44&gt;0,J74/J44,1E+99)</f>
        <v/>
      </c>
      <c r="K134" s="182">
        <f>IF(K44&gt;0,K74/K44,1E+99)</f>
        <v/>
      </c>
      <c r="L134" s="182">
        <f>IF(L44&gt;0,L74/L44,1E+99)</f>
        <v/>
      </c>
      <c r="M134" s="182">
        <f>IF(M44&gt;0,M74/M44,1E+99)</f>
        <v/>
      </c>
      <c r="N134" s="182">
        <f>IF(N44&gt;0,N74/N44,1E+99)</f>
        <v/>
      </c>
      <c r="O134" s="182">
        <f>IF(O44&gt;0,O74/O44,1E+99)</f>
        <v/>
      </c>
      <c r="P134" s="182">
        <f>IF(P44&gt;0,P74/P44,1E+99)</f>
        <v/>
      </c>
      <c r="Q134" s="182">
        <f>IF(Q44&gt;0,Q74/Q44,1E+99)</f>
        <v/>
      </c>
      <c r="R134" s="182">
        <f>IF(R44&gt;0,R74/R44,1E+99)</f>
        <v/>
      </c>
      <c r="S134" s="182">
        <f>IF(S44&gt;0,S74/S44,1E+99)</f>
        <v/>
      </c>
      <c r="T134" s="182">
        <f>IF(T44&gt;0,T74/T44,1E+99)</f>
        <v/>
      </c>
      <c r="U134" s="182">
        <f>IF(U44&gt;0,U74/U44,1E+99)</f>
        <v/>
      </c>
    </row>
    <row r="135" ht="15.75" customHeight="1" s="194">
      <c r="B135" s="182">
        <f>IF(B45&gt;0,B75/B45,1E+99)</f>
        <v/>
      </c>
      <c r="C135" s="182">
        <f>IF(C45&gt;0,C75/C45,1E+99)</f>
        <v/>
      </c>
      <c r="D135" s="182">
        <f>IF(D45&gt;0,D75/D45,1E+99)</f>
        <v/>
      </c>
      <c r="E135" s="182">
        <f>IF(E45&gt;0,E75/E45,1E+99)</f>
        <v/>
      </c>
      <c r="F135" s="182">
        <f>IF(F45&gt;0,F75/F45,1E+99)</f>
        <v/>
      </c>
      <c r="G135" s="182">
        <f>IF(G45&gt;0,G75/G45,1E+99)</f>
        <v/>
      </c>
      <c r="H135" s="182">
        <f>IF(H45&gt;0,H75/H45,1E+99)</f>
        <v/>
      </c>
      <c r="I135" s="182">
        <f>IF(I45&gt;0,I75/I45,1E+99)</f>
        <v/>
      </c>
      <c r="J135" s="182">
        <f>IF(J45&gt;0,J75/J45,1E+99)</f>
        <v/>
      </c>
      <c r="K135" s="182">
        <f>IF(K45&gt;0,K75/K45,1E+99)</f>
        <v/>
      </c>
      <c r="L135" s="182">
        <f>IF(L45&gt;0,L75/L45,1E+99)</f>
        <v/>
      </c>
      <c r="M135" s="182">
        <f>IF(M45&gt;0,M75/M45,1E+99)</f>
        <v/>
      </c>
      <c r="N135" s="182">
        <f>IF(N45&gt;0,N75/N45,1E+99)</f>
        <v/>
      </c>
      <c r="O135" s="182">
        <f>IF(O45&gt;0,O75/O45,1E+99)</f>
        <v/>
      </c>
      <c r="P135" s="182">
        <f>IF(P45&gt;0,P75/P45,1E+99)</f>
        <v/>
      </c>
      <c r="Q135" s="182">
        <f>IF(Q45&gt;0,Q75/Q45,1E+99)</f>
        <v/>
      </c>
      <c r="R135" s="182">
        <f>IF(R45&gt;0,R75/R45,1E+99)</f>
        <v/>
      </c>
      <c r="S135" s="182">
        <f>IF(S45&gt;0,S75/S45,1E+99)</f>
        <v/>
      </c>
      <c r="T135" s="182">
        <f>IF(T45&gt;0,T75/T45,1E+99)</f>
        <v/>
      </c>
      <c r="U135" s="182">
        <f>IF(U45&gt;0,U75/U45,1E+99)</f>
        <v/>
      </c>
    </row>
    <row r="136" ht="15.75" customHeight="1" s="194">
      <c r="B136" s="182">
        <f>IF(B46&gt;0,B76/B46,1E+99)</f>
        <v/>
      </c>
      <c r="C136" s="182">
        <f>IF(C46&gt;0,C76/C46,1E+99)</f>
        <v/>
      </c>
      <c r="D136" s="182">
        <f>IF(D46&gt;0,D76/D46,1E+99)</f>
        <v/>
      </c>
      <c r="E136" s="182">
        <f>IF(E46&gt;0,E76/E46,1E+99)</f>
        <v/>
      </c>
      <c r="F136" s="182">
        <f>IF(F46&gt;0,F76/F46,1E+99)</f>
        <v/>
      </c>
      <c r="G136" s="182">
        <f>IF(G46&gt;0,G76/G46,1E+99)</f>
        <v/>
      </c>
      <c r="H136" s="182">
        <f>IF(H46&gt;0,H76/H46,1E+99)</f>
        <v/>
      </c>
      <c r="I136" s="182">
        <f>IF(I46&gt;0,I76/I46,1E+99)</f>
        <v/>
      </c>
      <c r="J136" s="182">
        <f>IF(J46&gt;0,J76/J46,1E+99)</f>
        <v/>
      </c>
      <c r="K136" s="182">
        <f>IF(K46&gt;0,K76/K46,1E+99)</f>
        <v/>
      </c>
      <c r="L136" s="182">
        <f>IF(L46&gt;0,L76/L46,1E+99)</f>
        <v/>
      </c>
      <c r="M136" s="182">
        <f>IF(M46&gt;0,M76/M46,1E+99)</f>
        <v/>
      </c>
      <c r="N136" s="182">
        <f>IF(N46&gt;0,N76/N46,1E+99)</f>
        <v/>
      </c>
      <c r="O136" s="182">
        <f>IF(O46&gt;0,O76/O46,1E+99)</f>
        <v/>
      </c>
      <c r="P136" s="182">
        <f>IF(P46&gt;0,P76/P46,1E+99)</f>
        <v/>
      </c>
      <c r="Q136" s="182">
        <f>IF(Q46&gt;0,Q76/Q46,1E+99)</f>
        <v/>
      </c>
      <c r="R136" s="182">
        <f>IF(R46&gt;0,R76/R46,1E+99)</f>
        <v/>
      </c>
      <c r="S136" s="182">
        <f>IF(S46&gt;0,S76/S46,1E+99)</f>
        <v/>
      </c>
      <c r="T136" s="182">
        <f>IF(T46&gt;0,T76/T46,1E+99)</f>
        <v/>
      </c>
      <c r="U136" s="182">
        <f>IF(U46&gt;0,U76/U46,1E+99)</f>
        <v/>
      </c>
    </row>
    <row r="137" ht="15.75" customHeight="1" s="194">
      <c r="B137" s="182">
        <f>IF(B47&gt;0,B77/B47,1E+99)</f>
        <v/>
      </c>
      <c r="C137" s="182">
        <f>IF(C47&gt;0,C77/C47,1E+99)</f>
        <v/>
      </c>
      <c r="D137" s="182">
        <f>IF(D47&gt;0,D77/D47,1E+99)</f>
        <v/>
      </c>
      <c r="E137" s="182">
        <f>IF(E47&gt;0,E77/E47,1E+99)</f>
        <v/>
      </c>
      <c r="F137" s="182">
        <f>IF(F47&gt;0,F77/F47,1E+99)</f>
        <v/>
      </c>
      <c r="G137" s="182">
        <f>IF(G47&gt;0,G77/G47,1E+99)</f>
        <v/>
      </c>
      <c r="H137" s="182">
        <f>IF(H47&gt;0,H77/H47,1E+99)</f>
        <v/>
      </c>
      <c r="I137" s="182">
        <f>IF(I47&gt;0,I77/I47,1E+99)</f>
        <v/>
      </c>
      <c r="J137" s="182">
        <f>IF(J47&gt;0,J77/J47,1E+99)</f>
        <v/>
      </c>
      <c r="K137" s="182">
        <f>IF(K47&gt;0,K77/K47,1E+99)</f>
        <v/>
      </c>
      <c r="L137" s="182">
        <f>IF(L47&gt;0,L77/L47,1E+99)</f>
        <v/>
      </c>
      <c r="M137" s="182">
        <f>IF(M47&gt;0,M77/M47,1E+99)</f>
        <v/>
      </c>
      <c r="N137" s="182">
        <f>IF(N47&gt;0,N77/N47,1E+99)</f>
        <v/>
      </c>
      <c r="O137" s="182">
        <f>IF(O47&gt;0,O77/O47,1E+99)</f>
        <v/>
      </c>
      <c r="P137" s="182">
        <f>IF(P47&gt;0,P77/P47,1E+99)</f>
        <v/>
      </c>
      <c r="Q137" s="182">
        <f>IF(Q47&gt;0,Q77/Q47,1E+99)</f>
        <v/>
      </c>
      <c r="R137" s="182">
        <f>IF(R47&gt;0,R77/R47,1E+99)</f>
        <v/>
      </c>
      <c r="S137" s="182">
        <f>IF(S47&gt;0,S77/S47,1E+99)</f>
        <v/>
      </c>
      <c r="T137" s="182">
        <f>IF(T47&gt;0,T77/T47,1E+99)</f>
        <v/>
      </c>
      <c r="U137" s="182">
        <f>IF(U47&gt;0,U77/U47,1E+99)</f>
        <v/>
      </c>
    </row>
    <row r="138" ht="15.75" customHeight="1" s="194">
      <c r="B138" s="182">
        <f>IF(B48&gt;0,B78/B48,1E+99)</f>
        <v/>
      </c>
      <c r="C138" s="182">
        <f>IF(C48&gt;0,C78/C48,1E+99)</f>
        <v/>
      </c>
      <c r="D138" s="182">
        <f>IF(D48&gt;0,D78/D48,1E+99)</f>
        <v/>
      </c>
      <c r="E138" s="182">
        <f>IF(E48&gt;0,E78/E48,1E+99)</f>
        <v/>
      </c>
      <c r="F138" s="182">
        <f>IF(F48&gt;0,F78/F48,1E+99)</f>
        <v/>
      </c>
      <c r="G138" s="182">
        <f>IF(G48&gt;0,G78/G48,1E+99)</f>
        <v/>
      </c>
      <c r="H138" s="182">
        <f>IF(H48&gt;0,H78/H48,1E+99)</f>
        <v/>
      </c>
      <c r="I138" s="182">
        <f>IF(I48&gt;0,I78/I48,1E+99)</f>
        <v/>
      </c>
      <c r="J138" s="182">
        <f>IF(J48&gt;0,J78/J48,1E+99)</f>
        <v/>
      </c>
      <c r="K138" s="182">
        <f>IF(K48&gt;0,K78/K48,1E+99)</f>
        <v/>
      </c>
      <c r="L138" s="182">
        <f>IF(L48&gt;0,L78/L48,1E+99)</f>
        <v/>
      </c>
      <c r="M138" s="182">
        <f>IF(M48&gt;0,M78/M48,1E+99)</f>
        <v/>
      </c>
      <c r="N138" s="182">
        <f>IF(N48&gt;0,N78/N48,1E+99)</f>
        <v/>
      </c>
      <c r="O138" s="182">
        <f>IF(O48&gt;0,O78/O48,1E+99)</f>
        <v/>
      </c>
      <c r="P138" s="182">
        <f>IF(P48&gt;0,P78/P48,1E+99)</f>
        <v/>
      </c>
      <c r="Q138" s="182">
        <f>IF(Q48&gt;0,Q78/Q48,1E+99)</f>
        <v/>
      </c>
      <c r="R138" s="182">
        <f>IF(R48&gt;0,R78/R48,1E+99)</f>
        <v/>
      </c>
      <c r="S138" s="182">
        <f>IF(S48&gt;0,S78/S48,1E+99)</f>
        <v/>
      </c>
      <c r="T138" s="182">
        <f>IF(T48&gt;0,T78/T48,1E+99)</f>
        <v/>
      </c>
      <c r="U138" s="182">
        <f>IF(U48&gt;0,U78/U48,1E+99)</f>
        <v/>
      </c>
    </row>
    <row r="139" ht="15.75" customHeight="1" s="194"/>
    <row r="140" ht="15.75" customHeight="1" s="194"/>
    <row r="141" ht="15.75" customHeight="1" s="194"/>
    <row r="142" ht="15.75" customHeight="1" s="194"/>
    <row r="143" ht="15.75" customHeight="1" s="194"/>
    <row r="144" ht="15.75" customHeight="1" s="194">
      <c r="B144" s="182">
        <f>B24*B$22</f>
        <v/>
      </c>
      <c r="C144" s="182">
        <f>C24*C$22</f>
        <v/>
      </c>
      <c r="D144" s="182">
        <f>D24*D$22</f>
        <v/>
      </c>
      <c r="E144" s="182">
        <f>E24*E$22</f>
        <v/>
      </c>
      <c r="F144" s="182">
        <f>F24*F$22</f>
        <v/>
      </c>
      <c r="G144" s="182">
        <f>G24*G$22</f>
        <v/>
      </c>
      <c r="H144" s="182">
        <f>H24*H$22</f>
        <v/>
      </c>
      <c r="I144" s="182">
        <f>I24*I$22</f>
        <v/>
      </c>
      <c r="J144" s="182">
        <f>J24*J$22</f>
        <v/>
      </c>
      <c r="K144" s="182">
        <f>K24*K$22</f>
        <v/>
      </c>
      <c r="L144" s="182">
        <f>L24*L$22</f>
        <v/>
      </c>
      <c r="M144" s="182">
        <f>M24*M$22</f>
        <v/>
      </c>
      <c r="N144" s="182">
        <f>N24*N$22</f>
        <v/>
      </c>
      <c r="O144" s="182">
        <f>O24*O$22</f>
        <v/>
      </c>
      <c r="P144" s="182">
        <f>P24*P$22</f>
        <v/>
      </c>
      <c r="Q144" s="182">
        <f>Q24*Q$22</f>
        <v/>
      </c>
      <c r="R144" s="182">
        <f>R24*R$22</f>
        <v/>
      </c>
      <c r="S144" s="182">
        <f>S24*S$22</f>
        <v/>
      </c>
      <c r="T144" s="182">
        <f>T24*T$22</f>
        <v/>
      </c>
      <c r="U144" s="182">
        <f>U24*U$22</f>
        <v/>
      </c>
    </row>
    <row r="145" ht="15.75" customHeight="1" s="194">
      <c r="B145" s="182">
        <f>B25*B$22</f>
        <v/>
      </c>
      <c r="C145" s="182">
        <f>C25*C$22</f>
        <v/>
      </c>
      <c r="D145" s="182">
        <f>D25*D$22</f>
        <v/>
      </c>
      <c r="E145" s="182">
        <f>E25*E$22</f>
        <v/>
      </c>
      <c r="F145" s="182">
        <f>F25*F$22</f>
        <v/>
      </c>
      <c r="G145" s="182">
        <f>G25*G$22</f>
        <v/>
      </c>
      <c r="H145" s="182">
        <f>H25*H$22</f>
        <v/>
      </c>
      <c r="I145" s="182">
        <f>I25*I$22</f>
        <v/>
      </c>
      <c r="J145" s="182">
        <f>J25*J$22</f>
        <v/>
      </c>
      <c r="K145" s="182">
        <f>K25*K$22</f>
        <v/>
      </c>
      <c r="L145" s="182">
        <f>L25*L$22</f>
        <v/>
      </c>
      <c r="M145" s="182">
        <f>M25*M$22</f>
        <v/>
      </c>
      <c r="N145" s="182">
        <f>N25*N$22</f>
        <v/>
      </c>
      <c r="O145" s="182">
        <f>O25*O$22</f>
        <v/>
      </c>
      <c r="P145" s="182">
        <f>P25*P$22</f>
        <v/>
      </c>
      <c r="Q145" s="182">
        <f>Q25*Q$22</f>
        <v/>
      </c>
      <c r="R145" s="182">
        <f>R25*R$22</f>
        <v/>
      </c>
      <c r="S145" s="182">
        <f>S25*S$22</f>
        <v/>
      </c>
      <c r="T145" s="182">
        <f>T25*T$22</f>
        <v/>
      </c>
      <c r="U145" s="182">
        <f>U25*U$22</f>
        <v/>
      </c>
    </row>
    <row r="146" ht="15.75" customHeight="1" s="194">
      <c r="B146" s="182">
        <f>B26*B$22</f>
        <v/>
      </c>
      <c r="C146" s="182">
        <f>C26*C$22</f>
        <v/>
      </c>
      <c r="D146" s="182">
        <f>D26*D$22</f>
        <v/>
      </c>
      <c r="E146" s="182">
        <f>E26*E$22</f>
        <v/>
      </c>
      <c r="F146" s="182">
        <f>F26*F$22</f>
        <v/>
      </c>
      <c r="G146" s="182">
        <f>G26*G$22</f>
        <v/>
      </c>
      <c r="H146" s="182">
        <f>H26*H$22</f>
        <v/>
      </c>
      <c r="I146" s="182">
        <f>I26*I$22</f>
        <v/>
      </c>
      <c r="J146" s="182">
        <f>J26*J$22</f>
        <v/>
      </c>
      <c r="K146" s="182">
        <f>K26*K$22</f>
        <v/>
      </c>
      <c r="L146" s="182">
        <f>L26*L$22</f>
        <v/>
      </c>
      <c r="M146" s="182">
        <f>M26*M$22</f>
        <v/>
      </c>
      <c r="N146" s="182">
        <f>N26*N$22</f>
        <v/>
      </c>
      <c r="O146" s="182">
        <f>O26*O$22</f>
        <v/>
      </c>
      <c r="P146" s="182">
        <f>P26*P$22</f>
        <v/>
      </c>
      <c r="Q146" s="182">
        <f>Q26*Q$22</f>
        <v/>
      </c>
      <c r="R146" s="182">
        <f>R26*R$22</f>
        <v/>
      </c>
      <c r="S146" s="182">
        <f>S26*S$22</f>
        <v/>
      </c>
      <c r="T146" s="182">
        <f>T26*T$22</f>
        <v/>
      </c>
      <c r="U146" s="182">
        <f>U26*U$22</f>
        <v/>
      </c>
    </row>
    <row r="147" ht="15.75" customHeight="1" s="194">
      <c r="B147" s="182">
        <f>B27*B$22</f>
        <v/>
      </c>
      <c r="C147" s="182">
        <f>C27*C$22</f>
        <v/>
      </c>
      <c r="D147" s="182">
        <f>D27*D$22</f>
        <v/>
      </c>
      <c r="E147" s="182">
        <f>E27*E$22</f>
        <v/>
      </c>
      <c r="F147" s="182">
        <f>F27*F$22</f>
        <v/>
      </c>
      <c r="G147" s="182">
        <f>G27*G$22</f>
        <v/>
      </c>
      <c r="H147" s="182">
        <f>H27*H$22</f>
        <v/>
      </c>
      <c r="I147" s="182">
        <f>I27*I$22</f>
        <v/>
      </c>
      <c r="J147" s="182">
        <f>J27*J$22</f>
        <v/>
      </c>
      <c r="K147" s="182">
        <f>K27*K$22</f>
        <v/>
      </c>
      <c r="L147" s="182">
        <f>L27*L$22</f>
        <v/>
      </c>
      <c r="M147" s="182">
        <f>M27*M$22</f>
        <v/>
      </c>
      <c r="N147" s="182">
        <f>N27*N$22</f>
        <v/>
      </c>
      <c r="O147" s="182">
        <f>O27*O$22</f>
        <v/>
      </c>
      <c r="P147" s="182">
        <f>P27*P$22</f>
        <v/>
      </c>
      <c r="Q147" s="182">
        <f>Q27*Q$22</f>
        <v/>
      </c>
      <c r="R147" s="182">
        <f>R27*R$22</f>
        <v/>
      </c>
      <c r="S147" s="182">
        <f>S27*S$22</f>
        <v/>
      </c>
      <c r="T147" s="182">
        <f>T27*T$22</f>
        <v/>
      </c>
      <c r="U147" s="182">
        <f>U27*U$22</f>
        <v/>
      </c>
    </row>
    <row r="148" ht="15.75" customHeight="1" s="194">
      <c r="B148" s="182">
        <f>B28*B$22</f>
        <v/>
      </c>
      <c r="C148" s="182">
        <f>C28*C$22</f>
        <v/>
      </c>
      <c r="D148" s="182">
        <f>D28*D$22</f>
        <v/>
      </c>
      <c r="E148" s="182">
        <f>E28*E$22</f>
        <v/>
      </c>
      <c r="F148" s="182">
        <f>F28*F$22</f>
        <v/>
      </c>
      <c r="G148" s="182">
        <f>G28*G$22</f>
        <v/>
      </c>
      <c r="H148" s="182">
        <f>H28*H$22</f>
        <v/>
      </c>
      <c r="I148" s="182">
        <f>I28*I$22</f>
        <v/>
      </c>
      <c r="J148" s="182">
        <f>J28*J$22</f>
        <v/>
      </c>
      <c r="K148" s="182">
        <f>K28*K$22</f>
        <v/>
      </c>
      <c r="L148" s="182">
        <f>L28*L$22</f>
        <v/>
      </c>
      <c r="M148" s="182">
        <f>M28*M$22</f>
        <v/>
      </c>
      <c r="N148" s="182">
        <f>N28*N$22</f>
        <v/>
      </c>
      <c r="O148" s="182">
        <f>O28*O$22</f>
        <v/>
      </c>
      <c r="P148" s="182">
        <f>P28*P$22</f>
        <v/>
      </c>
      <c r="Q148" s="182">
        <f>Q28*Q$22</f>
        <v/>
      </c>
      <c r="R148" s="182">
        <f>R28*R$22</f>
        <v/>
      </c>
      <c r="S148" s="182">
        <f>S28*S$22</f>
        <v/>
      </c>
      <c r="T148" s="182">
        <f>T28*T$22</f>
        <v/>
      </c>
      <c r="U148" s="182">
        <f>U28*U$22</f>
        <v/>
      </c>
    </row>
    <row r="149" ht="15.75" customHeight="1" s="194">
      <c r="B149" s="182">
        <f>B29*B$22</f>
        <v/>
      </c>
      <c r="C149" s="182">
        <f>C29*C$22</f>
        <v/>
      </c>
      <c r="D149" s="182">
        <f>D29*D$22</f>
        <v/>
      </c>
      <c r="E149" s="182">
        <f>E29*E$22</f>
        <v/>
      </c>
      <c r="F149" s="182">
        <f>F29*F$22</f>
        <v/>
      </c>
      <c r="G149" s="182">
        <f>G29*G$22</f>
        <v/>
      </c>
      <c r="H149" s="182">
        <f>H29*H$22</f>
        <v/>
      </c>
      <c r="I149" s="182">
        <f>I29*I$22</f>
        <v/>
      </c>
      <c r="J149" s="182">
        <f>J29*J$22</f>
        <v/>
      </c>
      <c r="K149" s="182">
        <f>K29*K$22</f>
        <v/>
      </c>
      <c r="L149" s="182">
        <f>L29*L$22</f>
        <v/>
      </c>
      <c r="M149" s="182">
        <f>M29*M$22</f>
        <v/>
      </c>
      <c r="N149" s="182">
        <f>N29*N$22</f>
        <v/>
      </c>
      <c r="O149" s="182">
        <f>O29*O$22</f>
        <v/>
      </c>
      <c r="P149" s="182">
        <f>P29*P$22</f>
        <v/>
      </c>
      <c r="Q149" s="182">
        <f>Q29*Q$22</f>
        <v/>
      </c>
      <c r="R149" s="182">
        <f>R29*R$22</f>
        <v/>
      </c>
      <c r="S149" s="182">
        <f>S29*S$22</f>
        <v/>
      </c>
      <c r="T149" s="182">
        <f>T29*T$22</f>
        <v/>
      </c>
      <c r="U149" s="182">
        <f>U29*U$22</f>
        <v/>
      </c>
    </row>
    <row r="150" ht="15.75" customHeight="1" s="194">
      <c r="B150" s="182">
        <f>B30*B$22</f>
        <v/>
      </c>
      <c r="C150" s="182">
        <f>C30*C$22</f>
        <v/>
      </c>
      <c r="D150" s="182">
        <f>D30*D$22</f>
        <v/>
      </c>
      <c r="E150" s="182">
        <f>E30*E$22</f>
        <v/>
      </c>
      <c r="F150" s="182">
        <f>F30*F$22</f>
        <v/>
      </c>
      <c r="G150" s="182">
        <f>G30*G$22</f>
        <v/>
      </c>
      <c r="H150" s="182">
        <f>H30*H$22</f>
        <v/>
      </c>
      <c r="I150" s="182">
        <f>I30*I$22</f>
        <v/>
      </c>
      <c r="J150" s="182">
        <f>J30*J$22</f>
        <v/>
      </c>
      <c r="K150" s="182">
        <f>K30*K$22</f>
        <v/>
      </c>
      <c r="L150" s="182">
        <f>L30*L$22</f>
        <v/>
      </c>
      <c r="M150" s="182">
        <f>M30*M$22</f>
        <v/>
      </c>
      <c r="N150" s="182">
        <f>N30*N$22</f>
        <v/>
      </c>
      <c r="O150" s="182">
        <f>O30*O$22</f>
        <v/>
      </c>
      <c r="P150" s="182">
        <f>P30*P$22</f>
        <v/>
      </c>
      <c r="Q150" s="182">
        <f>Q30*Q$22</f>
        <v/>
      </c>
      <c r="R150" s="182">
        <f>R30*R$22</f>
        <v/>
      </c>
      <c r="S150" s="182">
        <f>S30*S$22</f>
        <v/>
      </c>
      <c r="T150" s="182">
        <f>T30*T$22</f>
        <v/>
      </c>
      <c r="U150" s="182">
        <f>U30*U$22</f>
        <v/>
      </c>
    </row>
    <row r="151" ht="15.75" customHeight="1" s="194">
      <c r="B151" s="182">
        <f>B31*B$22</f>
        <v/>
      </c>
      <c r="C151" s="182">
        <f>C31*C$22</f>
        <v/>
      </c>
      <c r="D151" s="182">
        <f>D31*D$22</f>
        <v/>
      </c>
      <c r="E151" s="182">
        <f>E31*E$22</f>
        <v/>
      </c>
      <c r="F151" s="182">
        <f>F31*F$22</f>
        <v/>
      </c>
      <c r="G151" s="182">
        <f>G31*G$22</f>
        <v/>
      </c>
      <c r="H151" s="182">
        <f>H31*H$22</f>
        <v/>
      </c>
      <c r="I151" s="182">
        <f>I31*I$22</f>
        <v/>
      </c>
      <c r="J151" s="182">
        <f>J31*J$22</f>
        <v/>
      </c>
      <c r="K151" s="182">
        <f>K31*K$22</f>
        <v/>
      </c>
      <c r="L151" s="182">
        <f>L31*L$22</f>
        <v/>
      </c>
      <c r="M151" s="182">
        <f>M31*M$22</f>
        <v/>
      </c>
      <c r="N151" s="182">
        <f>N31*N$22</f>
        <v/>
      </c>
      <c r="O151" s="182">
        <f>O31*O$22</f>
        <v/>
      </c>
      <c r="P151" s="182">
        <f>P31*P$22</f>
        <v/>
      </c>
      <c r="Q151" s="182">
        <f>Q31*Q$22</f>
        <v/>
      </c>
      <c r="R151" s="182">
        <f>R31*R$22</f>
        <v/>
      </c>
      <c r="S151" s="182">
        <f>S31*S$22</f>
        <v/>
      </c>
      <c r="T151" s="182">
        <f>T31*T$22</f>
        <v/>
      </c>
      <c r="U151" s="182">
        <f>U31*U$22</f>
        <v/>
      </c>
    </row>
    <row r="152" ht="15.75" customHeight="1" s="194">
      <c r="B152" s="182">
        <f>B32*B$22</f>
        <v/>
      </c>
      <c r="C152" s="182">
        <f>C32*C$22</f>
        <v/>
      </c>
      <c r="D152" s="182">
        <f>D32*D$22</f>
        <v/>
      </c>
      <c r="E152" s="182">
        <f>E32*E$22</f>
        <v/>
      </c>
      <c r="F152" s="182">
        <f>F32*F$22</f>
        <v/>
      </c>
      <c r="G152" s="182">
        <f>G32*G$22</f>
        <v/>
      </c>
      <c r="H152" s="182">
        <f>H32*H$22</f>
        <v/>
      </c>
      <c r="I152" s="182">
        <f>I32*I$22</f>
        <v/>
      </c>
      <c r="J152" s="182">
        <f>J32*J$22</f>
        <v/>
      </c>
      <c r="K152" s="182">
        <f>K32*K$22</f>
        <v/>
      </c>
      <c r="L152" s="182">
        <f>L32*L$22</f>
        <v/>
      </c>
      <c r="M152" s="182">
        <f>M32*M$22</f>
        <v/>
      </c>
      <c r="N152" s="182">
        <f>N32*N$22</f>
        <v/>
      </c>
      <c r="O152" s="182">
        <f>O32*O$22</f>
        <v/>
      </c>
      <c r="P152" s="182">
        <f>P32*P$22</f>
        <v/>
      </c>
      <c r="Q152" s="182">
        <f>Q32*Q$22</f>
        <v/>
      </c>
      <c r="R152" s="182">
        <f>R32*R$22</f>
        <v/>
      </c>
      <c r="S152" s="182">
        <f>S32*S$22</f>
        <v/>
      </c>
      <c r="T152" s="182">
        <f>T32*T$22</f>
        <v/>
      </c>
      <c r="U152" s="182">
        <f>U32*U$22</f>
        <v/>
      </c>
    </row>
    <row r="153" ht="15.75" customHeight="1" s="194">
      <c r="B153" s="182">
        <f>B33*B$22</f>
        <v/>
      </c>
      <c r="C153" s="182">
        <f>C33*C$22</f>
        <v/>
      </c>
      <c r="D153" s="182">
        <f>D33*D$22</f>
        <v/>
      </c>
      <c r="E153" s="182">
        <f>E33*E$22</f>
        <v/>
      </c>
      <c r="F153" s="182">
        <f>F33*F$22</f>
        <v/>
      </c>
      <c r="G153" s="182">
        <f>G33*G$22</f>
        <v/>
      </c>
      <c r="H153" s="182">
        <f>H33*H$22</f>
        <v/>
      </c>
      <c r="I153" s="182">
        <f>I33*I$22</f>
        <v/>
      </c>
      <c r="J153" s="182">
        <f>J33*J$22</f>
        <v/>
      </c>
      <c r="K153" s="182">
        <f>K33*K$22</f>
        <v/>
      </c>
      <c r="L153" s="182">
        <f>L33*L$22</f>
        <v/>
      </c>
      <c r="M153" s="182">
        <f>M33*M$22</f>
        <v/>
      </c>
      <c r="N153" s="182">
        <f>N33*N$22</f>
        <v/>
      </c>
      <c r="O153" s="182">
        <f>O33*O$22</f>
        <v/>
      </c>
      <c r="P153" s="182">
        <f>P33*P$22</f>
        <v/>
      </c>
      <c r="Q153" s="182">
        <f>Q33*Q$22</f>
        <v/>
      </c>
      <c r="R153" s="182">
        <f>R33*R$22</f>
        <v/>
      </c>
      <c r="S153" s="182">
        <f>S33*S$22</f>
        <v/>
      </c>
      <c r="T153" s="182">
        <f>T33*T$22</f>
        <v/>
      </c>
      <c r="U153" s="182">
        <f>U33*U$22</f>
        <v/>
      </c>
    </row>
    <row r="154" ht="15.75" customHeight="1" s="194">
      <c r="B154" s="182">
        <f>B34*B$22</f>
        <v/>
      </c>
      <c r="C154" s="182">
        <f>C34*C$22</f>
        <v/>
      </c>
      <c r="D154" s="182">
        <f>D34*D$22</f>
        <v/>
      </c>
      <c r="E154" s="182">
        <f>E34*E$22</f>
        <v/>
      </c>
      <c r="F154" s="182">
        <f>F34*F$22</f>
        <v/>
      </c>
      <c r="G154" s="182">
        <f>G34*G$22</f>
        <v/>
      </c>
      <c r="H154" s="182">
        <f>H34*H$22</f>
        <v/>
      </c>
      <c r="I154" s="182">
        <f>I34*I$22</f>
        <v/>
      </c>
      <c r="J154" s="182">
        <f>J34*J$22</f>
        <v/>
      </c>
      <c r="K154" s="182">
        <f>K34*K$22</f>
        <v/>
      </c>
      <c r="L154" s="182">
        <f>L34*L$22</f>
        <v/>
      </c>
      <c r="M154" s="182">
        <f>M34*M$22</f>
        <v/>
      </c>
      <c r="N154" s="182">
        <f>N34*N$22</f>
        <v/>
      </c>
      <c r="O154" s="182">
        <f>O34*O$22</f>
        <v/>
      </c>
      <c r="P154" s="182">
        <f>P34*P$22</f>
        <v/>
      </c>
      <c r="Q154" s="182">
        <f>Q34*Q$22</f>
        <v/>
      </c>
      <c r="R154" s="182">
        <f>R34*R$22</f>
        <v/>
      </c>
      <c r="S154" s="182">
        <f>S34*S$22</f>
        <v/>
      </c>
      <c r="T154" s="182">
        <f>T34*T$22</f>
        <v/>
      </c>
      <c r="U154" s="182">
        <f>U34*U$22</f>
        <v/>
      </c>
    </row>
    <row r="155" ht="15.75" customHeight="1" s="194">
      <c r="B155" s="182">
        <f>B35*B$22</f>
        <v/>
      </c>
      <c r="C155" s="182">
        <f>C35*C$22</f>
        <v/>
      </c>
      <c r="D155" s="182">
        <f>D35*D$22</f>
        <v/>
      </c>
      <c r="E155" s="182">
        <f>E35*E$22</f>
        <v/>
      </c>
      <c r="F155" s="182">
        <f>F35*F$22</f>
        <v/>
      </c>
      <c r="G155" s="182">
        <f>G35*G$22</f>
        <v/>
      </c>
      <c r="H155" s="182">
        <f>H35*H$22</f>
        <v/>
      </c>
      <c r="I155" s="182">
        <f>I35*I$22</f>
        <v/>
      </c>
      <c r="J155" s="182">
        <f>J35*J$22</f>
        <v/>
      </c>
      <c r="K155" s="182">
        <f>K35*K$22</f>
        <v/>
      </c>
      <c r="L155" s="182">
        <f>L35*L$22</f>
        <v/>
      </c>
      <c r="M155" s="182">
        <f>M35*M$22</f>
        <v/>
      </c>
      <c r="N155" s="182">
        <f>N35*N$22</f>
        <v/>
      </c>
      <c r="O155" s="182">
        <f>O35*O$22</f>
        <v/>
      </c>
      <c r="P155" s="182">
        <f>P35*P$22</f>
        <v/>
      </c>
      <c r="Q155" s="182">
        <f>Q35*Q$22</f>
        <v/>
      </c>
      <c r="R155" s="182">
        <f>R35*R$22</f>
        <v/>
      </c>
      <c r="S155" s="182">
        <f>S35*S$22</f>
        <v/>
      </c>
      <c r="T155" s="182">
        <f>T35*T$22</f>
        <v/>
      </c>
      <c r="U155" s="182">
        <f>U35*U$22</f>
        <v/>
      </c>
    </row>
    <row r="156" ht="15.75" customHeight="1" s="194">
      <c r="B156" s="182">
        <f>B36*B$22</f>
        <v/>
      </c>
      <c r="C156" s="182">
        <f>C36*C$22</f>
        <v/>
      </c>
      <c r="D156" s="182">
        <f>D36*D$22</f>
        <v/>
      </c>
      <c r="E156" s="182">
        <f>E36*E$22</f>
        <v/>
      </c>
      <c r="F156" s="182">
        <f>F36*F$22</f>
        <v/>
      </c>
      <c r="G156" s="182">
        <f>G36*G$22</f>
        <v/>
      </c>
      <c r="H156" s="182">
        <f>H36*H$22</f>
        <v/>
      </c>
      <c r="I156" s="182">
        <f>I36*I$22</f>
        <v/>
      </c>
      <c r="J156" s="182">
        <f>J36*J$22</f>
        <v/>
      </c>
      <c r="K156" s="182">
        <f>K36*K$22</f>
        <v/>
      </c>
      <c r="L156" s="182">
        <f>L36*L$22</f>
        <v/>
      </c>
      <c r="M156" s="182">
        <f>M36*M$22</f>
        <v/>
      </c>
      <c r="N156" s="182">
        <f>N36*N$22</f>
        <v/>
      </c>
      <c r="O156" s="182">
        <f>O36*O$22</f>
        <v/>
      </c>
      <c r="P156" s="182">
        <f>P36*P$22</f>
        <v/>
      </c>
      <c r="Q156" s="182">
        <f>Q36*Q$22</f>
        <v/>
      </c>
      <c r="R156" s="182">
        <f>R36*R$22</f>
        <v/>
      </c>
      <c r="S156" s="182">
        <f>S36*S$22</f>
        <v/>
      </c>
      <c r="T156" s="182">
        <f>T36*T$22</f>
        <v/>
      </c>
      <c r="U156" s="182">
        <f>U36*U$22</f>
        <v/>
      </c>
    </row>
    <row r="157" ht="15.75" customHeight="1" s="194">
      <c r="B157" s="182">
        <f>B37*B$22</f>
        <v/>
      </c>
      <c r="C157" s="182">
        <f>C37*C$22</f>
        <v/>
      </c>
      <c r="D157" s="182">
        <f>D37*D$22</f>
        <v/>
      </c>
      <c r="E157" s="182">
        <f>E37*E$22</f>
        <v/>
      </c>
      <c r="F157" s="182">
        <f>F37*F$22</f>
        <v/>
      </c>
      <c r="G157" s="182">
        <f>G37*G$22</f>
        <v/>
      </c>
      <c r="H157" s="182">
        <f>H37*H$22</f>
        <v/>
      </c>
      <c r="I157" s="182">
        <f>I37*I$22</f>
        <v/>
      </c>
      <c r="J157" s="182">
        <f>J37*J$22</f>
        <v/>
      </c>
      <c r="K157" s="182">
        <f>K37*K$22</f>
        <v/>
      </c>
      <c r="L157" s="182">
        <f>L37*L$22</f>
        <v/>
      </c>
      <c r="M157" s="182">
        <f>M37*M$22</f>
        <v/>
      </c>
      <c r="N157" s="182">
        <f>N37*N$22</f>
        <v/>
      </c>
      <c r="O157" s="182">
        <f>O37*O$22</f>
        <v/>
      </c>
      <c r="P157" s="182">
        <f>P37*P$22</f>
        <v/>
      </c>
      <c r="Q157" s="182">
        <f>Q37*Q$22</f>
        <v/>
      </c>
      <c r="R157" s="182">
        <f>R37*R$22</f>
        <v/>
      </c>
      <c r="S157" s="182">
        <f>S37*S$22</f>
        <v/>
      </c>
      <c r="T157" s="182">
        <f>T37*T$22</f>
        <v/>
      </c>
      <c r="U157" s="182">
        <f>U37*U$22</f>
        <v/>
      </c>
    </row>
    <row r="158" ht="15.75" customHeight="1" s="194">
      <c r="B158" s="182">
        <f>B38*B$22</f>
        <v/>
      </c>
      <c r="C158" s="182">
        <f>C38*C$22</f>
        <v/>
      </c>
      <c r="D158" s="182">
        <f>D38*D$22</f>
        <v/>
      </c>
      <c r="E158" s="182">
        <f>E38*E$22</f>
        <v/>
      </c>
      <c r="F158" s="182">
        <f>F38*F$22</f>
        <v/>
      </c>
      <c r="G158" s="182">
        <f>G38*G$22</f>
        <v/>
      </c>
      <c r="H158" s="182">
        <f>H38*H$22</f>
        <v/>
      </c>
      <c r="I158" s="182">
        <f>I38*I$22</f>
        <v/>
      </c>
      <c r="J158" s="182">
        <f>J38*J$22</f>
        <v/>
      </c>
      <c r="K158" s="182">
        <f>K38*K$22</f>
        <v/>
      </c>
      <c r="L158" s="182">
        <f>L38*L$22</f>
        <v/>
      </c>
      <c r="M158" s="182">
        <f>M38*M$22</f>
        <v/>
      </c>
      <c r="N158" s="182">
        <f>N38*N$22</f>
        <v/>
      </c>
      <c r="O158" s="182">
        <f>O38*O$22</f>
        <v/>
      </c>
      <c r="P158" s="182">
        <f>P38*P$22</f>
        <v/>
      </c>
      <c r="Q158" s="182">
        <f>Q38*Q$22</f>
        <v/>
      </c>
      <c r="R158" s="182">
        <f>R38*R$22</f>
        <v/>
      </c>
      <c r="S158" s="182">
        <f>S38*S$22</f>
        <v/>
      </c>
      <c r="T158" s="182">
        <f>T38*T$22</f>
        <v/>
      </c>
      <c r="U158" s="182">
        <f>U38*U$22</f>
        <v/>
      </c>
    </row>
    <row r="159" ht="15.75" customHeight="1" s="194">
      <c r="B159" s="182">
        <f>B39*B$22</f>
        <v/>
      </c>
      <c r="C159" s="182">
        <f>C39*C$22</f>
        <v/>
      </c>
      <c r="D159" s="182">
        <f>D39*D$22</f>
        <v/>
      </c>
      <c r="E159" s="182">
        <f>E39*E$22</f>
        <v/>
      </c>
      <c r="F159" s="182">
        <f>F39*F$22</f>
        <v/>
      </c>
      <c r="G159" s="182">
        <f>G39*G$22</f>
        <v/>
      </c>
      <c r="H159" s="182">
        <f>H39*H$22</f>
        <v/>
      </c>
      <c r="I159" s="182">
        <f>I39*I$22</f>
        <v/>
      </c>
      <c r="J159" s="182">
        <f>J39*J$22</f>
        <v/>
      </c>
      <c r="K159" s="182">
        <f>K39*K$22</f>
        <v/>
      </c>
      <c r="L159" s="182">
        <f>L39*L$22</f>
        <v/>
      </c>
      <c r="M159" s="182">
        <f>M39*M$22</f>
        <v/>
      </c>
      <c r="N159" s="182">
        <f>N39*N$22</f>
        <v/>
      </c>
      <c r="O159" s="182">
        <f>O39*O$22</f>
        <v/>
      </c>
      <c r="P159" s="182">
        <f>P39*P$22</f>
        <v/>
      </c>
      <c r="Q159" s="182">
        <f>Q39*Q$22</f>
        <v/>
      </c>
      <c r="R159" s="182">
        <f>R39*R$22</f>
        <v/>
      </c>
      <c r="S159" s="182">
        <f>S39*S$22</f>
        <v/>
      </c>
      <c r="T159" s="182">
        <f>T39*T$22</f>
        <v/>
      </c>
      <c r="U159" s="182">
        <f>U39*U$22</f>
        <v/>
      </c>
    </row>
    <row r="160" ht="15.75" customHeight="1" s="194">
      <c r="B160" s="182">
        <f>B40*B$22</f>
        <v/>
      </c>
      <c r="C160" s="182">
        <f>C40*C$22</f>
        <v/>
      </c>
      <c r="D160" s="182">
        <f>D40*D$22</f>
        <v/>
      </c>
      <c r="E160" s="182">
        <f>E40*E$22</f>
        <v/>
      </c>
      <c r="F160" s="182">
        <f>F40*F$22</f>
        <v/>
      </c>
      <c r="G160" s="182">
        <f>G40*G$22</f>
        <v/>
      </c>
      <c r="H160" s="182">
        <f>H40*H$22</f>
        <v/>
      </c>
      <c r="I160" s="182">
        <f>I40*I$22</f>
        <v/>
      </c>
      <c r="J160" s="182">
        <f>J40*J$22</f>
        <v/>
      </c>
      <c r="K160" s="182">
        <f>K40*K$22</f>
        <v/>
      </c>
      <c r="L160" s="182">
        <f>L40*L$22</f>
        <v/>
      </c>
      <c r="M160" s="182">
        <f>M40*M$22</f>
        <v/>
      </c>
      <c r="N160" s="182">
        <f>N40*N$22</f>
        <v/>
      </c>
      <c r="O160" s="182">
        <f>O40*O$22</f>
        <v/>
      </c>
      <c r="P160" s="182">
        <f>P40*P$22</f>
        <v/>
      </c>
      <c r="Q160" s="182">
        <f>Q40*Q$22</f>
        <v/>
      </c>
      <c r="R160" s="182">
        <f>R40*R$22</f>
        <v/>
      </c>
      <c r="S160" s="182">
        <f>S40*S$22</f>
        <v/>
      </c>
      <c r="T160" s="182">
        <f>T40*T$22</f>
        <v/>
      </c>
      <c r="U160" s="182">
        <f>U40*U$22</f>
        <v/>
      </c>
    </row>
    <row r="161" ht="15.75" customHeight="1" s="194">
      <c r="B161" s="182">
        <f>B41*B$22</f>
        <v/>
      </c>
      <c r="C161" s="182">
        <f>C41*C$22</f>
        <v/>
      </c>
      <c r="D161" s="182">
        <f>D41*D$22</f>
        <v/>
      </c>
      <c r="E161" s="182">
        <f>E41*E$22</f>
        <v/>
      </c>
      <c r="F161" s="182">
        <f>F41*F$22</f>
        <v/>
      </c>
      <c r="G161" s="182">
        <f>G41*G$22</f>
        <v/>
      </c>
      <c r="H161" s="182">
        <f>H41*H$22</f>
        <v/>
      </c>
      <c r="I161" s="182">
        <f>I41*I$22</f>
        <v/>
      </c>
      <c r="J161" s="182">
        <f>J41*J$22</f>
        <v/>
      </c>
      <c r="K161" s="182">
        <f>K41*K$22</f>
        <v/>
      </c>
      <c r="L161" s="182">
        <f>L41*L$22</f>
        <v/>
      </c>
      <c r="M161" s="182">
        <f>M41*M$22</f>
        <v/>
      </c>
      <c r="N161" s="182">
        <f>N41*N$22</f>
        <v/>
      </c>
      <c r="O161" s="182">
        <f>O41*O$22</f>
        <v/>
      </c>
      <c r="P161" s="182">
        <f>P41*P$22</f>
        <v/>
      </c>
      <c r="Q161" s="182">
        <f>Q41*Q$22</f>
        <v/>
      </c>
      <c r="R161" s="182">
        <f>R41*R$22</f>
        <v/>
      </c>
      <c r="S161" s="182">
        <f>S41*S$22</f>
        <v/>
      </c>
      <c r="T161" s="182">
        <f>T41*T$22</f>
        <v/>
      </c>
      <c r="U161" s="182">
        <f>U41*U$22</f>
        <v/>
      </c>
    </row>
    <row r="162" ht="15.75" customHeight="1" s="194">
      <c r="B162" s="182">
        <f>B42*B$22</f>
        <v/>
      </c>
      <c r="C162" s="182">
        <f>C42*C$22</f>
        <v/>
      </c>
      <c r="D162" s="182">
        <f>D42*D$22</f>
        <v/>
      </c>
      <c r="E162" s="182">
        <f>E42*E$22</f>
        <v/>
      </c>
      <c r="F162" s="182">
        <f>F42*F$22</f>
        <v/>
      </c>
      <c r="G162" s="182">
        <f>G42*G$22</f>
        <v/>
      </c>
      <c r="H162" s="182">
        <f>H42*H$22</f>
        <v/>
      </c>
      <c r="I162" s="182">
        <f>I42*I$22</f>
        <v/>
      </c>
      <c r="J162" s="182">
        <f>J42*J$22</f>
        <v/>
      </c>
      <c r="K162" s="182">
        <f>K42*K$22</f>
        <v/>
      </c>
      <c r="L162" s="182">
        <f>L42*L$22</f>
        <v/>
      </c>
      <c r="M162" s="182">
        <f>M42*M$22</f>
        <v/>
      </c>
      <c r="N162" s="182">
        <f>N42*N$22</f>
        <v/>
      </c>
      <c r="O162" s="182">
        <f>O42*O$22</f>
        <v/>
      </c>
      <c r="P162" s="182">
        <f>P42*P$22</f>
        <v/>
      </c>
      <c r="Q162" s="182">
        <f>Q42*Q$22</f>
        <v/>
      </c>
      <c r="R162" s="182">
        <f>R42*R$22</f>
        <v/>
      </c>
      <c r="S162" s="182">
        <f>S42*S$22</f>
        <v/>
      </c>
      <c r="T162" s="182">
        <f>T42*T$22</f>
        <v/>
      </c>
      <c r="U162" s="182">
        <f>U42*U$22</f>
        <v/>
      </c>
    </row>
    <row r="163" ht="15.75" customHeight="1" s="194">
      <c r="B163" s="182">
        <f>B43*B$22</f>
        <v/>
      </c>
      <c r="C163" s="182">
        <f>C43*C$22</f>
        <v/>
      </c>
      <c r="D163" s="182">
        <f>D43*D$22</f>
        <v/>
      </c>
      <c r="E163" s="182">
        <f>E43*E$22</f>
        <v/>
      </c>
      <c r="F163" s="182">
        <f>F43*F$22</f>
        <v/>
      </c>
      <c r="G163" s="182">
        <f>G43*G$22</f>
        <v/>
      </c>
      <c r="H163" s="182">
        <f>H43*H$22</f>
        <v/>
      </c>
      <c r="I163" s="182">
        <f>I43*I$22</f>
        <v/>
      </c>
      <c r="J163" s="182">
        <f>J43*J$22</f>
        <v/>
      </c>
      <c r="K163" s="182">
        <f>K43*K$22</f>
        <v/>
      </c>
      <c r="L163" s="182">
        <f>L43*L$22</f>
        <v/>
      </c>
      <c r="M163" s="182">
        <f>M43*M$22</f>
        <v/>
      </c>
      <c r="N163" s="182">
        <f>N43*N$22</f>
        <v/>
      </c>
      <c r="O163" s="182">
        <f>O43*O$22</f>
        <v/>
      </c>
      <c r="P163" s="182">
        <f>P43*P$22</f>
        <v/>
      </c>
      <c r="Q163" s="182">
        <f>Q43*Q$22</f>
        <v/>
      </c>
      <c r="R163" s="182">
        <f>R43*R$22</f>
        <v/>
      </c>
      <c r="S163" s="182">
        <f>S43*S$22</f>
        <v/>
      </c>
      <c r="T163" s="182">
        <f>T43*T$22</f>
        <v/>
      </c>
      <c r="U163" s="182">
        <f>U43*U$22</f>
        <v/>
      </c>
    </row>
    <row r="164" ht="15.75" customHeight="1" s="194">
      <c r="B164" s="182">
        <f>B44*B$22</f>
        <v/>
      </c>
      <c r="C164" s="182">
        <f>C44*C$22</f>
        <v/>
      </c>
      <c r="D164" s="182">
        <f>D44*D$22</f>
        <v/>
      </c>
      <c r="E164" s="182">
        <f>E44*E$22</f>
        <v/>
      </c>
      <c r="F164" s="182">
        <f>F44*F$22</f>
        <v/>
      </c>
      <c r="G164" s="182">
        <f>G44*G$22</f>
        <v/>
      </c>
      <c r="H164" s="182">
        <f>H44*H$22</f>
        <v/>
      </c>
      <c r="I164" s="182">
        <f>I44*I$22</f>
        <v/>
      </c>
      <c r="J164" s="182">
        <f>J44*J$22</f>
        <v/>
      </c>
      <c r="K164" s="182">
        <f>K44*K$22</f>
        <v/>
      </c>
      <c r="L164" s="182">
        <f>L44*L$22</f>
        <v/>
      </c>
      <c r="M164" s="182">
        <f>M44*M$22</f>
        <v/>
      </c>
      <c r="N164" s="182">
        <f>N44*N$22</f>
        <v/>
      </c>
      <c r="O164" s="182">
        <f>O44*O$22</f>
        <v/>
      </c>
      <c r="P164" s="182">
        <f>P44*P$22</f>
        <v/>
      </c>
      <c r="Q164" s="182">
        <f>Q44*Q$22</f>
        <v/>
      </c>
      <c r="R164" s="182">
        <f>R44*R$22</f>
        <v/>
      </c>
      <c r="S164" s="182">
        <f>S44*S$22</f>
        <v/>
      </c>
      <c r="T164" s="182">
        <f>T44*T$22</f>
        <v/>
      </c>
      <c r="U164" s="182">
        <f>U44*U$22</f>
        <v/>
      </c>
    </row>
    <row r="165" ht="15.75" customHeight="1" s="194">
      <c r="B165" s="182">
        <f>B45*B$22</f>
        <v/>
      </c>
      <c r="C165" s="182">
        <f>C45*C$22</f>
        <v/>
      </c>
      <c r="D165" s="182">
        <f>D45*D$22</f>
        <v/>
      </c>
      <c r="E165" s="182">
        <f>E45*E$22</f>
        <v/>
      </c>
      <c r="F165" s="182">
        <f>F45*F$22</f>
        <v/>
      </c>
      <c r="G165" s="182">
        <f>G45*G$22</f>
        <v/>
      </c>
      <c r="H165" s="182">
        <f>H45*H$22</f>
        <v/>
      </c>
      <c r="I165" s="182">
        <f>I45*I$22</f>
        <v/>
      </c>
      <c r="J165" s="182">
        <f>J45*J$22</f>
        <v/>
      </c>
      <c r="K165" s="182">
        <f>K45*K$22</f>
        <v/>
      </c>
      <c r="L165" s="182">
        <f>L45*L$22</f>
        <v/>
      </c>
      <c r="M165" s="182">
        <f>M45*M$22</f>
        <v/>
      </c>
      <c r="N165" s="182">
        <f>N45*N$22</f>
        <v/>
      </c>
      <c r="O165" s="182">
        <f>O45*O$22</f>
        <v/>
      </c>
      <c r="P165" s="182">
        <f>P45*P$22</f>
        <v/>
      </c>
      <c r="Q165" s="182">
        <f>Q45*Q$22</f>
        <v/>
      </c>
      <c r="R165" s="182">
        <f>R45*R$22</f>
        <v/>
      </c>
      <c r="S165" s="182">
        <f>S45*S$22</f>
        <v/>
      </c>
      <c r="T165" s="182">
        <f>T45*T$22</f>
        <v/>
      </c>
      <c r="U165" s="182">
        <f>U45*U$22</f>
        <v/>
      </c>
    </row>
    <row r="166" ht="15.75" customHeight="1" s="194">
      <c r="B166" s="182">
        <f>B46*B$22</f>
        <v/>
      </c>
      <c r="C166" s="182">
        <f>C46*C$22</f>
        <v/>
      </c>
      <c r="D166" s="182">
        <f>D46*D$22</f>
        <v/>
      </c>
      <c r="E166" s="182">
        <f>E46*E$22</f>
        <v/>
      </c>
      <c r="F166" s="182">
        <f>F46*F$22</f>
        <v/>
      </c>
      <c r="G166" s="182">
        <f>G46*G$22</f>
        <v/>
      </c>
      <c r="H166" s="182">
        <f>H46*H$22</f>
        <v/>
      </c>
      <c r="I166" s="182">
        <f>I46*I$22</f>
        <v/>
      </c>
      <c r="J166" s="182">
        <f>J46*J$22</f>
        <v/>
      </c>
      <c r="K166" s="182">
        <f>K46*K$22</f>
        <v/>
      </c>
      <c r="L166" s="182">
        <f>L46*L$22</f>
        <v/>
      </c>
      <c r="M166" s="182">
        <f>M46*M$22</f>
        <v/>
      </c>
      <c r="N166" s="182">
        <f>N46*N$22</f>
        <v/>
      </c>
      <c r="O166" s="182">
        <f>O46*O$22</f>
        <v/>
      </c>
      <c r="P166" s="182">
        <f>P46*P$22</f>
        <v/>
      </c>
      <c r="Q166" s="182">
        <f>Q46*Q$22</f>
        <v/>
      </c>
      <c r="R166" s="182">
        <f>R46*R$22</f>
        <v/>
      </c>
      <c r="S166" s="182">
        <f>S46*S$22</f>
        <v/>
      </c>
      <c r="T166" s="182">
        <f>T46*T$22</f>
        <v/>
      </c>
      <c r="U166" s="182">
        <f>U46*U$22</f>
        <v/>
      </c>
    </row>
    <row r="167" ht="15.75" customHeight="1" s="194">
      <c r="B167" s="182">
        <f>B47*B$22</f>
        <v/>
      </c>
      <c r="C167" s="182">
        <f>C47*C$22</f>
        <v/>
      </c>
      <c r="D167" s="182">
        <f>D47*D$22</f>
        <v/>
      </c>
      <c r="E167" s="182">
        <f>E47*E$22</f>
        <v/>
      </c>
      <c r="F167" s="182">
        <f>F47*F$22</f>
        <v/>
      </c>
      <c r="G167" s="182">
        <f>G47*G$22</f>
        <v/>
      </c>
      <c r="H167" s="182">
        <f>H47*H$22</f>
        <v/>
      </c>
      <c r="I167" s="182">
        <f>I47*I$22</f>
        <v/>
      </c>
      <c r="J167" s="182">
        <f>J47*J$22</f>
        <v/>
      </c>
      <c r="K167" s="182">
        <f>K47*K$22</f>
        <v/>
      </c>
      <c r="L167" s="182">
        <f>L47*L$22</f>
        <v/>
      </c>
      <c r="M167" s="182">
        <f>M47*M$22</f>
        <v/>
      </c>
      <c r="N167" s="182">
        <f>N47*N$22</f>
        <v/>
      </c>
      <c r="O167" s="182">
        <f>O47*O$22</f>
        <v/>
      </c>
      <c r="P167" s="182">
        <f>P47*P$22</f>
        <v/>
      </c>
      <c r="Q167" s="182">
        <f>Q47*Q$22</f>
        <v/>
      </c>
      <c r="R167" s="182">
        <f>R47*R$22</f>
        <v/>
      </c>
      <c r="S167" s="182">
        <f>S47*S$22</f>
        <v/>
      </c>
      <c r="T167" s="182">
        <f>T47*T$22</f>
        <v/>
      </c>
      <c r="U167" s="182">
        <f>U47*U$22</f>
        <v/>
      </c>
    </row>
    <row r="168" ht="15.75" customHeight="1" s="194">
      <c r="B168" s="182">
        <f>B48*B$22</f>
        <v/>
      </c>
      <c r="C168" s="182">
        <f>C48*C$22</f>
        <v/>
      </c>
      <c r="D168" s="182">
        <f>D48*D$22</f>
        <v/>
      </c>
      <c r="E168" s="182">
        <f>E48*E$22</f>
        <v/>
      </c>
      <c r="F168" s="182">
        <f>F48*F$22</f>
        <v/>
      </c>
      <c r="G168" s="182">
        <f>G48*G$22</f>
        <v/>
      </c>
      <c r="H168" s="182">
        <f>H48*H$22</f>
        <v/>
      </c>
      <c r="I168" s="182">
        <f>I48*I$22</f>
        <v/>
      </c>
      <c r="J168" s="182">
        <f>J48*J$22</f>
        <v/>
      </c>
      <c r="K168" s="182">
        <f>K48*K$22</f>
        <v/>
      </c>
      <c r="L168" s="182">
        <f>L48*L$22</f>
        <v/>
      </c>
      <c r="M168" s="182">
        <f>M48*M$22</f>
        <v/>
      </c>
      <c r="N168" s="182">
        <f>N48*N$22</f>
        <v/>
      </c>
      <c r="O168" s="182">
        <f>O48*O$22</f>
        <v/>
      </c>
      <c r="P168" s="182">
        <f>P48*P$22</f>
        <v/>
      </c>
      <c r="Q168" s="182">
        <f>Q48*Q$22</f>
        <v/>
      </c>
      <c r="R168" s="182">
        <f>R48*R$22</f>
        <v/>
      </c>
      <c r="S168" s="182">
        <f>S48*S$22</f>
        <v/>
      </c>
      <c r="T168" s="182">
        <f>T48*T$22</f>
        <v/>
      </c>
      <c r="U168" s="182">
        <f>U48*U$22</f>
        <v/>
      </c>
    </row>
    <row r="169" ht="15.75" customHeight="1" s="194"/>
    <row r="170" ht="15.75" customHeight="1" s="194"/>
    <row r="171" ht="15.75" customHeight="1" s="194"/>
    <row r="172" ht="15.75" customHeight="1" s="194"/>
    <row r="173" ht="15.75" customHeight="1" s="194"/>
    <row r="174" ht="15.75" customHeight="1" s="194">
      <c r="B174" s="182">
        <f>B54*B$22</f>
        <v/>
      </c>
      <c r="C174" s="182">
        <f>C54*C$22</f>
        <v/>
      </c>
      <c r="D174" s="182">
        <f>D54*D$22</f>
        <v/>
      </c>
      <c r="E174" s="182">
        <f>E54*E$22</f>
        <v/>
      </c>
      <c r="F174" s="182">
        <f>F54*F$22</f>
        <v/>
      </c>
      <c r="G174" s="182">
        <f>G54*G$22</f>
        <v/>
      </c>
      <c r="H174" s="182">
        <f>H54*H$22</f>
        <v/>
      </c>
      <c r="I174" s="182">
        <f>I54*I$22</f>
        <v/>
      </c>
      <c r="J174" s="182">
        <f>J54*J$22</f>
        <v/>
      </c>
      <c r="K174" s="182">
        <f>K54*K$22</f>
        <v/>
      </c>
      <c r="L174" s="182">
        <f>L54*L$22</f>
        <v/>
      </c>
      <c r="M174" s="182">
        <f>M54*M$22</f>
        <v/>
      </c>
      <c r="N174" s="182">
        <f>N54*N$22</f>
        <v/>
      </c>
      <c r="O174" s="182">
        <f>O54*O$22</f>
        <v/>
      </c>
      <c r="P174" s="182">
        <f>P54*P$22</f>
        <v/>
      </c>
      <c r="Q174" s="182">
        <f>Q54*Q$22</f>
        <v/>
      </c>
      <c r="R174" s="182">
        <f>R54*R$22</f>
        <v/>
      </c>
      <c r="S174" s="182">
        <f>S54*S$22</f>
        <v/>
      </c>
      <c r="T174" s="182">
        <f>T54*T$22</f>
        <v/>
      </c>
      <c r="U174" s="182">
        <f>U54*U$22</f>
        <v/>
      </c>
    </row>
    <row r="175" ht="15.75" customHeight="1" s="194">
      <c r="B175" s="182">
        <f>B55*B$22</f>
        <v/>
      </c>
      <c r="C175" s="182">
        <f>C55*C$22</f>
        <v/>
      </c>
      <c r="D175" s="182">
        <f>D55*D$22</f>
        <v/>
      </c>
      <c r="E175" s="182">
        <f>E55*E$22</f>
        <v/>
      </c>
      <c r="F175" s="182">
        <f>F55*F$22</f>
        <v/>
      </c>
      <c r="G175" s="182">
        <f>G55*G$22</f>
        <v/>
      </c>
      <c r="H175" s="182">
        <f>H55*H$22</f>
        <v/>
      </c>
      <c r="I175" s="182">
        <f>I55*I$22</f>
        <v/>
      </c>
      <c r="J175" s="182">
        <f>J55*J$22</f>
        <v/>
      </c>
      <c r="K175" s="182">
        <f>K55*K$22</f>
        <v/>
      </c>
      <c r="L175" s="182">
        <f>L55*L$22</f>
        <v/>
      </c>
      <c r="M175" s="182">
        <f>M55*M$22</f>
        <v/>
      </c>
      <c r="N175" s="182">
        <f>N55*N$22</f>
        <v/>
      </c>
      <c r="O175" s="182">
        <f>O55*O$22</f>
        <v/>
      </c>
      <c r="P175" s="182">
        <f>P55*P$22</f>
        <v/>
      </c>
      <c r="Q175" s="182">
        <f>Q55*Q$22</f>
        <v/>
      </c>
      <c r="R175" s="182">
        <f>R55*R$22</f>
        <v/>
      </c>
      <c r="S175" s="182">
        <f>S55*S$22</f>
        <v/>
      </c>
      <c r="T175" s="182">
        <f>T55*T$22</f>
        <v/>
      </c>
      <c r="U175" s="182">
        <f>U55*U$22</f>
        <v/>
      </c>
    </row>
    <row r="176" ht="15.75" customHeight="1" s="194">
      <c r="B176" s="182">
        <f>B56*B$22</f>
        <v/>
      </c>
      <c r="C176" s="182">
        <f>C56*C$22</f>
        <v/>
      </c>
      <c r="D176" s="182">
        <f>D56*D$22</f>
        <v/>
      </c>
      <c r="E176" s="182">
        <f>E56*E$22</f>
        <v/>
      </c>
      <c r="F176" s="182">
        <f>F56*F$22</f>
        <v/>
      </c>
      <c r="G176" s="182">
        <f>G56*G$22</f>
        <v/>
      </c>
      <c r="H176" s="182">
        <f>H56*H$22</f>
        <v/>
      </c>
      <c r="I176" s="182">
        <f>I56*I$22</f>
        <v/>
      </c>
      <c r="J176" s="182">
        <f>J56*J$22</f>
        <v/>
      </c>
      <c r="K176" s="182">
        <f>K56*K$22</f>
        <v/>
      </c>
      <c r="L176" s="182">
        <f>L56*L$22</f>
        <v/>
      </c>
      <c r="M176" s="182">
        <f>M56*M$22</f>
        <v/>
      </c>
      <c r="N176" s="182">
        <f>N56*N$22</f>
        <v/>
      </c>
      <c r="O176" s="182">
        <f>O56*O$22</f>
        <v/>
      </c>
      <c r="P176" s="182">
        <f>P56*P$22</f>
        <v/>
      </c>
      <c r="Q176" s="182">
        <f>Q56*Q$22</f>
        <v/>
      </c>
      <c r="R176" s="182">
        <f>R56*R$22</f>
        <v/>
      </c>
      <c r="S176" s="182">
        <f>S56*S$22</f>
        <v/>
      </c>
      <c r="T176" s="182">
        <f>T56*T$22</f>
        <v/>
      </c>
      <c r="U176" s="182">
        <f>U56*U$22</f>
        <v/>
      </c>
    </row>
    <row r="177" ht="15.75" customHeight="1" s="194">
      <c r="B177" s="182">
        <f>B57*B$22</f>
        <v/>
      </c>
      <c r="C177" s="182">
        <f>C57*C$22</f>
        <v/>
      </c>
      <c r="D177" s="182">
        <f>D57*D$22</f>
        <v/>
      </c>
      <c r="E177" s="182">
        <f>E57*E$22</f>
        <v/>
      </c>
      <c r="F177" s="182">
        <f>F57*F$22</f>
        <v/>
      </c>
      <c r="G177" s="182">
        <f>G57*G$22</f>
        <v/>
      </c>
      <c r="H177" s="182">
        <f>H57*H$22</f>
        <v/>
      </c>
      <c r="I177" s="182">
        <f>I57*I$22</f>
        <v/>
      </c>
      <c r="J177" s="182">
        <f>J57*J$22</f>
        <v/>
      </c>
      <c r="K177" s="182">
        <f>K57*K$22</f>
        <v/>
      </c>
      <c r="L177" s="182">
        <f>L57*L$22</f>
        <v/>
      </c>
      <c r="M177" s="182">
        <f>M57*M$22</f>
        <v/>
      </c>
      <c r="N177" s="182">
        <f>N57*N$22</f>
        <v/>
      </c>
      <c r="O177" s="182">
        <f>O57*O$22</f>
        <v/>
      </c>
      <c r="P177" s="182">
        <f>P57*P$22</f>
        <v/>
      </c>
      <c r="Q177" s="182">
        <f>Q57*Q$22</f>
        <v/>
      </c>
      <c r="R177" s="182">
        <f>R57*R$22</f>
        <v/>
      </c>
      <c r="S177" s="182">
        <f>S57*S$22</f>
        <v/>
      </c>
      <c r="T177" s="182">
        <f>T57*T$22</f>
        <v/>
      </c>
      <c r="U177" s="182">
        <f>U57*U$22</f>
        <v/>
      </c>
    </row>
    <row r="178" ht="15.75" customHeight="1" s="194">
      <c r="B178" s="182">
        <f>B58*B$22</f>
        <v/>
      </c>
      <c r="C178" s="182">
        <f>C58*C$22</f>
        <v/>
      </c>
      <c r="D178" s="182">
        <f>D58*D$22</f>
        <v/>
      </c>
      <c r="E178" s="182">
        <f>E58*E$22</f>
        <v/>
      </c>
      <c r="F178" s="182">
        <f>F58*F$22</f>
        <v/>
      </c>
      <c r="G178" s="182">
        <f>G58*G$22</f>
        <v/>
      </c>
      <c r="H178" s="182">
        <f>H58*H$22</f>
        <v/>
      </c>
      <c r="I178" s="182">
        <f>I58*I$22</f>
        <v/>
      </c>
      <c r="J178" s="182">
        <f>J58*J$22</f>
        <v/>
      </c>
      <c r="K178" s="182">
        <f>K58*K$22</f>
        <v/>
      </c>
      <c r="L178" s="182">
        <f>L58*L$22</f>
        <v/>
      </c>
      <c r="M178" s="182">
        <f>M58*M$22</f>
        <v/>
      </c>
      <c r="N178" s="182">
        <f>N58*N$22</f>
        <v/>
      </c>
      <c r="O178" s="182">
        <f>O58*O$22</f>
        <v/>
      </c>
      <c r="P178" s="182">
        <f>P58*P$22</f>
        <v/>
      </c>
      <c r="Q178" s="182">
        <f>Q58*Q$22</f>
        <v/>
      </c>
      <c r="R178" s="182">
        <f>R58*R$22</f>
        <v/>
      </c>
      <c r="S178" s="182">
        <f>S58*S$22</f>
        <v/>
      </c>
      <c r="T178" s="182">
        <f>T58*T$22</f>
        <v/>
      </c>
      <c r="U178" s="182">
        <f>U58*U$22</f>
        <v/>
      </c>
    </row>
    <row r="179" ht="15.75" customHeight="1" s="194">
      <c r="B179" s="182">
        <f>B59*B$22</f>
        <v/>
      </c>
      <c r="C179" s="182">
        <f>C59*C$22</f>
        <v/>
      </c>
      <c r="D179" s="182">
        <f>D59*D$22</f>
        <v/>
      </c>
      <c r="E179" s="182">
        <f>E59*E$22</f>
        <v/>
      </c>
      <c r="F179" s="182">
        <f>F59*F$22</f>
        <v/>
      </c>
      <c r="G179" s="182">
        <f>G59*G$22</f>
        <v/>
      </c>
      <c r="H179" s="182">
        <f>H59*H$22</f>
        <v/>
      </c>
      <c r="I179" s="182">
        <f>I59*I$22</f>
        <v/>
      </c>
      <c r="J179" s="182">
        <f>J59*J$22</f>
        <v/>
      </c>
      <c r="K179" s="182">
        <f>K59*K$22</f>
        <v/>
      </c>
      <c r="L179" s="182">
        <f>L59*L$22</f>
        <v/>
      </c>
      <c r="M179" s="182">
        <f>M59*M$22</f>
        <v/>
      </c>
      <c r="N179" s="182">
        <f>N59*N$22</f>
        <v/>
      </c>
      <c r="O179" s="182">
        <f>O59*O$22</f>
        <v/>
      </c>
      <c r="P179" s="182">
        <f>P59*P$22</f>
        <v/>
      </c>
      <c r="Q179" s="182">
        <f>Q59*Q$22</f>
        <v/>
      </c>
      <c r="R179" s="182">
        <f>R59*R$22</f>
        <v/>
      </c>
      <c r="S179" s="182">
        <f>S59*S$22</f>
        <v/>
      </c>
      <c r="T179" s="182">
        <f>T59*T$22</f>
        <v/>
      </c>
      <c r="U179" s="182">
        <f>U59*U$22</f>
        <v/>
      </c>
    </row>
    <row r="180" ht="15.75" customHeight="1" s="194">
      <c r="B180" s="182">
        <f>B60*B$22</f>
        <v/>
      </c>
      <c r="C180" s="182">
        <f>C60*C$22</f>
        <v/>
      </c>
      <c r="D180" s="182">
        <f>D60*D$22</f>
        <v/>
      </c>
      <c r="E180" s="182">
        <f>E60*E$22</f>
        <v/>
      </c>
      <c r="F180" s="182">
        <f>F60*F$22</f>
        <v/>
      </c>
      <c r="G180" s="182">
        <f>G60*G$22</f>
        <v/>
      </c>
      <c r="H180" s="182">
        <f>H60*H$22</f>
        <v/>
      </c>
      <c r="I180" s="182">
        <f>I60*I$22</f>
        <v/>
      </c>
      <c r="J180" s="182">
        <f>J60*J$22</f>
        <v/>
      </c>
      <c r="K180" s="182">
        <f>K60*K$22</f>
        <v/>
      </c>
      <c r="L180" s="182">
        <f>L60*L$22</f>
        <v/>
      </c>
      <c r="M180" s="182">
        <f>M60*M$22</f>
        <v/>
      </c>
      <c r="N180" s="182">
        <f>N60*N$22</f>
        <v/>
      </c>
      <c r="O180" s="182">
        <f>O60*O$22</f>
        <v/>
      </c>
      <c r="P180" s="182">
        <f>P60*P$22</f>
        <v/>
      </c>
      <c r="Q180" s="182">
        <f>Q60*Q$22</f>
        <v/>
      </c>
      <c r="R180" s="182">
        <f>R60*R$22</f>
        <v/>
      </c>
      <c r="S180" s="182">
        <f>S60*S$22</f>
        <v/>
      </c>
      <c r="T180" s="182">
        <f>T60*T$22</f>
        <v/>
      </c>
      <c r="U180" s="182">
        <f>U60*U$22</f>
        <v/>
      </c>
    </row>
    <row r="181" ht="15.75" customHeight="1" s="194">
      <c r="B181" s="182">
        <f>B61*B$22</f>
        <v/>
      </c>
      <c r="C181" s="182">
        <f>C61*C$22</f>
        <v/>
      </c>
      <c r="D181" s="182">
        <f>D61*D$22</f>
        <v/>
      </c>
      <c r="E181" s="182">
        <f>E61*E$22</f>
        <v/>
      </c>
      <c r="F181" s="182">
        <f>F61*F$22</f>
        <v/>
      </c>
      <c r="G181" s="182">
        <f>G61*G$22</f>
        <v/>
      </c>
      <c r="H181" s="182">
        <f>H61*H$22</f>
        <v/>
      </c>
      <c r="I181" s="182">
        <f>I61*I$22</f>
        <v/>
      </c>
      <c r="J181" s="182">
        <f>J61*J$22</f>
        <v/>
      </c>
      <c r="K181" s="182">
        <f>K61*K$22</f>
        <v/>
      </c>
      <c r="L181" s="182">
        <f>L61*L$22</f>
        <v/>
      </c>
      <c r="M181" s="182">
        <f>M61*M$22</f>
        <v/>
      </c>
      <c r="N181" s="182">
        <f>N61*N$22</f>
        <v/>
      </c>
      <c r="O181" s="182">
        <f>O61*O$22</f>
        <v/>
      </c>
      <c r="P181" s="182">
        <f>P61*P$22</f>
        <v/>
      </c>
      <c r="Q181" s="182">
        <f>Q61*Q$22</f>
        <v/>
      </c>
      <c r="R181" s="182">
        <f>R61*R$22</f>
        <v/>
      </c>
      <c r="S181" s="182">
        <f>S61*S$22</f>
        <v/>
      </c>
      <c r="T181" s="182">
        <f>T61*T$22</f>
        <v/>
      </c>
      <c r="U181" s="182">
        <f>U61*U$22</f>
        <v/>
      </c>
    </row>
    <row r="182" ht="15.75" customHeight="1" s="194">
      <c r="B182" s="182">
        <f>B62*B$22</f>
        <v/>
      </c>
      <c r="C182" s="182">
        <f>C62*C$22</f>
        <v/>
      </c>
      <c r="D182" s="182">
        <f>D62*D$22</f>
        <v/>
      </c>
      <c r="E182" s="182">
        <f>E62*E$22</f>
        <v/>
      </c>
      <c r="F182" s="182">
        <f>F62*F$22</f>
        <v/>
      </c>
      <c r="G182" s="182">
        <f>G62*G$22</f>
        <v/>
      </c>
      <c r="H182" s="182">
        <f>H62*H$22</f>
        <v/>
      </c>
      <c r="I182" s="182">
        <f>I62*I$22</f>
        <v/>
      </c>
      <c r="J182" s="182">
        <f>J62*J$22</f>
        <v/>
      </c>
      <c r="K182" s="182">
        <f>K62*K$22</f>
        <v/>
      </c>
      <c r="L182" s="182">
        <f>L62*L$22</f>
        <v/>
      </c>
      <c r="M182" s="182">
        <f>M62*M$22</f>
        <v/>
      </c>
      <c r="N182" s="182">
        <f>N62*N$22</f>
        <v/>
      </c>
      <c r="O182" s="182">
        <f>O62*O$22</f>
        <v/>
      </c>
      <c r="P182" s="182">
        <f>P62*P$22</f>
        <v/>
      </c>
      <c r="Q182" s="182">
        <f>Q62*Q$22</f>
        <v/>
      </c>
      <c r="R182" s="182">
        <f>R62*R$22</f>
        <v/>
      </c>
      <c r="S182" s="182">
        <f>S62*S$22</f>
        <v/>
      </c>
      <c r="T182" s="182">
        <f>T62*T$22</f>
        <v/>
      </c>
      <c r="U182" s="182">
        <f>U62*U$22</f>
        <v/>
      </c>
    </row>
    <row r="183" ht="15.75" customHeight="1" s="194">
      <c r="B183" s="182">
        <f>B63*B$22</f>
        <v/>
      </c>
      <c r="C183" s="182">
        <f>C63*C$22</f>
        <v/>
      </c>
      <c r="D183" s="182">
        <f>D63*D$22</f>
        <v/>
      </c>
      <c r="E183" s="182">
        <f>E63*E$22</f>
        <v/>
      </c>
      <c r="F183" s="182">
        <f>F63*F$22</f>
        <v/>
      </c>
      <c r="G183" s="182">
        <f>G63*G$22</f>
        <v/>
      </c>
      <c r="H183" s="182">
        <f>H63*H$22</f>
        <v/>
      </c>
      <c r="I183" s="182">
        <f>I63*I$22</f>
        <v/>
      </c>
      <c r="J183" s="182">
        <f>J63*J$22</f>
        <v/>
      </c>
      <c r="K183" s="182">
        <f>K63*K$22</f>
        <v/>
      </c>
      <c r="L183" s="182">
        <f>L63*L$22</f>
        <v/>
      </c>
      <c r="M183" s="182">
        <f>M63*M$22</f>
        <v/>
      </c>
      <c r="N183" s="182">
        <f>N63*N$22</f>
        <v/>
      </c>
      <c r="O183" s="182">
        <f>O63*O$22</f>
        <v/>
      </c>
      <c r="P183" s="182">
        <f>P63*P$22</f>
        <v/>
      </c>
      <c r="Q183" s="182">
        <f>Q63*Q$22</f>
        <v/>
      </c>
      <c r="R183" s="182">
        <f>R63*R$22</f>
        <v/>
      </c>
      <c r="S183" s="182">
        <f>S63*S$22</f>
        <v/>
      </c>
      <c r="T183" s="182">
        <f>T63*T$22</f>
        <v/>
      </c>
      <c r="U183" s="182">
        <f>U63*U$22</f>
        <v/>
      </c>
    </row>
    <row r="184" ht="15.75" customHeight="1" s="194">
      <c r="B184" s="182">
        <f>B64*B$22</f>
        <v/>
      </c>
      <c r="C184" s="182">
        <f>C64*C$22</f>
        <v/>
      </c>
      <c r="D184" s="182">
        <f>D64*D$22</f>
        <v/>
      </c>
      <c r="E184" s="182">
        <f>E64*E$22</f>
        <v/>
      </c>
      <c r="F184" s="182">
        <f>F64*F$22</f>
        <v/>
      </c>
      <c r="G184" s="182">
        <f>G64*G$22</f>
        <v/>
      </c>
      <c r="H184" s="182">
        <f>H64*H$22</f>
        <v/>
      </c>
      <c r="I184" s="182">
        <f>I64*I$22</f>
        <v/>
      </c>
      <c r="J184" s="182">
        <f>J64*J$22</f>
        <v/>
      </c>
      <c r="K184" s="182">
        <f>K64*K$22</f>
        <v/>
      </c>
      <c r="L184" s="182">
        <f>L64*L$22</f>
        <v/>
      </c>
      <c r="M184" s="182">
        <f>M64*M$22</f>
        <v/>
      </c>
      <c r="N184" s="182">
        <f>N64*N$22</f>
        <v/>
      </c>
      <c r="O184" s="182">
        <f>O64*O$22</f>
        <v/>
      </c>
      <c r="P184" s="182">
        <f>P64*P$22</f>
        <v/>
      </c>
      <c r="Q184" s="182">
        <f>Q64*Q$22</f>
        <v/>
      </c>
      <c r="R184" s="182">
        <f>R64*R$22</f>
        <v/>
      </c>
      <c r="S184" s="182">
        <f>S64*S$22</f>
        <v/>
      </c>
      <c r="T184" s="182">
        <f>T64*T$22</f>
        <v/>
      </c>
      <c r="U184" s="182">
        <f>U64*U$22</f>
        <v/>
      </c>
    </row>
    <row r="185" ht="15.75" customHeight="1" s="194">
      <c r="B185" s="182">
        <f>B65*B$22</f>
        <v/>
      </c>
      <c r="C185" s="182">
        <f>C65*C$22</f>
        <v/>
      </c>
      <c r="D185" s="182">
        <f>D65*D$22</f>
        <v/>
      </c>
      <c r="E185" s="182">
        <f>E65*E$22</f>
        <v/>
      </c>
      <c r="F185" s="182">
        <f>F65*F$22</f>
        <v/>
      </c>
      <c r="G185" s="182">
        <f>G65*G$22</f>
        <v/>
      </c>
      <c r="H185" s="182">
        <f>H65*H$22</f>
        <v/>
      </c>
      <c r="I185" s="182">
        <f>I65*I$22</f>
        <v/>
      </c>
      <c r="J185" s="182">
        <f>J65*J$22</f>
        <v/>
      </c>
      <c r="K185" s="182">
        <f>K65*K$22</f>
        <v/>
      </c>
      <c r="L185" s="182">
        <f>L65*L$22</f>
        <v/>
      </c>
      <c r="M185" s="182">
        <f>M65*M$22</f>
        <v/>
      </c>
      <c r="N185" s="182">
        <f>N65*N$22</f>
        <v/>
      </c>
      <c r="O185" s="182">
        <f>O65*O$22</f>
        <v/>
      </c>
      <c r="P185" s="182">
        <f>P65*P$22</f>
        <v/>
      </c>
      <c r="Q185" s="182">
        <f>Q65*Q$22</f>
        <v/>
      </c>
      <c r="R185" s="182">
        <f>R65*R$22</f>
        <v/>
      </c>
      <c r="S185" s="182">
        <f>S65*S$22</f>
        <v/>
      </c>
      <c r="T185" s="182">
        <f>T65*T$22</f>
        <v/>
      </c>
      <c r="U185" s="182">
        <f>U65*U$22</f>
        <v/>
      </c>
    </row>
    <row r="186" ht="15.75" customHeight="1" s="194">
      <c r="B186" s="182">
        <f>B66*B$22</f>
        <v/>
      </c>
      <c r="C186" s="182">
        <f>C66*C$22</f>
        <v/>
      </c>
      <c r="D186" s="182">
        <f>D66*D$22</f>
        <v/>
      </c>
      <c r="E186" s="182">
        <f>E66*E$22</f>
        <v/>
      </c>
      <c r="F186" s="182">
        <f>F66*F$22</f>
        <v/>
      </c>
      <c r="G186" s="182">
        <f>G66*G$22</f>
        <v/>
      </c>
      <c r="H186" s="182">
        <f>H66*H$22</f>
        <v/>
      </c>
      <c r="I186" s="182">
        <f>I66*I$22</f>
        <v/>
      </c>
      <c r="J186" s="182">
        <f>J66*J$22</f>
        <v/>
      </c>
      <c r="K186" s="182">
        <f>K66*K$22</f>
        <v/>
      </c>
      <c r="L186" s="182">
        <f>L66*L$22</f>
        <v/>
      </c>
      <c r="M186" s="182">
        <f>M66*M$22</f>
        <v/>
      </c>
      <c r="N186" s="182">
        <f>N66*N$22</f>
        <v/>
      </c>
      <c r="O186" s="182">
        <f>O66*O$22</f>
        <v/>
      </c>
      <c r="P186" s="182">
        <f>P66*P$22</f>
        <v/>
      </c>
      <c r="Q186" s="182">
        <f>Q66*Q$22</f>
        <v/>
      </c>
      <c r="R186" s="182">
        <f>R66*R$22</f>
        <v/>
      </c>
      <c r="S186" s="182">
        <f>S66*S$22</f>
        <v/>
      </c>
      <c r="T186" s="182">
        <f>T66*T$22</f>
        <v/>
      </c>
      <c r="U186" s="182">
        <f>U66*U$22</f>
        <v/>
      </c>
    </row>
    <row r="187" ht="15.75" customHeight="1" s="194">
      <c r="B187" s="182">
        <f>B67*B$22</f>
        <v/>
      </c>
      <c r="C187" s="182">
        <f>C67*C$22</f>
        <v/>
      </c>
      <c r="D187" s="182">
        <f>D67*D$22</f>
        <v/>
      </c>
      <c r="E187" s="182">
        <f>E67*E$22</f>
        <v/>
      </c>
      <c r="F187" s="182">
        <f>F67*F$22</f>
        <v/>
      </c>
      <c r="G187" s="182">
        <f>G67*G$22</f>
        <v/>
      </c>
      <c r="H187" s="182">
        <f>H67*H$22</f>
        <v/>
      </c>
      <c r="I187" s="182">
        <f>I67*I$22</f>
        <v/>
      </c>
      <c r="J187" s="182">
        <f>J67*J$22</f>
        <v/>
      </c>
      <c r="K187" s="182">
        <f>K67*K$22</f>
        <v/>
      </c>
      <c r="L187" s="182">
        <f>L67*L$22</f>
        <v/>
      </c>
      <c r="M187" s="182">
        <f>M67*M$22</f>
        <v/>
      </c>
      <c r="N187" s="182">
        <f>N67*N$22</f>
        <v/>
      </c>
      <c r="O187" s="182">
        <f>O67*O$22</f>
        <v/>
      </c>
      <c r="P187" s="182">
        <f>P67*P$22</f>
        <v/>
      </c>
      <c r="Q187" s="182">
        <f>Q67*Q$22</f>
        <v/>
      </c>
      <c r="R187" s="182">
        <f>R67*R$22</f>
        <v/>
      </c>
      <c r="S187" s="182">
        <f>S67*S$22</f>
        <v/>
      </c>
      <c r="T187" s="182">
        <f>T67*T$22</f>
        <v/>
      </c>
      <c r="U187" s="182">
        <f>U67*U$22</f>
        <v/>
      </c>
    </row>
    <row r="188" ht="15.75" customHeight="1" s="194">
      <c r="B188" s="182">
        <f>B68*B$22</f>
        <v/>
      </c>
      <c r="C188" s="182">
        <f>C68*C$22</f>
        <v/>
      </c>
      <c r="D188" s="182">
        <f>D68*D$22</f>
        <v/>
      </c>
      <c r="E188" s="182">
        <f>E68*E$22</f>
        <v/>
      </c>
      <c r="F188" s="182">
        <f>F68*F$22</f>
        <v/>
      </c>
      <c r="G188" s="182">
        <f>G68*G$22</f>
        <v/>
      </c>
      <c r="H188" s="182">
        <f>H68*H$22</f>
        <v/>
      </c>
      <c r="I188" s="182">
        <f>I68*I$22</f>
        <v/>
      </c>
      <c r="J188" s="182">
        <f>J68*J$22</f>
        <v/>
      </c>
      <c r="K188" s="182">
        <f>K68*K$22</f>
        <v/>
      </c>
      <c r="L188" s="182">
        <f>L68*L$22</f>
        <v/>
      </c>
      <c r="M188" s="182">
        <f>M68*M$22</f>
        <v/>
      </c>
      <c r="N188" s="182">
        <f>N68*N$22</f>
        <v/>
      </c>
      <c r="O188" s="182">
        <f>O68*O$22</f>
        <v/>
      </c>
      <c r="P188" s="182">
        <f>P68*P$22</f>
        <v/>
      </c>
      <c r="Q188" s="182">
        <f>Q68*Q$22</f>
        <v/>
      </c>
      <c r="R188" s="182">
        <f>R68*R$22</f>
        <v/>
      </c>
      <c r="S188" s="182">
        <f>S68*S$22</f>
        <v/>
      </c>
      <c r="T188" s="182">
        <f>T68*T$22</f>
        <v/>
      </c>
      <c r="U188" s="182">
        <f>U68*U$22</f>
        <v/>
      </c>
    </row>
    <row r="189" ht="15.75" customHeight="1" s="194">
      <c r="B189" s="182">
        <f>B69*B$22</f>
        <v/>
      </c>
      <c r="C189" s="182">
        <f>C69*C$22</f>
        <v/>
      </c>
      <c r="D189" s="182">
        <f>D69*D$22</f>
        <v/>
      </c>
      <c r="E189" s="182">
        <f>E69*E$22</f>
        <v/>
      </c>
      <c r="F189" s="182">
        <f>F69*F$22</f>
        <v/>
      </c>
      <c r="G189" s="182">
        <f>G69*G$22</f>
        <v/>
      </c>
      <c r="H189" s="182">
        <f>H69*H$22</f>
        <v/>
      </c>
      <c r="I189" s="182">
        <f>I69*I$22</f>
        <v/>
      </c>
      <c r="J189" s="182">
        <f>J69*J$22</f>
        <v/>
      </c>
      <c r="K189" s="182">
        <f>K69*K$22</f>
        <v/>
      </c>
      <c r="L189" s="182">
        <f>L69*L$22</f>
        <v/>
      </c>
      <c r="M189" s="182">
        <f>M69*M$22</f>
        <v/>
      </c>
      <c r="N189" s="182">
        <f>N69*N$22</f>
        <v/>
      </c>
      <c r="O189" s="182">
        <f>O69*O$22</f>
        <v/>
      </c>
      <c r="P189" s="182">
        <f>P69*P$22</f>
        <v/>
      </c>
      <c r="Q189" s="182">
        <f>Q69*Q$22</f>
        <v/>
      </c>
      <c r="R189" s="182">
        <f>R69*R$22</f>
        <v/>
      </c>
      <c r="S189" s="182">
        <f>S69*S$22</f>
        <v/>
      </c>
      <c r="T189" s="182">
        <f>T69*T$22</f>
        <v/>
      </c>
      <c r="U189" s="182">
        <f>U69*U$22</f>
        <v/>
      </c>
    </row>
    <row r="190" ht="15.75" customHeight="1" s="194">
      <c r="B190" s="182">
        <f>B70*B$22</f>
        <v/>
      </c>
      <c r="C190" s="182">
        <f>C70*C$22</f>
        <v/>
      </c>
      <c r="D190" s="182">
        <f>D70*D$22</f>
        <v/>
      </c>
      <c r="E190" s="182">
        <f>E70*E$22</f>
        <v/>
      </c>
      <c r="F190" s="182">
        <f>F70*F$22</f>
        <v/>
      </c>
      <c r="G190" s="182">
        <f>G70*G$22</f>
        <v/>
      </c>
      <c r="H190" s="182">
        <f>H70*H$22</f>
        <v/>
      </c>
      <c r="I190" s="182">
        <f>I70*I$22</f>
        <v/>
      </c>
      <c r="J190" s="182">
        <f>J70*J$22</f>
        <v/>
      </c>
      <c r="K190" s="182">
        <f>K70*K$22</f>
        <v/>
      </c>
      <c r="L190" s="182">
        <f>L70*L$22</f>
        <v/>
      </c>
      <c r="M190" s="182">
        <f>M70*M$22</f>
        <v/>
      </c>
      <c r="N190" s="182">
        <f>N70*N$22</f>
        <v/>
      </c>
      <c r="O190" s="182">
        <f>O70*O$22</f>
        <v/>
      </c>
      <c r="P190" s="182">
        <f>P70*P$22</f>
        <v/>
      </c>
      <c r="Q190" s="182">
        <f>Q70*Q$22</f>
        <v/>
      </c>
      <c r="R190" s="182">
        <f>R70*R$22</f>
        <v/>
      </c>
      <c r="S190" s="182">
        <f>S70*S$22</f>
        <v/>
      </c>
      <c r="T190" s="182">
        <f>T70*T$22</f>
        <v/>
      </c>
      <c r="U190" s="182">
        <f>U70*U$22</f>
        <v/>
      </c>
    </row>
    <row r="191" ht="15.75" customHeight="1" s="194">
      <c r="B191" s="182">
        <f>B71*B$22</f>
        <v/>
      </c>
      <c r="C191" s="182">
        <f>C71*C$22</f>
        <v/>
      </c>
      <c r="D191" s="182">
        <f>D71*D$22</f>
        <v/>
      </c>
      <c r="E191" s="182">
        <f>E71*E$22</f>
        <v/>
      </c>
      <c r="F191" s="182">
        <f>F71*F$22</f>
        <v/>
      </c>
      <c r="G191" s="182">
        <f>G71*G$22</f>
        <v/>
      </c>
      <c r="H191" s="182">
        <f>H71*H$22</f>
        <v/>
      </c>
      <c r="I191" s="182">
        <f>I71*I$22</f>
        <v/>
      </c>
      <c r="J191" s="182">
        <f>J71*J$22</f>
        <v/>
      </c>
      <c r="K191" s="182">
        <f>K71*K$22</f>
        <v/>
      </c>
      <c r="L191" s="182">
        <f>L71*L$22</f>
        <v/>
      </c>
      <c r="M191" s="182">
        <f>M71*M$22</f>
        <v/>
      </c>
      <c r="N191" s="182">
        <f>N71*N$22</f>
        <v/>
      </c>
      <c r="O191" s="182">
        <f>O71*O$22</f>
        <v/>
      </c>
      <c r="P191" s="182">
        <f>P71*P$22</f>
        <v/>
      </c>
      <c r="Q191" s="182">
        <f>Q71*Q$22</f>
        <v/>
      </c>
      <c r="R191" s="182">
        <f>R71*R$22</f>
        <v/>
      </c>
      <c r="S191" s="182">
        <f>S71*S$22</f>
        <v/>
      </c>
      <c r="T191" s="182">
        <f>T71*T$22</f>
        <v/>
      </c>
      <c r="U191" s="182">
        <f>U71*U$22</f>
        <v/>
      </c>
    </row>
    <row r="192" ht="15.75" customHeight="1" s="194">
      <c r="B192" s="182">
        <f>B72*B$22</f>
        <v/>
      </c>
      <c r="C192" s="182">
        <f>C72*C$22</f>
        <v/>
      </c>
      <c r="D192" s="182">
        <f>D72*D$22</f>
        <v/>
      </c>
      <c r="E192" s="182">
        <f>E72*E$22</f>
        <v/>
      </c>
      <c r="F192" s="182">
        <f>F72*F$22</f>
        <v/>
      </c>
      <c r="G192" s="182">
        <f>G72*G$22</f>
        <v/>
      </c>
      <c r="H192" s="182">
        <f>H72*H$22</f>
        <v/>
      </c>
      <c r="I192" s="182">
        <f>I72*I$22</f>
        <v/>
      </c>
      <c r="J192" s="182">
        <f>J72*J$22</f>
        <v/>
      </c>
      <c r="K192" s="182">
        <f>K72*K$22</f>
        <v/>
      </c>
      <c r="L192" s="182">
        <f>L72*L$22</f>
        <v/>
      </c>
      <c r="M192" s="182">
        <f>M72*M$22</f>
        <v/>
      </c>
      <c r="N192" s="182">
        <f>N72*N$22</f>
        <v/>
      </c>
      <c r="O192" s="182">
        <f>O72*O$22</f>
        <v/>
      </c>
      <c r="P192" s="182">
        <f>P72*P$22</f>
        <v/>
      </c>
      <c r="Q192" s="182">
        <f>Q72*Q$22</f>
        <v/>
      </c>
      <c r="R192" s="182">
        <f>R72*R$22</f>
        <v/>
      </c>
      <c r="S192" s="182">
        <f>S72*S$22</f>
        <v/>
      </c>
      <c r="T192" s="182">
        <f>T72*T$22</f>
        <v/>
      </c>
      <c r="U192" s="182">
        <f>U72*U$22</f>
        <v/>
      </c>
    </row>
    <row r="193" ht="15.75" customHeight="1" s="194">
      <c r="B193" s="182">
        <f>B73*B$22</f>
        <v/>
      </c>
      <c r="C193" s="182">
        <f>C73*C$22</f>
        <v/>
      </c>
      <c r="D193" s="182">
        <f>D73*D$22</f>
        <v/>
      </c>
      <c r="E193" s="182">
        <f>E73*E$22</f>
        <v/>
      </c>
      <c r="F193" s="182">
        <f>F73*F$22</f>
        <v/>
      </c>
      <c r="G193" s="182">
        <f>G73*G$22</f>
        <v/>
      </c>
      <c r="H193" s="182">
        <f>H73*H$22</f>
        <v/>
      </c>
      <c r="I193" s="182">
        <f>I73*I$22</f>
        <v/>
      </c>
      <c r="J193" s="182">
        <f>J73*J$22</f>
        <v/>
      </c>
      <c r="K193" s="182">
        <f>K73*K$22</f>
        <v/>
      </c>
      <c r="L193" s="182">
        <f>L73*L$22</f>
        <v/>
      </c>
      <c r="M193" s="182">
        <f>M73*M$22</f>
        <v/>
      </c>
      <c r="N193" s="182">
        <f>N73*N$22</f>
        <v/>
      </c>
      <c r="O193" s="182">
        <f>O73*O$22</f>
        <v/>
      </c>
      <c r="P193" s="182">
        <f>P73*P$22</f>
        <v/>
      </c>
      <c r="Q193" s="182">
        <f>Q73*Q$22</f>
        <v/>
      </c>
      <c r="R193" s="182">
        <f>R73*R$22</f>
        <v/>
      </c>
      <c r="S193" s="182">
        <f>S73*S$22</f>
        <v/>
      </c>
      <c r="T193" s="182">
        <f>T73*T$22</f>
        <v/>
      </c>
      <c r="U193" s="182">
        <f>U73*U$22</f>
        <v/>
      </c>
    </row>
    <row r="194" ht="15.75" customHeight="1" s="194">
      <c r="B194" s="182">
        <f>B74*B$22</f>
        <v/>
      </c>
      <c r="C194" s="182">
        <f>C74*C$22</f>
        <v/>
      </c>
      <c r="D194" s="182">
        <f>D74*D$22</f>
        <v/>
      </c>
      <c r="E194" s="182">
        <f>E74*E$22</f>
        <v/>
      </c>
      <c r="F194" s="182">
        <f>F74*F$22</f>
        <v/>
      </c>
      <c r="G194" s="182">
        <f>G74*G$22</f>
        <v/>
      </c>
      <c r="H194" s="182">
        <f>H74*H$22</f>
        <v/>
      </c>
      <c r="I194" s="182">
        <f>I74*I$22</f>
        <v/>
      </c>
      <c r="J194" s="182">
        <f>J74*J$22</f>
        <v/>
      </c>
      <c r="K194" s="182">
        <f>K74*K$22</f>
        <v/>
      </c>
      <c r="L194" s="182">
        <f>L74*L$22</f>
        <v/>
      </c>
      <c r="M194" s="182">
        <f>M74*M$22</f>
        <v/>
      </c>
      <c r="N194" s="182">
        <f>N74*N$22</f>
        <v/>
      </c>
      <c r="O194" s="182">
        <f>O74*O$22</f>
        <v/>
      </c>
      <c r="P194" s="182">
        <f>P74*P$22</f>
        <v/>
      </c>
      <c r="Q194" s="182">
        <f>Q74*Q$22</f>
        <v/>
      </c>
      <c r="R194" s="182">
        <f>R74*R$22</f>
        <v/>
      </c>
      <c r="S194" s="182">
        <f>S74*S$22</f>
        <v/>
      </c>
      <c r="T194" s="182">
        <f>T74*T$22</f>
        <v/>
      </c>
      <c r="U194" s="182">
        <f>U74*U$22</f>
        <v/>
      </c>
    </row>
    <row r="195" ht="15.75" customHeight="1" s="194">
      <c r="B195" s="182">
        <f>B75*B$22</f>
        <v/>
      </c>
      <c r="C195" s="182">
        <f>C75*C$22</f>
        <v/>
      </c>
      <c r="D195" s="182">
        <f>D75*D$22</f>
        <v/>
      </c>
      <c r="E195" s="182">
        <f>E75*E$22</f>
        <v/>
      </c>
      <c r="F195" s="182">
        <f>F75*F$22</f>
        <v/>
      </c>
      <c r="G195" s="182">
        <f>G75*G$22</f>
        <v/>
      </c>
      <c r="H195" s="182">
        <f>H75*H$22</f>
        <v/>
      </c>
      <c r="I195" s="182">
        <f>I75*I$22</f>
        <v/>
      </c>
      <c r="J195" s="182">
        <f>J75*J$22</f>
        <v/>
      </c>
      <c r="K195" s="182">
        <f>K75*K$22</f>
        <v/>
      </c>
      <c r="L195" s="182">
        <f>L75*L$22</f>
        <v/>
      </c>
      <c r="M195" s="182">
        <f>M75*M$22</f>
        <v/>
      </c>
      <c r="N195" s="182">
        <f>N75*N$22</f>
        <v/>
      </c>
      <c r="O195" s="182">
        <f>O75*O$22</f>
        <v/>
      </c>
      <c r="P195" s="182">
        <f>P75*P$22</f>
        <v/>
      </c>
      <c r="Q195" s="182">
        <f>Q75*Q$22</f>
        <v/>
      </c>
      <c r="R195" s="182">
        <f>R75*R$22</f>
        <v/>
      </c>
      <c r="S195" s="182">
        <f>S75*S$22</f>
        <v/>
      </c>
      <c r="T195" s="182">
        <f>T75*T$22</f>
        <v/>
      </c>
      <c r="U195" s="182">
        <f>U75*U$22</f>
        <v/>
      </c>
    </row>
    <row r="196" ht="15.75" customHeight="1" s="194">
      <c r="B196" s="182">
        <f>B76*B$22</f>
        <v/>
      </c>
      <c r="C196" s="182">
        <f>C76*C$22</f>
        <v/>
      </c>
      <c r="D196" s="182">
        <f>D76*D$22</f>
        <v/>
      </c>
      <c r="E196" s="182">
        <f>E76*E$22</f>
        <v/>
      </c>
      <c r="F196" s="182">
        <f>F76*F$22</f>
        <v/>
      </c>
      <c r="G196" s="182">
        <f>G76*G$22</f>
        <v/>
      </c>
      <c r="H196" s="182">
        <f>H76*H$22</f>
        <v/>
      </c>
      <c r="I196" s="182">
        <f>I76*I$22</f>
        <v/>
      </c>
      <c r="J196" s="182">
        <f>J76*J$22</f>
        <v/>
      </c>
      <c r="K196" s="182">
        <f>K76*K$22</f>
        <v/>
      </c>
      <c r="L196" s="182">
        <f>L76*L$22</f>
        <v/>
      </c>
      <c r="M196" s="182">
        <f>M76*M$22</f>
        <v/>
      </c>
      <c r="N196" s="182">
        <f>N76*N$22</f>
        <v/>
      </c>
      <c r="O196" s="182">
        <f>O76*O$22</f>
        <v/>
      </c>
      <c r="P196" s="182">
        <f>P76*P$22</f>
        <v/>
      </c>
      <c r="Q196" s="182">
        <f>Q76*Q$22</f>
        <v/>
      </c>
      <c r="R196" s="182">
        <f>R76*R$22</f>
        <v/>
      </c>
      <c r="S196" s="182">
        <f>S76*S$22</f>
        <v/>
      </c>
      <c r="T196" s="182">
        <f>T76*T$22</f>
        <v/>
      </c>
      <c r="U196" s="182">
        <f>U76*U$22</f>
        <v/>
      </c>
    </row>
    <row r="197" ht="15.75" customHeight="1" s="194">
      <c r="B197" s="182">
        <f>B77*B$22</f>
        <v/>
      </c>
      <c r="C197" s="182">
        <f>C77*C$22</f>
        <v/>
      </c>
      <c r="D197" s="182">
        <f>D77*D$22</f>
        <v/>
      </c>
      <c r="E197" s="182">
        <f>E77*E$22</f>
        <v/>
      </c>
      <c r="F197" s="182">
        <f>F77*F$22</f>
        <v/>
      </c>
      <c r="G197" s="182">
        <f>G77*G$22</f>
        <v/>
      </c>
      <c r="H197" s="182">
        <f>H77*H$22</f>
        <v/>
      </c>
      <c r="I197" s="182">
        <f>I77*I$22</f>
        <v/>
      </c>
      <c r="J197" s="182">
        <f>J77*J$22</f>
        <v/>
      </c>
      <c r="K197" s="182">
        <f>K77*K$22</f>
        <v/>
      </c>
      <c r="L197" s="182">
        <f>L77*L$22</f>
        <v/>
      </c>
      <c r="M197" s="182">
        <f>M77*M$22</f>
        <v/>
      </c>
      <c r="N197" s="182">
        <f>N77*N$22</f>
        <v/>
      </c>
      <c r="O197" s="182">
        <f>O77*O$22</f>
        <v/>
      </c>
      <c r="P197" s="182">
        <f>P77*P$22</f>
        <v/>
      </c>
      <c r="Q197" s="182">
        <f>Q77*Q$22</f>
        <v/>
      </c>
      <c r="R197" s="182">
        <f>R77*R$22</f>
        <v/>
      </c>
      <c r="S197" s="182">
        <f>S77*S$22</f>
        <v/>
      </c>
      <c r="T197" s="182">
        <f>T77*T$22</f>
        <v/>
      </c>
      <c r="U197" s="182">
        <f>U77*U$22</f>
        <v/>
      </c>
    </row>
    <row r="198" ht="15.75" customHeight="1" s="194">
      <c r="B198" s="182">
        <f>B78*B$22</f>
        <v/>
      </c>
      <c r="C198" s="182">
        <f>C78*C$22</f>
        <v/>
      </c>
      <c r="D198" s="182">
        <f>D78*D$22</f>
        <v/>
      </c>
      <c r="E198" s="182">
        <f>E78*E$22</f>
        <v/>
      </c>
      <c r="F198" s="182">
        <f>F78*F$22</f>
        <v/>
      </c>
      <c r="G198" s="182">
        <f>G78*G$22</f>
        <v/>
      </c>
      <c r="H198" s="182">
        <f>H78*H$22</f>
        <v/>
      </c>
      <c r="I198" s="182">
        <f>I78*I$22</f>
        <v/>
      </c>
      <c r="J198" s="182">
        <f>J78*J$22</f>
        <v/>
      </c>
      <c r="K198" s="182">
        <f>K78*K$22</f>
        <v/>
      </c>
      <c r="L198" s="182">
        <f>L78*L$22</f>
        <v/>
      </c>
      <c r="M198" s="182">
        <f>M78*M$22</f>
        <v/>
      </c>
      <c r="N198" s="182">
        <f>N78*N$22</f>
        <v/>
      </c>
      <c r="O198" s="182">
        <f>O78*O$22</f>
        <v/>
      </c>
      <c r="P198" s="182">
        <f>P78*P$22</f>
        <v/>
      </c>
      <c r="Q198" s="182">
        <f>Q78*Q$22</f>
        <v/>
      </c>
      <c r="R198" s="182">
        <f>R78*R$22</f>
        <v/>
      </c>
      <c r="S198" s="182">
        <f>S78*S$22</f>
        <v/>
      </c>
      <c r="T198" s="182">
        <f>T78*T$22</f>
        <v/>
      </c>
      <c r="U198" s="182">
        <f>U78*U$22</f>
        <v/>
      </c>
    </row>
    <row r="199" ht="15.75" customHeight="1" s="194"/>
    <row r="200" ht="15.75" customHeight="1" s="194"/>
    <row r="201" ht="15.75" customHeight="1" s="194"/>
    <row r="202" ht="15.75" customHeight="1" s="194"/>
    <row r="203" ht="15.75" customHeight="1" s="194"/>
    <row r="204" ht="15.75" customHeight="1" s="194"/>
    <row r="205" ht="15.75" customHeight="1" s="194"/>
    <row r="206" ht="15.75" customHeight="1" s="194"/>
    <row r="207" ht="15.75" customHeight="1" s="194"/>
    <row r="208" ht="15.75" customHeight="1" s="194"/>
    <row r="209" ht="15.75" customHeight="1" s="194"/>
    <row r="210" ht="15.75" customHeight="1" s="194"/>
    <row r="211" ht="15.75" customHeight="1" s="194"/>
    <row r="212" ht="15.75" customHeight="1" s="194"/>
    <row r="213" ht="15.75" customHeight="1" s="194"/>
    <row r="214" ht="15.75" customHeight="1" s="194"/>
    <row r="215" ht="15.75" customHeight="1" s="194"/>
    <row r="216" ht="15.75" customHeight="1" s="194"/>
    <row r="217" ht="15.75" customHeight="1" s="194"/>
    <row r="218" ht="15.75" customHeight="1" s="194"/>
    <row r="219" ht="15.75" customHeight="1" s="194"/>
    <row r="220" ht="15.75" customHeight="1" s="194"/>
    <row r="221" ht="15.75" customHeight="1" s="194"/>
    <row r="222" ht="15.75" customHeight="1" s="194"/>
    <row r="223" ht="15.75" customHeight="1" s="194"/>
    <row r="224" ht="15.75" customHeight="1" s="194"/>
    <row r="225" ht="15.75" customHeight="1" s="194"/>
    <row r="226" ht="15.75" customHeight="1" s="194"/>
    <row r="227" ht="15.75" customHeight="1" s="194"/>
    <row r="228" ht="15.75" customHeight="1" s="194"/>
    <row r="229" ht="15.75" customHeight="1" s="194"/>
    <row r="230" ht="15.75" customHeight="1" s="194"/>
    <row r="231" ht="15.75" customHeight="1" s="194"/>
    <row r="232" ht="15.75" customHeight="1" s="194"/>
    <row r="233" ht="15.75" customHeight="1" s="194"/>
    <row r="234" ht="15.75" customHeight="1" s="194"/>
    <row r="235" ht="15.75" customHeight="1" s="194"/>
    <row r="236" ht="15.75" customHeight="1" s="194"/>
    <row r="237" ht="15.75" customHeight="1" s="194"/>
    <row r="238" ht="15.75" customHeight="1" s="194"/>
    <row r="239" ht="15.75" customHeight="1" s="194"/>
    <row r="240" ht="15.75" customHeight="1" s="194"/>
    <row r="241" ht="15.75" customHeight="1" s="194"/>
    <row r="242" ht="15.75" customHeight="1" s="194"/>
    <row r="243" ht="15.75" customHeight="1" s="194"/>
    <row r="244" ht="15.75" customHeight="1" s="194"/>
    <row r="245" ht="15.75" customHeight="1" s="194"/>
    <row r="246" ht="15.75" customHeight="1" s="194"/>
    <row r="247" ht="15.75" customHeight="1" s="194"/>
    <row r="248" ht="15.75" customHeight="1" s="194"/>
    <row r="249" ht="15.75" customHeight="1" s="194"/>
    <row r="250" ht="15.75" customHeight="1" s="194"/>
    <row r="251" ht="15.75" customHeight="1" s="194"/>
    <row r="252" ht="15.75" customHeight="1" s="194"/>
    <row r="253" ht="15.75" customHeight="1" s="194"/>
    <row r="254" ht="15.75" customHeight="1" s="194"/>
    <row r="255" ht="15.75" customHeight="1" s="194"/>
    <row r="256" ht="15.75" customHeight="1" s="194"/>
    <row r="257" ht="15.75" customHeight="1" s="194"/>
    <row r="258" ht="15.75" customHeight="1" s="194"/>
    <row r="259" ht="15.75" customHeight="1" s="194"/>
    <row r="260" ht="15.75" customHeight="1" s="194"/>
    <row r="261" ht="15.75" customHeight="1" s="194"/>
    <row r="262" ht="15.75" customHeight="1" s="194"/>
    <row r="263" ht="15.75" customHeight="1" s="194"/>
    <row r="264" ht="15.75" customHeight="1" s="194"/>
    <row r="265" ht="15.75" customHeight="1" s="194"/>
    <row r="266" ht="15.75" customHeight="1" s="194"/>
    <row r="267" ht="15.75" customHeight="1" s="194"/>
    <row r="268" ht="15.75" customHeight="1" s="194"/>
    <row r="269" ht="15.75" customHeight="1" s="194"/>
    <row r="270" ht="15.75" customHeight="1" s="194"/>
    <row r="271" ht="15.75" customHeight="1" s="194"/>
    <row r="272" ht="15.75" customHeight="1" s="194"/>
    <row r="273" ht="15.75" customHeight="1" s="194"/>
    <row r="274" ht="15.75" customHeight="1" s="194"/>
    <row r="275" ht="15.75" customHeight="1" s="194"/>
    <row r="276" ht="15.75" customHeight="1" s="194"/>
    <row r="277" ht="15.75" customHeight="1" s="194"/>
    <row r="278" ht="15.75" customHeight="1" s="194"/>
    <row r="279" ht="15.75" customHeight="1" s="194"/>
    <row r="280" ht="15.75" customHeight="1" s="194"/>
    <row r="281" ht="15.75" customHeight="1" s="194"/>
    <row r="282" ht="15.75" customHeight="1" s="194"/>
    <row r="283" ht="15.75" customHeight="1" s="194"/>
    <row r="284" ht="15.75" customHeight="1" s="194"/>
    <row r="285" ht="15.75" customHeight="1" s="194"/>
    <row r="286" ht="15.75" customHeight="1" s="194"/>
    <row r="287" ht="15.75" customHeight="1" s="194"/>
    <row r="288" ht="15.75" customHeight="1" s="194"/>
    <row r="289" ht="15.75" customHeight="1" s="194"/>
    <row r="290" ht="15.75" customHeight="1" s="194"/>
    <row r="291" ht="15.75" customHeight="1" s="194"/>
    <row r="292" ht="15.75" customHeight="1" s="194"/>
    <row r="293" ht="15.75" customHeight="1" s="194"/>
    <row r="294" ht="15.75" customHeight="1" s="194"/>
    <row r="295" ht="15.75" customHeight="1" s="194"/>
    <row r="296" ht="15.75" customHeight="1" s="194"/>
    <row r="297" ht="15.75" customHeight="1" s="194"/>
    <row r="298" ht="15.75" customHeight="1" s="194"/>
    <row r="299" ht="15.75" customHeight="1" s="194"/>
    <row r="300" ht="15.75" customHeight="1" s="194"/>
    <row r="301" ht="15.75" customHeight="1" s="194"/>
    <row r="302" ht="15.75" customHeight="1" s="194"/>
    <row r="303" ht="15.75" customHeight="1" s="194"/>
    <row r="304" ht="15.75" customHeight="1" s="194"/>
    <row r="305" ht="15.75" customHeight="1" s="194"/>
    <row r="306" ht="15.75" customHeight="1" s="194"/>
    <row r="307" ht="15.75" customHeight="1" s="194"/>
    <row r="308" ht="15.75" customHeight="1" s="194"/>
    <row r="309" ht="15.75" customHeight="1" s="194"/>
    <row r="310" ht="15.75" customHeight="1" s="194"/>
    <row r="311" ht="15.75" customHeight="1" s="194"/>
    <row r="312" ht="15.75" customHeight="1" s="194"/>
    <row r="313" ht="15.75" customHeight="1" s="194"/>
    <row r="314" ht="15.75" customHeight="1" s="194"/>
    <row r="315" ht="15.75" customHeight="1" s="194"/>
    <row r="316" ht="15.75" customHeight="1" s="194"/>
    <row r="317" ht="15.75" customHeight="1" s="194"/>
    <row r="318" ht="15.75" customHeight="1" s="194"/>
    <row r="319" ht="15.75" customHeight="1" s="194"/>
    <row r="320" ht="15.75" customHeight="1" s="194"/>
    <row r="321" ht="15.75" customHeight="1" s="194"/>
    <row r="322" ht="15.75" customHeight="1" s="194"/>
    <row r="323" ht="15.75" customHeight="1" s="194"/>
    <row r="324" ht="15.75" customHeight="1" s="194"/>
    <row r="325" ht="15.75" customHeight="1" s="194"/>
    <row r="326" ht="15.75" customHeight="1" s="194"/>
    <row r="327" ht="15.75" customHeight="1" s="194"/>
    <row r="328" ht="15.75" customHeight="1" s="194"/>
    <row r="329" ht="15.75" customHeight="1" s="194"/>
    <row r="330" ht="15.75" customHeight="1" s="194"/>
    <row r="331" ht="15.75" customHeight="1" s="194"/>
    <row r="332" ht="15.75" customHeight="1" s="194"/>
    <row r="333" ht="15.75" customHeight="1" s="194"/>
    <row r="334" ht="15.75" customHeight="1" s="194"/>
    <row r="335" ht="15.75" customHeight="1" s="194"/>
    <row r="336" ht="15.75" customHeight="1" s="194"/>
    <row r="337" ht="15.75" customHeight="1" s="194"/>
    <row r="338" ht="15.75" customHeight="1" s="194"/>
    <row r="339" ht="15.75" customHeight="1" s="194"/>
    <row r="340" ht="15.75" customHeight="1" s="194"/>
    <row r="341" ht="15.75" customHeight="1" s="194"/>
    <row r="342" ht="15.75" customHeight="1" s="194"/>
    <row r="343" ht="15.75" customHeight="1" s="194"/>
    <row r="344" ht="15.75" customHeight="1" s="194"/>
    <row r="345" ht="15.75" customHeight="1" s="194"/>
    <row r="346" ht="15.75" customHeight="1" s="194"/>
    <row r="347" ht="15.75" customHeight="1" s="194"/>
    <row r="348" ht="15.75" customHeight="1" s="194"/>
    <row r="349" ht="15.75" customHeight="1" s="194"/>
    <row r="350" ht="15.75" customHeight="1" s="194"/>
    <row r="351" ht="15.75" customHeight="1" s="194"/>
    <row r="352" ht="15.75" customHeight="1" s="194"/>
    <row r="353" ht="15.75" customHeight="1" s="194"/>
    <row r="354" ht="15.75" customHeight="1" s="194"/>
    <row r="355" ht="15.75" customHeight="1" s="194"/>
    <row r="356" ht="15.75" customHeight="1" s="194"/>
    <row r="357" ht="15.75" customHeight="1" s="194"/>
    <row r="358" ht="15.75" customHeight="1" s="194"/>
    <row r="359" ht="15.75" customHeight="1" s="194"/>
    <row r="360" ht="15.75" customHeight="1" s="194"/>
    <row r="361" ht="15.75" customHeight="1" s="194"/>
    <row r="362" ht="15.75" customHeight="1" s="194"/>
    <row r="363" ht="15.75" customHeight="1" s="194"/>
    <row r="364" ht="15.75" customHeight="1" s="194"/>
    <row r="365" ht="15.75" customHeight="1" s="194"/>
    <row r="366" ht="15.75" customHeight="1" s="194"/>
    <row r="367" ht="15.75" customHeight="1" s="194"/>
    <row r="368" ht="15.75" customHeight="1" s="194"/>
    <row r="369" ht="15.75" customHeight="1" s="194"/>
    <row r="370" ht="15.75" customHeight="1" s="194"/>
    <row r="371" ht="15.75" customHeight="1" s="194"/>
    <row r="372" ht="15.75" customHeight="1" s="194"/>
    <row r="373" ht="15.75" customHeight="1" s="194"/>
    <row r="374" ht="15.75" customHeight="1" s="194"/>
    <row r="375" ht="15.75" customHeight="1" s="194"/>
    <row r="376" ht="15.75" customHeight="1" s="194"/>
    <row r="377" ht="15.75" customHeight="1" s="194"/>
    <row r="378" ht="15.75" customHeight="1" s="194"/>
    <row r="379" ht="15.75" customHeight="1" s="194"/>
    <row r="380" ht="15.75" customHeight="1" s="194"/>
    <row r="381" ht="15.75" customHeight="1" s="194"/>
    <row r="382" ht="15.75" customHeight="1" s="194"/>
    <row r="383" ht="15.75" customHeight="1" s="194"/>
    <row r="384" ht="15.75" customHeight="1" s="194"/>
    <row r="385" ht="15.75" customHeight="1" s="194"/>
    <row r="386" ht="15.75" customHeight="1" s="194"/>
    <row r="387" ht="15.75" customHeight="1" s="194"/>
    <row r="388" ht="15.75" customHeight="1" s="194"/>
    <row r="389" ht="15.75" customHeight="1" s="194"/>
    <row r="390" ht="15.75" customHeight="1" s="194"/>
    <row r="391" ht="15.75" customHeight="1" s="194"/>
    <row r="392" ht="15.75" customHeight="1" s="194"/>
    <row r="393" ht="15.75" customHeight="1" s="194"/>
    <row r="394" ht="15.75" customHeight="1" s="194"/>
    <row r="395" ht="15.75" customHeight="1" s="194"/>
    <row r="396" ht="15.75" customHeight="1" s="194"/>
    <row r="397" ht="15.75" customHeight="1" s="194"/>
    <row r="398" ht="15.75" customHeight="1" s="194"/>
    <row r="399" ht="15.75" customHeight="1" s="194"/>
    <row r="400" ht="15.75" customHeight="1" s="194"/>
    <row r="401" ht="15.75" customHeight="1" s="194"/>
    <row r="402" ht="15.75" customHeight="1" s="194"/>
    <row r="403" ht="15.75" customHeight="1" s="194"/>
    <row r="404" ht="15.75" customHeight="1" s="194"/>
    <row r="405" ht="15.75" customHeight="1" s="194"/>
    <row r="406" ht="15.75" customHeight="1" s="194"/>
    <row r="407" ht="15.75" customHeight="1" s="194"/>
    <row r="408" ht="15.75" customHeight="1" s="194"/>
    <row r="409" ht="15.75" customHeight="1" s="194"/>
    <row r="410" ht="15.75" customHeight="1" s="194"/>
    <row r="411" ht="15.75" customHeight="1" s="194"/>
    <row r="412" ht="15.75" customHeight="1" s="194"/>
    <row r="413" ht="15.75" customHeight="1" s="194"/>
    <row r="414" ht="15.75" customHeight="1" s="194"/>
    <row r="415" ht="15.75" customHeight="1" s="194"/>
    <row r="416" ht="15.75" customHeight="1" s="194"/>
    <row r="417" ht="15.75" customHeight="1" s="194"/>
    <row r="418" ht="15.75" customHeight="1" s="194"/>
    <row r="419" ht="15.75" customHeight="1" s="194"/>
    <row r="420" ht="15.75" customHeight="1" s="194"/>
    <row r="421" ht="15.75" customHeight="1" s="194"/>
    <row r="422" ht="15.75" customHeight="1" s="194"/>
    <row r="423" ht="15.75" customHeight="1" s="194"/>
    <row r="424" ht="15.75" customHeight="1" s="194"/>
    <row r="425" ht="15.75" customHeight="1" s="194"/>
    <row r="426" ht="15.75" customHeight="1" s="194"/>
    <row r="427" ht="15.75" customHeight="1" s="194"/>
    <row r="428" ht="15.75" customHeight="1" s="194"/>
    <row r="429" ht="15.75" customHeight="1" s="194"/>
    <row r="430" ht="15.75" customHeight="1" s="194"/>
    <row r="431" ht="15.75" customHeight="1" s="194"/>
    <row r="432" ht="15.75" customHeight="1" s="194"/>
    <row r="433" ht="15.75" customHeight="1" s="194"/>
    <row r="434" ht="15.75" customHeight="1" s="194"/>
    <row r="435" ht="15.75" customHeight="1" s="194"/>
    <row r="436" ht="15.75" customHeight="1" s="194"/>
    <row r="437" ht="15.75" customHeight="1" s="194"/>
    <row r="438" ht="15.75" customHeight="1" s="194"/>
    <row r="439" ht="15.75" customHeight="1" s="194"/>
    <row r="440" ht="15.75" customHeight="1" s="194"/>
    <row r="441" ht="15.75" customHeight="1" s="194"/>
    <row r="442" ht="15.75" customHeight="1" s="194"/>
    <row r="443" ht="15.75" customHeight="1" s="194"/>
    <row r="444" ht="15.75" customHeight="1" s="194"/>
    <row r="445" ht="15.75" customHeight="1" s="194"/>
    <row r="446" ht="15.75" customHeight="1" s="194"/>
    <row r="447" ht="15.75" customHeight="1" s="194"/>
    <row r="448" ht="15.75" customHeight="1" s="194"/>
    <row r="449" ht="15.75" customHeight="1" s="194"/>
    <row r="450" ht="15.75" customHeight="1" s="194"/>
    <row r="451" ht="15.75" customHeight="1" s="194"/>
    <row r="452" ht="15.75" customHeight="1" s="194"/>
    <row r="453" ht="15.75" customHeight="1" s="194"/>
    <row r="454" ht="15.75" customHeight="1" s="194"/>
    <row r="455" ht="15.75" customHeight="1" s="194"/>
    <row r="456" ht="15.75" customHeight="1" s="194"/>
    <row r="457" ht="15.75" customHeight="1" s="194"/>
    <row r="458" ht="15.75" customHeight="1" s="194"/>
    <row r="459" ht="15.75" customHeight="1" s="194"/>
    <row r="460" ht="15.75" customHeight="1" s="194"/>
    <row r="461" ht="15.75" customHeight="1" s="194"/>
    <row r="462" ht="15.75" customHeight="1" s="194"/>
    <row r="463" ht="15.75" customHeight="1" s="194"/>
    <row r="464" ht="15.75" customHeight="1" s="194"/>
    <row r="465" ht="15.75" customHeight="1" s="194"/>
    <row r="466" ht="15.75" customHeight="1" s="194"/>
    <row r="467" ht="15.75" customHeight="1" s="194"/>
    <row r="468" ht="15.75" customHeight="1" s="194"/>
    <row r="469" ht="15.75" customHeight="1" s="194"/>
    <row r="470" ht="15.75" customHeight="1" s="194"/>
    <row r="471" ht="15.75" customHeight="1" s="194"/>
    <row r="472" ht="15.75" customHeight="1" s="194"/>
    <row r="473" ht="15.75" customHeight="1" s="194"/>
    <row r="474" ht="15.75" customHeight="1" s="194"/>
    <row r="475" ht="15.75" customHeight="1" s="194"/>
    <row r="476" ht="15.75" customHeight="1" s="194"/>
    <row r="477" ht="15.75" customHeight="1" s="194"/>
    <row r="478" ht="15.75" customHeight="1" s="194"/>
    <row r="479" ht="15.75" customHeight="1" s="194"/>
    <row r="480" ht="15.75" customHeight="1" s="194"/>
    <row r="481" ht="15.75" customHeight="1" s="194"/>
    <row r="482" ht="15.75" customHeight="1" s="194"/>
    <row r="483" ht="15.75" customHeight="1" s="194"/>
    <row r="484" ht="15.75" customHeight="1" s="194"/>
    <row r="485" ht="15.75" customHeight="1" s="194"/>
    <row r="486" ht="15.75" customHeight="1" s="194"/>
    <row r="487" ht="15.75" customHeight="1" s="194"/>
    <row r="488" ht="15.75" customHeight="1" s="194"/>
    <row r="489" ht="15.75" customHeight="1" s="194"/>
    <row r="490" ht="15.75" customHeight="1" s="194"/>
    <row r="491" ht="15.75" customHeight="1" s="194"/>
    <row r="492" ht="15.75" customHeight="1" s="194"/>
    <row r="493" ht="15.75" customHeight="1" s="194"/>
    <row r="494" ht="15.75" customHeight="1" s="194"/>
    <row r="495" ht="15.75" customHeight="1" s="194"/>
    <row r="496" ht="15.75" customHeight="1" s="194"/>
    <row r="497" ht="15.75" customHeight="1" s="194"/>
    <row r="498" ht="15.75" customHeight="1" s="194"/>
    <row r="499" ht="15.75" customHeight="1" s="194"/>
    <row r="500" ht="15.75" customHeight="1" s="194"/>
    <row r="501" ht="15.75" customHeight="1" s="194"/>
    <row r="502" ht="15.75" customHeight="1" s="194"/>
    <row r="503" ht="15.75" customHeight="1" s="194"/>
    <row r="504" ht="15.75" customHeight="1" s="194"/>
    <row r="505" ht="15.75" customHeight="1" s="194"/>
    <row r="506" ht="15.75" customHeight="1" s="194"/>
    <row r="507" ht="15.75" customHeight="1" s="194"/>
    <row r="508" ht="15.75" customHeight="1" s="194"/>
    <row r="509" ht="15.75" customHeight="1" s="194"/>
    <row r="510" ht="15.75" customHeight="1" s="194"/>
    <row r="511" ht="15.75" customHeight="1" s="194"/>
    <row r="512" ht="15.75" customHeight="1" s="194"/>
    <row r="513" ht="15.75" customHeight="1" s="194"/>
    <row r="514" ht="15.75" customHeight="1" s="194"/>
    <row r="515" ht="15.75" customHeight="1" s="194"/>
    <row r="516" ht="15.75" customHeight="1" s="194"/>
    <row r="517" ht="15.75" customHeight="1" s="194"/>
    <row r="518" ht="15.75" customHeight="1" s="194"/>
    <row r="519" ht="15.75" customHeight="1" s="194"/>
    <row r="520" ht="15.75" customHeight="1" s="194"/>
    <row r="521" ht="15.75" customHeight="1" s="194"/>
    <row r="522" ht="15.75" customHeight="1" s="194"/>
    <row r="523" ht="15.75" customHeight="1" s="194"/>
    <row r="524" ht="15.75" customHeight="1" s="194"/>
    <row r="525" ht="15.75" customHeight="1" s="194"/>
    <row r="526" ht="15.75" customHeight="1" s="194"/>
    <row r="527" ht="15.75" customHeight="1" s="194"/>
    <row r="528" ht="15.75" customHeight="1" s="194"/>
    <row r="529" ht="15.75" customHeight="1" s="194"/>
    <row r="530" ht="15.75" customHeight="1" s="194"/>
    <row r="531" ht="15.75" customHeight="1" s="194"/>
    <row r="532" ht="15.75" customHeight="1" s="194"/>
    <row r="533" ht="15.75" customHeight="1" s="194"/>
    <row r="534" ht="15.75" customHeight="1" s="194"/>
    <row r="535" ht="15.75" customHeight="1" s="194"/>
    <row r="536" ht="15.75" customHeight="1" s="194"/>
    <row r="537" ht="15.75" customHeight="1" s="194"/>
    <row r="538" ht="15.75" customHeight="1" s="194"/>
    <row r="539" ht="15.75" customHeight="1" s="194"/>
    <row r="540" ht="15.75" customHeight="1" s="194"/>
    <row r="541" ht="15.75" customHeight="1" s="194"/>
    <row r="542" ht="15.75" customHeight="1" s="194"/>
    <row r="543" ht="15.75" customHeight="1" s="194"/>
    <row r="544" ht="15.75" customHeight="1" s="194"/>
    <row r="545" ht="15.75" customHeight="1" s="194"/>
    <row r="546" ht="15.75" customHeight="1" s="194"/>
    <row r="547" ht="15.75" customHeight="1" s="194"/>
    <row r="548" ht="15.75" customHeight="1" s="194"/>
    <row r="549" ht="15.75" customHeight="1" s="194"/>
    <row r="550" ht="15.75" customHeight="1" s="194"/>
    <row r="551" ht="15.75" customHeight="1" s="194"/>
    <row r="552" ht="15.75" customHeight="1" s="194"/>
    <row r="553" ht="15.75" customHeight="1" s="194"/>
    <row r="554" ht="15.75" customHeight="1" s="194"/>
    <row r="555" ht="15.75" customHeight="1" s="194"/>
    <row r="556" ht="15.75" customHeight="1" s="194"/>
    <row r="557" ht="15.75" customHeight="1" s="194"/>
    <row r="558" ht="15.75" customHeight="1" s="194"/>
    <row r="559" ht="15.75" customHeight="1" s="194"/>
    <row r="560" ht="15.75" customHeight="1" s="194"/>
    <row r="561" ht="15.75" customHeight="1" s="194"/>
    <row r="562" ht="15.75" customHeight="1" s="194"/>
    <row r="563" ht="15.75" customHeight="1" s="194"/>
    <row r="564" ht="15.75" customHeight="1" s="194"/>
    <row r="565" ht="15.75" customHeight="1" s="194"/>
    <row r="566" ht="15.75" customHeight="1" s="194"/>
    <row r="567" ht="15.75" customHeight="1" s="194"/>
    <row r="568" ht="15.75" customHeight="1" s="194"/>
    <row r="569" ht="15.75" customHeight="1" s="194"/>
    <row r="570" ht="15.75" customHeight="1" s="194"/>
    <row r="571" ht="15.75" customHeight="1" s="194"/>
    <row r="572" ht="15.75" customHeight="1" s="194"/>
    <row r="573" ht="15.75" customHeight="1" s="194"/>
    <row r="574" ht="15.75" customHeight="1" s="194"/>
    <row r="575" ht="15.75" customHeight="1" s="194"/>
    <row r="576" ht="15.75" customHeight="1" s="194"/>
    <row r="577" ht="15.75" customHeight="1" s="194"/>
    <row r="578" ht="15.75" customHeight="1" s="194"/>
    <row r="579" ht="15.75" customHeight="1" s="194"/>
    <row r="580" ht="15.75" customHeight="1" s="194"/>
    <row r="581" ht="15.75" customHeight="1" s="194"/>
    <row r="582" ht="15.75" customHeight="1" s="194"/>
    <row r="583" ht="15.75" customHeight="1" s="194"/>
    <row r="584" ht="15.75" customHeight="1" s="194"/>
    <row r="585" ht="15.75" customHeight="1" s="194"/>
    <row r="586" ht="15.75" customHeight="1" s="194"/>
    <row r="587" ht="15.75" customHeight="1" s="194"/>
    <row r="588" ht="15.75" customHeight="1" s="194"/>
    <row r="589" ht="15.75" customHeight="1" s="194"/>
    <row r="590" ht="15.75" customHeight="1" s="194"/>
    <row r="591" ht="15.75" customHeight="1" s="194"/>
    <row r="592" ht="15.75" customHeight="1" s="194"/>
    <row r="593" ht="15.75" customHeight="1" s="194"/>
    <row r="594" ht="15.75" customHeight="1" s="194"/>
    <row r="595" ht="15.75" customHeight="1" s="194"/>
    <row r="596" ht="15.75" customHeight="1" s="194"/>
    <row r="597" ht="15.75" customHeight="1" s="194"/>
    <row r="598" ht="15.75" customHeight="1" s="194"/>
    <row r="599" ht="15.75" customHeight="1" s="194"/>
    <row r="600" ht="15.75" customHeight="1" s="194"/>
    <row r="601" ht="15.75" customHeight="1" s="194"/>
    <row r="602" ht="15.75" customHeight="1" s="194"/>
    <row r="603" ht="15.75" customHeight="1" s="194"/>
    <row r="604" ht="15.75" customHeight="1" s="194"/>
    <row r="605" ht="15.75" customHeight="1" s="194"/>
    <row r="606" ht="15.75" customHeight="1" s="194"/>
    <row r="607" ht="15.75" customHeight="1" s="194"/>
    <row r="608" ht="15.75" customHeight="1" s="194"/>
    <row r="609" ht="15.75" customHeight="1" s="194"/>
    <row r="610" ht="15.75" customHeight="1" s="194"/>
    <row r="611" ht="15.75" customHeight="1" s="194"/>
    <row r="612" ht="15.75" customHeight="1" s="194"/>
    <row r="613" ht="15.75" customHeight="1" s="194"/>
    <row r="614" ht="15.75" customHeight="1" s="194"/>
    <row r="615" ht="15.75" customHeight="1" s="194"/>
    <row r="616" ht="15.75" customHeight="1" s="194"/>
    <row r="617" ht="15.75" customHeight="1" s="194"/>
    <row r="618" ht="15.75" customHeight="1" s="194"/>
    <row r="619" ht="15.75" customHeight="1" s="194"/>
    <row r="620" ht="15.75" customHeight="1" s="194"/>
    <row r="621" ht="15.75" customHeight="1" s="194"/>
    <row r="622" ht="15.75" customHeight="1" s="194"/>
    <row r="623" ht="15.75" customHeight="1" s="194"/>
    <row r="624" ht="15.75" customHeight="1" s="194"/>
    <row r="625" ht="15.75" customHeight="1" s="194"/>
    <row r="626" ht="15.75" customHeight="1" s="194"/>
    <row r="627" ht="15.75" customHeight="1" s="194"/>
    <row r="628" ht="15.75" customHeight="1" s="194"/>
    <row r="629" ht="15.75" customHeight="1" s="194"/>
    <row r="630" ht="15.75" customHeight="1" s="194"/>
    <row r="631" ht="15.75" customHeight="1" s="194"/>
    <row r="632" ht="15.75" customHeight="1" s="194"/>
    <row r="633" ht="15.75" customHeight="1" s="194"/>
    <row r="634" ht="15.75" customHeight="1" s="194"/>
    <row r="635" ht="15.75" customHeight="1" s="194"/>
    <row r="636" ht="15.75" customHeight="1" s="194"/>
    <row r="637" ht="15.75" customHeight="1" s="194"/>
    <row r="638" ht="15.75" customHeight="1" s="194"/>
    <row r="639" ht="15.75" customHeight="1" s="194"/>
    <row r="640" ht="15.75" customHeight="1" s="194"/>
    <row r="641" ht="15.75" customHeight="1" s="194"/>
    <row r="642" ht="15.75" customHeight="1" s="194"/>
    <row r="643" ht="15.75" customHeight="1" s="194"/>
    <row r="644" ht="15.75" customHeight="1" s="194"/>
    <row r="645" ht="15.75" customHeight="1" s="194"/>
    <row r="646" ht="15.75" customHeight="1" s="194"/>
    <row r="647" ht="15.75" customHeight="1" s="194"/>
    <row r="648" ht="15.75" customHeight="1" s="194"/>
    <row r="649" ht="15.75" customHeight="1" s="194"/>
    <row r="650" ht="15.75" customHeight="1" s="194"/>
    <row r="651" ht="15.75" customHeight="1" s="194"/>
    <row r="652" ht="15.75" customHeight="1" s="194"/>
    <row r="653" ht="15.75" customHeight="1" s="194"/>
    <row r="654" ht="15.75" customHeight="1" s="194"/>
    <row r="655" ht="15.75" customHeight="1" s="194"/>
    <row r="656" ht="15.75" customHeight="1" s="194"/>
    <row r="657" ht="15.75" customHeight="1" s="194"/>
    <row r="658" ht="15.75" customHeight="1" s="194"/>
    <row r="659" ht="15.75" customHeight="1" s="194"/>
    <row r="660" ht="15.75" customHeight="1" s="194"/>
    <row r="661" ht="15.75" customHeight="1" s="194"/>
    <row r="662" ht="15.75" customHeight="1" s="194"/>
    <row r="663" ht="15.75" customHeight="1" s="194"/>
    <row r="664" ht="15.75" customHeight="1" s="194"/>
    <row r="665" ht="15.75" customHeight="1" s="194"/>
    <row r="666" ht="15.75" customHeight="1" s="194"/>
    <row r="667" ht="15.75" customHeight="1" s="194"/>
    <row r="668" ht="15.75" customHeight="1" s="194"/>
    <row r="669" ht="15.75" customHeight="1" s="194"/>
    <row r="670" ht="15.75" customHeight="1" s="194"/>
    <row r="671" ht="15.75" customHeight="1" s="194"/>
    <row r="672" ht="15.75" customHeight="1" s="194"/>
    <row r="673" ht="15.75" customHeight="1" s="194"/>
    <row r="674" ht="15.75" customHeight="1" s="194"/>
    <row r="675" ht="15.75" customHeight="1" s="194"/>
    <row r="676" ht="15.75" customHeight="1" s="194"/>
    <row r="677" ht="15.75" customHeight="1" s="194"/>
    <row r="678" ht="15.75" customHeight="1" s="194"/>
    <row r="679" ht="15.75" customHeight="1" s="194"/>
    <row r="680" ht="15.75" customHeight="1" s="194"/>
    <row r="681" ht="15.75" customHeight="1" s="194"/>
    <row r="682" ht="15.75" customHeight="1" s="194"/>
    <row r="683" ht="15.75" customHeight="1" s="194"/>
    <row r="684" ht="15.75" customHeight="1" s="194"/>
    <row r="685" ht="15.75" customHeight="1" s="194"/>
    <row r="686" ht="15.75" customHeight="1" s="194"/>
    <row r="687" ht="15.75" customHeight="1" s="194"/>
    <row r="688" ht="15.75" customHeight="1" s="194"/>
    <row r="689" ht="15.75" customHeight="1" s="194"/>
    <row r="690" ht="15.75" customHeight="1" s="194"/>
    <row r="691" ht="15.75" customHeight="1" s="194"/>
    <row r="692" ht="15.75" customHeight="1" s="194"/>
    <row r="693" ht="15.75" customHeight="1" s="194"/>
    <row r="694" ht="15.75" customHeight="1" s="194"/>
    <row r="695" ht="15.75" customHeight="1" s="194"/>
    <row r="696" ht="15.75" customHeight="1" s="194"/>
    <row r="697" ht="15.75" customHeight="1" s="194"/>
    <row r="698" ht="15.75" customHeight="1" s="194"/>
    <row r="699" ht="15.75" customHeight="1" s="194"/>
    <row r="700" ht="15.75" customHeight="1" s="194"/>
    <row r="701" ht="15.75" customHeight="1" s="194"/>
    <row r="702" ht="15.75" customHeight="1" s="194"/>
    <row r="703" ht="15.75" customHeight="1" s="194"/>
    <row r="704" ht="15.75" customHeight="1" s="194"/>
    <row r="705" ht="15.75" customHeight="1" s="194"/>
    <row r="706" ht="15.75" customHeight="1" s="194"/>
    <row r="707" ht="15.75" customHeight="1" s="194"/>
    <row r="708" ht="15.75" customHeight="1" s="194"/>
    <row r="709" ht="15.75" customHeight="1" s="194"/>
    <row r="710" ht="15.75" customHeight="1" s="194"/>
    <row r="711" ht="15.75" customHeight="1" s="194"/>
    <row r="712" ht="15.75" customHeight="1" s="194"/>
    <row r="713" ht="15.75" customHeight="1" s="194"/>
    <row r="714" ht="15.75" customHeight="1" s="194"/>
    <row r="715" ht="15.75" customHeight="1" s="194"/>
    <row r="716" ht="15.75" customHeight="1" s="194"/>
    <row r="717" ht="15.75" customHeight="1" s="194"/>
    <row r="718" ht="15.75" customHeight="1" s="194"/>
    <row r="719" ht="15.75" customHeight="1" s="194"/>
    <row r="720" ht="15.75" customHeight="1" s="194"/>
    <row r="721" ht="15.75" customHeight="1" s="194"/>
    <row r="722" ht="15.75" customHeight="1" s="194"/>
    <row r="723" ht="15.75" customHeight="1" s="194"/>
    <row r="724" ht="15.75" customHeight="1" s="194"/>
    <row r="725" ht="15.75" customHeight="1" s="194"/>
    <row r="726" ht="15.75" customHeight="1" s="194"/>
    <row r="727" ht="15.75" customHeight="1" s="194"/>
    <row r="728" ht="15.75" customHeight="1" s="194"/>
    <row r="729" ht="15.75" customHeight="1" s="194"/>
    <row r="730" ht="15.75" customHeight="1" s="194"/>
    <row r="731" ht="15.75" customHeight="1" s="194"/>
    <row r="732" ht="15.75" customHeight="1" s="194"/>
    <row r="733" ht="15.75" customHeight="1" s="194"/>
    <row r="734" ht="15.75" customHeight="1" s="194"/>
    <row r="735" ht="15.75" customHeight="1" s="194"/>
    <row r="736" ht="15.75" customHeight="1" s="194"/>
    <row r="737" ht="15.75" customHeight="1" s="194"/>
    <row r="738" ht="15.75" customHeight="1" s="194"/>
    <row r="739" ht="15.75" customHeight="1" s="194"/>
    <row r="740" ht="15.75" customHeight="1" s="194"/>
    <row r="741" ht="15.75" customHeight="1" s="194"/>
    <row r="742" ht="15.75" customHeight="1" s="194"/>
    <row r="743" ht="15.75" customHeight="1" s="194"/>
    <row r="744" ht="15.75" customHeight="1" s="194"/>
    <row r="745" ht="15.75" customHeight="1" s="194"/>
    <row r="746" ht="15.75" customHeight="1" s="194"/>
    <row r="747" ht="15.75" customHeight="1" s="194"/>
    <row r="748" ht="15.75" customHeight="1" s="194"/>
    <row r="749" ht="15.75" customHeight="1" s="194"/>
    <row r="750" ht="15.75" customHeight="1" s="194"/>
    <row r="751" ht="15.75" customHeight="1" s="194"/>
    <row r="752" ht="15.75" customHeight="1" s="194"/>
    <row r="753" ht="15.75" customHeight="1" s="194"/>
    <row r="754" ht="15.75" customHeight="1" s="194"/>
    <row r="755" ht="15.75" customHeight="1" s="194"/>
    <row r="756" ht="15.75" customHeight="1" s="194"/>
    <row r="757" ht="15.75" customHeight="1" s="194"/>
    <row r="758" ht="15.75" customHeight="1" s="194"/>
    <row r="759" ht="15.75" customHeight="1" s="194"/>
    <row r="760" ht="15.75" customHeight="1" s="194"/>
    <row r="761" ht="15.75" customHeight="1" s="194"/>
    <row r="762" ht="15.75" customHeight="1" s="194"/>
    <row r="763" ht="15.75" customHeight="1" s="194"/>
    <row r="764" ht="15.75" customHeight="1" s="194"/>
    <row r="765" ht="15.75" customHeight="1" s="194"/>
    <row r="766" ht="15.75" customHeight="1" s="194"/>
    <row r="767" ht="15.75" customHeight="1" s="194"/>
    <row r="768" ht="15.75" customHeight="1" s="194"/>
    <row r="769" ht="15.75" customHeight="1" s="194"/>
    <row r="770" ht="15.75" customHeight="1" s="194"/>
    <row r="771" ht="15.75" customHeight="1" s="194"/>
    <row r="772" ht="15.75" customHeight="1" s="194"/>
    <row r="773" ht="15.75" customHeight="1" s="194"/>
    <row r="774" ht="15.75" customHeight="1" s="194"/>
    <row r="775" ht="15.75" customHeight="1" s="194"/>
    <row r="776" ht="15.75" customHeight="1" s="194"/>
    <row r="777" ht="15.75" customHeight="1" s="194"/>
    <row r="778" ht="15.75" customHeight="1" s="194"/>
    <row r="779" ht="15.75" customHeight="1" s="194"/>
    <row r="780" ht="15.75" customHeight="1" s="194"/>
    <row r="781" ht="15.75" customHeight="1" s="194"/>
    <row r="782" ht="15.75" customHeight="1" s="194"/>
    <row r="783" ht="15.75" customHeight="1" s="194"/>
    <row r="784" ht="15.75" customHeight="1" s="194"/>
    <row r="785" ht="15.75" customHeight="1" s="194"/>
    <row r="786" ht="15.75" customHeight="1" s="194"/>
    <row r="787" ht="15.75" customHeight="1" s="194"/>
    <row r="788" ht="15.75" customHeight="1" s="194"/>
    <row r="789" ht="15.75" customHeight="1" s="194"/>
    <row r="790" ht="15.75" customHeight="1" s="194"/>
    <row r="791" ht="15.75" customHeight="1" s="194"/>
    <row r="792" ht="15.75" customHeight="1" s="194"/>
    <row r="793" ht="15.75" customHeight="1" s="194"/>
    <row r="794" ht="15.75" customHeight="1" s="194"/>
    <row r="795" ht="15.75" customHeight="1" s="194"/>
    <row r="796" ht="15.75" customHeight="1" s="194"/>
    <row r="797" ht="15.75" customHeight="1" s="194"/>
    <row r="798" ht="15.75" customHeight="1" s="194"/>
    <row r="799" ht="15.75" customHeight="1" s="194"/>
    <row r="800" ht="15.75" customHeight="1" s="194"/>
    <row r="801" ht="15.75" customHeight="1" s="194"/>
    <row r="802" ht="15.75" customHeight="1" s="194"/>
    <row r="803" ht="15.75" customHeight="1" s="194"/>
    <row r="804" ht="15.75" customHeight="1" s="194"/>
    <row r="805" ht="15.75" customHeight="1" s="194"/>
    <row r="806" ht="15.75" customHeight="1" s="194"/>
    <row r="807" ht="15.75" customHeight="1" s="194"/>
    <row r="808" ht="15.75" customHeight="1" s="194"/>
    <row r="809" ht="15.75" customHeight="1" s="194"/>
    <row r="810" ht="15.75" customHeight="1" s="194"/>
    <row r="811" ht="15.75" customHeight="1" s="194"/>
    <row r="812" ht="15.75" customHeight="1" s="194"/>
    <row r="813" ht="15.75" customHeight="1" s="194"/>
    <row r="814" ht="15.75" customHeight="1" s="194"/>
    <row r="815" ht="15.75" customHeight="1" s="194"/>
    <row r="816" ht="15.75" customHeight="1" s="194"/>
    <row r="817" ht="15.75" customHeight="1" s="194"/>
    <row r="818" ht="15.75" customHeight="1" s="194"/>
    <row r="819" ht="15.75" customHeight="1" s="194"/>
    <row r="820" ht="15.75" customHeight="1" s="194"/>
    <row r="821" ht="15.75" customHeight="1" s="194"/>
    <row r="822" ht="15.75" customHeight="1" s="194"/>
    <row r="823" ht="15.75" customHeight="1" s="194"/>
    <row r="824" ht="15.75" customHeight="1" s="194"/>
    <row r="825" ht="15.75" customHeight="1" s="194"/>
    <row r="826" ht="15.75" customHeight="1" s="194"/>
    <row r="827" ht="15.75" customHeight="1" s="194"/>
    <row r="828" ht="15.75" customHeight="1" s="194"/>
    <row r="829" ht="15.75" customHeight="1" s="194"/>
    <row r="830" ht="15.75" customHeight="1" s="194"/>
    <row r="831" ht="15.75" customHeight="1" s="194"/>
    <row r="832" ht="15.75" customHeight="1" s="194"/>
    <row r="833" ht="15.75" customHeight="1" s="194"/>
    <row r="834" ht="15.75" customHeight="1" s="194"/>
    <row r="835" ht="15.75" customHeight="1" s="194"/>
    <row r="836" ht="15.75" customHeight="1" s="194"/>
    <row r="837" ht="15.75" customHeight="1" s="194"/>
    <row r="838" ht="15.75" customHeight="1" s="194"/>
    <row r="839" ht="15.75" customHeight="1" s="194"/>
    <row r="840" ht="15.75" customHeight="1" s="194"/>
    <row r="841" ht="15.75" customHeight="1" s="194"/>
    <row r="842" ht="15.75" customHeight="1" s="194"/>
    <row r="843" ht="15.75" customHeight="1" s="194"/>
    <row r="844" ht="15.75" customHeight="1" s="194"/>
    <row r="845" ht="15.75" customHeight="1" s="194"/>
    <row r="846" ht="15.75" customHeight="1" s="194"/>
    <row r="847" ht="15.75" customHeight="1" s="194"/>
    <row r="848" ht="15.75" customHeight="1" s="194"/>
    <row r="849" ht="15.75" customHeight="1" s="194"/>
    <row r="850" ht="15.75" customHeight="1" s="194"/>
    <row r="851" ht="15.75" customHeight="1" s="194"/>
    <row r="852" ht="15.75" customHeight="1" s="194"/>
    <row r="853" ht="15.75" customHeight="1" s="194"/>
    <row r="854" ht="15.75" customHeight="1" s="194"/>
    <row r="855" ht="15.75" customHeight="1" s="194"/>
    <row r="856" ht="15.75" customHeight="1" s="194"/>
    <row r="857" ht="15.75" customHeight="1" s="194"/>
    <row r="858" ht="15.75" customHeight="1" s="194"/>
    <row r="859" ht="15.75" customHeight="1" s="194"/>
    <row r="860" ht="15.75" customHeight="1" s="194"/>
    <row r="861" ht="15.75" customHeight="1" s="194"/>
    <row r="862" ht="15.75" customHeight="1" s="194"/>
    <row r="863" ht="15.75" customHeight="1" s="194"/>
    <row r="864" ht="15.75" customHeight="1" s="194"/>
    <row r="865" ht="15.75" customHeight="1" s="194"/>
    <row r="866" ht="15.75" customHeight="1" s="194"/>
    <row r="867" ht="15.75" customHeight="1" s="194"/>
    <row r="868" ht="15.75" customHeight="1" s="194"/>
    <row r="869" ht="15.75" customHeight="1" s="194"/>
    <row r="870" ht="15.75" customHeight="1" s="194"/>
    <row r="871" ht="15.75" customHeight="1" s="194"/>
    <row r="872" ht="15.75" customHeight="1" s="194"/>
    <row r="873" ht="15.75" customHeight="1" s="194"/>
    <row r="874" ht="15.75" customHeight="1" s="194"/>
    <row r="875" ht="15.75" customHeight="1" s="194"/>
    <row r="876" ht="15.75" customHeight="1" s="194"/>
    <row r="877" ht="15.75" customHeight="1" s="194"/>
    <row r="878" ht="15.75" customHeight="1" s="194"/>
    <row r="879" ht="15.75" customHeight="1" s="194"/>
    <row r="880" ht="15.75" customHeight="1" s="194"/>
    <row r="881" ht="15.75" customHeight="1" s="194"/>
    <row r="882" ht="15.75" customHeight="1" s="194"/>
    <row r="883" ht="15.75" customHeight="1" s="194"/>
    <row r="884" ht="15.75" customHeight="1" s="194"/>
    <row r="885" ht="15.75" customHeight="1" s="194"/>
    <row r="886" ht="15.75" customHeight="1" s="194"/>
    <row r="887" ht="15.75" customHeight="1" s="194"/>
    <row r="888" ht="15.75" customHeight="1" s="194"/>
    <row r="889" ht="15.75" customHeight="1" s="194"/>
    <row r="890" ht="15.75" customHeight="1" s="194"/>
    <row r="891" ht="15.75" customHeight="1" s="194"/>
    <row r="892" ht="15.75" customHeight="1" s="194"/>
    <row r="893" ht="15.75" customHeight="1" s="194"/>
    <row r="894" ht="15.75" customHeight="1" s="194"/>
    <row r="895" ht="15.75" customHeight="1" s="194"/>
    <row r="896" ht="15.75" customHeight="1" s="194"/>
    <row r="897" ht="15.75" customHeight="1" s="194"/>
    <row r="898" ht="15.75" customHeight="1" s="194"/>
    <row r="899" ht="15.75" customHeight="1" s="194"/>
    <row r="900" ht="15.75" customHeight="1" s="194"/>
    <row r="901" ht="15.75" customHeight="1" s="194"/>
    <row r="902" ht="15.75" customHeight="1" s="194"/>
    <row r="903" ht="15.75" customHeight="1" s="194"/>
    <row r="904" ht="15.75" customHeight="1" s="194"/>
    <row r="905" ht="15.75" customHeight="1" s="194"/>
    <row r="906" ht="15.75" customHeight="1" s="194"/>
    <row r="907" ht="15.75" customHeight="1" s="194"/>
    <row r="908" ht="15.75" customHeight="1" s="194"/>
    <row r="909" ht="15.75" customHeight="1" s="194"/>
    <row r="910" ht="15.75" customHeight="1" s="194"/>
    <row r="911" ht="15.75" customHeight="1" s="194"/>
    <row r="912" ht="15.75" customHeight="1" s="194"/>
    <row r="913" ht="15.75" customHeight="1" s="194"/>
    <row r="914" ht="15.75" customHeight="1" s="194"/>
    <row r="915" ht="15.75" customHeight="1" s="194"/>
    <row r="916" ht="15.75" customHeight="1" s="194"/>
    <row r="917" ht="15.75" customHeight="1" s="194"/>
    <row r="918" ht="15.75" customHeight="1" s="194"/>
    <row r="919" ht="15.75" customHeight="1" s="194"/>
    <row r="920" ht="15.75" customHeight="1" s="194"/>
    <row r="921" ht="15.75" customHeight="1" s="194"/>
    <row r="922" ht="15.75" customHeight="1" s="194"/>
    <row r="923" ht="15.75" customHeight="1" s="194"/>
    <row r="924" ht="15.75" customHeight="1" s="194"/>
    <row r="925" ht="15.75" customHeight="1" s="194"/>
    <row r="926" ht="15.75" customHeight="1" s="194"/>
    <row r="927" ht="15.75" customHeight="1" s="194"/>
    <row r="928" ht="15.75" customHeight="1" s="194"/>
    <row r="929" ht="15.75" customHeight="1" s="194"/>
    <row r="930" ht="15.75" customHeight="1" s="194"/>
    <row r="931" ht="15.75" customHeight="1" s="194"/>
    <row r="932" ht="15.75" customHeight="1" s="194"/>
    <row r="933" ht="15.75" customHeight="1" s="194"/>
    <row r="934" ht="15.75" customHeight="1" s="194"/>
    <row r="935" ht="15.75" customHeight="1" s="194"/>
    <row r="936" ht="15.75" customHeight="1" s="194"/>
    <row r="937" ht="15.75" customHeight="1" s="194"/>
    <row r="938" ht="15.75" customHeight="1" s="194"/>
    <row r="939" ht="15.75" customHeight="1" s="194"/>
    <row r="940" ht="15.75" customHeight="1" s="194"/>
    <row r="941" ht="15.75" customHeight="1" s="194"/>
    <row r="942" ht="15.75" customHeight="1" s="194"/>
    <row r="943" ht="15.75" customHeight="1" s="194"/>
    <row r="944" ht="15.75" customHeight="1" s="194"/>
    <row r="945" ht="15.75" customHeight="1" s="194"/>
    <row r="946" ht="15.75" customHeight="1" s="194"/>
    <row r="947" ht="15.75" customHeight="1" s="194"/>
    <row r="948" ht="15.75" customHeight="1" s="194"/>
    <row r="949" ht="15.75" customHeight="1" s="194"/>
    <row r="950" ht="15.75" customHeight="1" s="194"/>
    <row r="951" ht="15.75" customHeight="1" s="194"/>
    <row r="952" ht="15.75" customHeight="1" s="194"/>
    <row r="953" ht="15.75" customHeight="1" s="194"/>
    <row r="954" ht="15.75" customHeight="1" s="194"/>
    <row r="955" ht="15.75" customHeight="1" s="194"/>
    <row r="956" ht="15.75" customHeight="1" s="194"/>
    <row r="957" ht="15.75" customHeight="1" s="194"/>
    <row r="958" ht="15.75" customHeight="1" s="194"/>
    <row r="959" ht="15.75" customHeight="1" s="194"/>
    <row r="960" ht="15.75" customHeight="1" s="194"/>
    <row r="961" ht="15.75" customHeight="1" s="194"/>
    <row r="962" ht="15.75" customHeight="1" s="194"/>
    <row r="963" ht="15.75" customHeight="1" s="194"/>
    <row r="964" ht="15.75" customHeight="1" s="194"/>
    <row r="965" ht="15.75" customHeight="1" s="194"/>
    <row r="966" ht="15.75" customHeight="1" s="194"/>
    <row r="967" ht="15.75" customHeight="1" s="194"/>
    <row r="968" ht="15.75" customHeight="1" s="194"/>
    <row r="969" ht="15.75" customHeight="1" s="194"/>
    <row r="970" ht="15.75" customHeight="1" s="194"/>
    <row r="971" ht="15.75" customHeight="1" s="194"/>
    <row r="972" ht="15.75" customHeight="1" s="194"/>
    <row r="973" ht="15.75" customHeight="1" s="194"/>
    <row r="974" ht="15.75" customHeight="1" s="194"/>
    <row r="975" ht="15.75" customHeight="1" s="194"/>
    <row r="976" ht="15.75" customHeight="1" s="194"/>
    <row r="977" ht="15.75" customHeight="1" s="194"/>
    <row r="978" ht="15.75" customHeight="1" s="194"/>
    <row r="979" ht="15.75" customHeight="1" s="194"/>
    <row r="980" ht="15.75" customHeight="1" s="194"/>
    <row r="981" ht="15.75" customHeight="1" s="194"/>
    <row r="982" ht="15.75" customHeight="1" s="194"/>
    <row r="983" ht="15.75" customHeight="1" s="194"/>
    <row r="984" ht="15.75" customHeight="1" s="194"/>
    <row r="985" ht="15.75" customHeight="1" s="194"/>
    <row r="986" ht="15.75" customHeight="1" s="194"/>
    <row r="987" ht="15.75" customHeight="1" s="194"/>
    <row r="988" ht="15.75" customHeight="1" s="194"/>
    <row r="989" ht="15.75" customHeight="1" s="194"/>
    <row r="990" ht="15.75" customHeight="1" s="194"/>
    <row r="991" ht="15.75" customHeight="1" s="194"/>
    <row r="992" ht="15.75" customHeight="1" s="194"/>
    <row r="993" ht="15.75" customHeight="1" s="194"/>
    <row r="994" ht="15.75" customHeight="1" s="194"/>
    <row r="995" ht="15.75" customHeight="1" s="194"/>
    <row r="996" ht="15.75" customHeight="1" s="194"/>
    <row r="997" ht="15.75" customHeight="1" s="194"/>
    <row r="998" ht="15.75" customHeight="1" s="194"/>
    <row r="999" ht="15.75" customHeight="1" s="194"/>
    <row r="1000" ht="15.75" customHeight="1" s="194"/>
  </sheetData>
  <pageMargins left="0.75" right="0.75" top="1" bottom="1" header="0" footer="0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1:E16"/>
  <sheetViews>
    <sheetView showGridLines="0" workbookViewId="0">
      <selection activeCell="A1" sqref="A1"/>
    </sheetView>
  </sheetViews>
  <sheetFormatPr baseColWidth="8" defaultColWidth="14.43" defaultRowHeight="15" customHeight="1" outlineLevelRow="1"/>
  <cols>
    <col width="3" customWidth="1" style="194" min="1" max="1"/>
    <col width="52" customWidth="1" style="194" min="2" max="2"/>
    <col width="20" customWidth="1" style="194" min="3" max="3"/>
    <col width="14" customWidth="1" style="194" min="4" max="4"/>
    <col width="62" customWidth="1" style="194" min="5" max="5"/>
    <col width="8.710000000000001" customWidth="1" style="194" min="6" max="26"/>
  </cols>
  <sheetData>
    <row r="1"/>
    <row r="2">
      <c r="B2" s="90" t="inlineStr">
        <is>
          <t>Проверки</t>
        </is>
      </c>
    </row>
    <row r="3">
      <c r="B3" s="2" t="inlineStr">
        <is>
          <t>Их намеренно немного. Каждая ловит ошибку, из-за которой модели нельзя верить.</t>
        </is>
      </c>
    </row>
    <row r="4"/>
    <row r="5">
      <c r="B5" s="185" t="inlineStr">
        <is>
          <t>Что проверяем</t>
        </is>
      </c>
      <c r="C5" s="185" t="inlineStr">
        <is>
          <t>Расхождение</t>
        </is>
      </c>
      <c r="D5" s="185" t="inlineStr">
        <is>
          <t>Статус</t>
        </is>
      </c>
      <c r="E5" s="185" t="inlineStr">
        <is>
          <t>Почему это важно</t>
        </is>
      </c>
    </row>
    <row r="6">
      <c r="B6" s="56" t="inlineStr">
        <is>
          <t>Деньги сходятся: остаток = начало + поток</t>
        </is>
      </c>
      <c r="C6" s="186">
        <f>SUMPRODUCT(ABS('02_Результат'!L59:'02_Результат'!BS59-'02_Результат'!L56:'02_Результат'!BS56+'06_Деньги'!L18:'06_Деньги'!BS18))</f>
        <v/>
      </c>
      <c r="D6" s="130">
        <f>IF(ABS(C6)&lt;0.01,"OK","ПРОВЕРИТЬ")</f>
        <v/>
      </c>
      <c r="E6" s="107" t="inlineStr">
        <is>
          <t>Если не ноль, деньги в модели берутся из воздуха</t>
        </is>
      </c>
    </row>
    <row r="7">
      <c r="B7" s="56" t="inlineStr">
        <is>
          <t>Склад не уходит в минус</t>
        </is>
      </c>
      <c r="C7" s="186">
        <f>SUMIF('06_Деньги'!L11:'06_Деньги'!BS11,"&lt;0")</f>
        <v/>
      </c>
      <c r="D7" s="130">
        <f>IF(ABS(C7)&lt;0.01,"OK","ПРОВЕРИТЬ")</f>
        <v/>
      </c>
      <c r="E7" s="107" t="inlineStr">
        <is>
          <t>Минус означает, что сети не хватает формы</t>
        </is>
      </c>
    </row>
    <row r="8">
      <c r="B8" s="56" t="inlineStr">
        <is>
          <t>Займ не уходит в минус</t>
        </is>
      </c>
      <c r="C8" s="186">
        <f>SUMIF('06_Деньги'!L19:'06_Деньги'!BS19,"&lt;0")</f>
        <v/>
      </c>
      <c r="D8" s="130">
        <f>IF(ABS(C8)&lt;0.01,"OK","ПРОВЕРИТЬ")</f>
        <v/>
      </c>
      <c r="E8" s="107" t="inlineStr">
        <is>
          <t>Минус означает переплату клубу</t>
        </is>
      </c>
    </row>
    <row r="9">
      <c r="B9" s="56" t="inlineStr">
        <is>
          <t>Партнёров не больше, чем школ</t>
        </is>
      </c>
      <c r="C9" s="186">
        <f>SUMPRODUCT(--('03_Сеть'!L61:'03_Сеть'!BS61&gt;'03_Сеть'!L60:'03_Сеть'!BS60))</f>
        <v/>
      </c>
      <c r="D9" s="130">
        <f>IF(ABS(C9)&lt;0.01,"OK","ПРОВЕРИТЬ")</f>
        <v/>
      </c>
      <c r="E9" s="107" t="inlineStr">
        <is>
          <t>Один партнёр держит несколько школ, обратное невозможно</t>
        </is>
      </c>
    </row>
    <row r="10">
      <c r="B10" s="56" t="inlineStr">
        <is>
          <t>Дети всего = действующая сеть + новые школы</t>
        </is>
      </c>
      <c r="C10" s="186">
        <f>SUMPRODUCT(ABS('03_Сеть'!L62:'03_Сеть'!BS62-'03_Сеть'!L20:'03_Сеть'!BS20-'03_Сеть'!L57:'03_Сеть'!BS57))</f>
        <v/>
      </c>
      <c r="D10" s="130">
        <f>IF(ABS(C10)&lt;0.01,"OK","ПРОВЕРИТЬ")</f>
        <v/>
      </c>
      <c r="E10" s="107" t="inlineStr">
        <is>
          <t>Сумма частей должна давать целое</t>
        </is>
      </c>
    </row>
    <row r="11">
      <c r="B11" s="56" t="inlineStr">
        <is>
          <t>История: если включена, факт сезона 25/26 заполнен</t>
        </is>
      </c>
      <c r="C11" s="186">
        <f>IF(УчитыватьИсторию&lt;&gt;"Да",0,COUNTIF('01_Вводные'!$B$327:$B$339,0))</f>
        <v/>
      </c>
      <c r="D11" s="130">
        <f>IF(ABS(C11)&lt;0.01,"OK","ПРОВЕРИТЬ")</f>
        <v/>
      </c>
      <c r="E11" s="107" t="inlineStr">
        <is>
          <t>Включённая история с нулями в факте молча занижает итог за шесть сезонов. Заполните раздел 17 листа вводных или выключите историю</t>
        </is>
      </c>
    </row>
    <row r="12">
      <c r="B12" s="56" t="inlineStr">
        <is>
          <t>Порог возврата займа не выше целевого запаса</t>
        </is>
      </c>
      <c r="C12" s="186">
        <f>MAX(0,ЗапасДляЗайма-ЗапасМес)</f>
        <v/>
      </c>
      <c r="D12" s="130">
        <f>IF(ABS(C12)&lt;0.01,"OK","ПРОВЕРИТЬ")</f>
        <v/>
      </c>
      <c r="E12" s="107" t="inlineStr">
        <is>
          <t>Если порог выше цели, склад до него не дорастает и займ клубу перестаёт гаситься вовсе: при цели 3 и пороге 4 за пять лет возвращается 6 млн из 50</t>
        </is>
      </c>
    </row>
    <row r="13">
      <c r="B13" s="56" t="inlineStr">
        <is>
          <t>EBITDA не равна денежному потоку</t>
        </is>
      </c>
      <c r="C13" s="186">
        <f>IF(ABS(SUM('02_Результат'!L33:'02_Результат'!BS33)-SUM('02_Результат'!L58:'02_Результат'!BS58))&lt;1,1,0)</f>
        <v/>
      </c>
      <c r="D13" s="130">
        <f>IF(ABS(C13)&lt;0.01,"OK","ПРОВЕРИТЬ")</f>
        <v/>
      </c>
      <c r="E13" s="107" t="inlineStr">
        <is>
          <t>Совпадение означало бы, что БДР подменили БДДС</t>
        </is>
      </c>
    </row>
    <row r="14">
      <c r="B14" s="207" t="inlineStr">
        <is>
          <t>Вводные не ушли в минус</t>
        </is>
      </c>
      <c r="C14" s="186">
        <f>SUMPRODUCT(--ISNUMBER('01_Вводные'!$B$5:$B$339),--(LEFT('01_Вводные'!$C$5:$C$339,3)&lt;&gt;"₽ ±"),--('01_Вводные'!$B$5:$B$339&lt;0))+SUMPRODUCT(--ISNUMBER('01_Вводные'!$B$372:$B$376),--(LEFT('01_Вводные'!$C$372:$C$376,3)&lt;&gt;"₽ ±"),--('01_Вводные'!$B$372:$B$376&lt;0))</f>
        <v/>
      </c>
      <c r="D14" s="130">
        <f>IF(ABS(C14)&lt;0.5,"OK","ПРОВЕРИТЬ")</f>
        <v/>
      </c>
      <c r="E14" s="107" t="inlineStr">
        <is>
          <t>Отрицательная ставка, цена или количество тихо ломают расчёт. В Google Таблицах запрет на ввод импорт не переживает, а эта проверка переживает</t>
        </is>
      </c>
    </row>
    <row r="15">
      <c r="B15" s="207" t="inlineStr">
        <is>
          <t>Доли и ставки не больше 100 %</t>
        </is>
      </c>
      <c r="C15" s="186">
        <f>SUMPRODUCT(--ISNUMBER('01_Вводные'!$B$5:$B$339),--(LEFT('01_Вводные'!$C$5:$C$339,1)="%"),--('01_Вводные'!$B$5:$B$339&gt;1))+SUMPRODUCT(--ISNUMBER('01_Вводные'!$B$372:$B$376),--(LEFT('01_Вводные'!$C$372:$C$376,1)="%"),--('01_Вводные'!$B$372:$B$376&gt;1))</f>
        <v/>
      </c>
      <c r="D15" s="130">
        <f>IF(ABS(C15)&lt;0.5,"OK","ПРОВЕРИТЬ")</f>
        <v/>
      </c>
      <c r="E15" s="107" t="inlineStr">
        <is>
          <t>Доля больше единицы означает, что процент введён как 35 вместо 0,35 — самая частая ошибка ввода. Проверяются все строки, у которых единица измерения начинается с процента</t>
        </is>
      </c>
    </row>
    <row r="16">
      <c r="B16" s="207" t="inlineStr">
        <is>
          <t>Шкала роялти ФК согласована</t>
        </is>
      </c>
      <c r="C16" s="186">
        <f>IF(AND(ДоляФКРоялти&lt;=ДоляФКРоялти2,ДоляФКРоялти2&lt;=ДоляФКРоялти3,ДатаФКСтупень2&lt;ДатаФКСтупень3),0,1)</f>
        <v/>
      </c>
      <c r="D16" s="130">
        <f>IF(C16=0,"OK","ПРОВЕРИТЬ")</f>
        <v/>
      </c>
      <c r="E16" s="107" t="inlineStr">
        <is>
          <t>Ставки ФК по договору только растут, а дата второй ступени раньше третьей. Перепутанные местами значения дали бы тихо заниженную выплату клубу.</t>
        </is>
      </c>
    </row>
    <row r="21" ht="15.75" customHeight="1" s="194"/>
    <row r="22" ht="15.75" customHeight="1" s="194"/>
    <row r="23" ht="15.75" customHeight="1" s="194"/>
    <row r="24" ht="15.75" customHeight="1" s="194"/>
    <row r="25" ht="15.75" customHeight="1" s="194"/>
    <row r="26" ht="15.75" customHeight="1" s="194"/>
    <row r="27" ht="15.75" customHeight="1" s="194"/>
    <row r="28" ht="15.75" customHeight="1" s="194"/>
    <row r="29" ht="15.75" customHeight="1" s="194"/>
    <row r="30" ht="15.75" customHeight="1" s="194"/>
    <row r="31" ht="15.75" customHeight="1" s="194"/>
    <row r="32" ht="15.75" customHeight="1" s="194"/>
    <row r="33" ht="15.75" customHeight="1" s="194"/>
    <row r="34" ht="15.75" customHeight="1" s="194"/>
    <row r="35" ht="15.75" customHeight="1" s="194"/>
    <row r="36" ht="15.75" customHeight="1" s="194"/>
    <row r="37" ht="15.75" customHeight="1" s="194"/>
    <row r="38" ht="15.75" customHeight="1" s="194"/>
    <row r="39" ht="15.75" customHeight="1" s="194"/>
    <row r="40" ht="15.75" customHeight="1" s="194"/>
    <row r="41" ht="15.75" customHeight="1" s="194"/>
    <row r="42" ht="15.75" customHeight="1" s="194"/>
    <row r="43" ht="15.75" customHeight="1" s="194"/>
    <row r="44" ht="15.75" customHeight="1" s="194"/>
    <row r="45" ht="15.75" customHeight="1" s="194"/>
    <row r="46" ht="15.75" customHeight="1" s="194"/>
    <row r="47" ht="15.75" customHeight="1" s="194"/>
    <row r="48" ht="15.75" customHeight="1" s="194"/>
    <row r="49" ht="15.75" customHeight="1" s="194"/>
    <row r="50" ht="15.75" customHeight="1" s="194"/>
    <row r="51" ht="15.75" customHeight="1" s="194"/>
    <row r="52" ht="15.75" customHeight="1" s="194"/>
    <row r="53" ht="15.75" customHeight="1" s="194"/>
    <row r="54" ht="15.75" customHeight="1" s="194"/>
    <row r="55" ht="15.75" customHeight="1" s="194"/>
    <row r="56" ht="15.75" customHeight="1" s="194"/>
    <row r="57" ht="15.75" customHeight="1" s="194"/>
    <row r="58" ht="15.75" customHeight="1" s="194"/>
    <row r="59" ht="15.75" customHeight="1" s="194"/>
    <row r="60" ht="15.75" customHeight="1" s="194"/>
    <row r="61" ht="15.75" customHeight="1" s="194"/>
    <row r="62" ht="15.75" customHeight="1" s="194"/>
    <row r="63" ht="15.75" customHeight="1" s="194"/>
    <row r="64" ht="15.75" customHeight="1" s="194"/>
    <row r="65" ht="15.75" customHeight="1" s="194"/>
    <row r="66" ht="15.75" customHeight="1" s="194"/>
    <row r="67" ht="15.75" customHeight="1" s="194"/>
    <row r="68" ht="15.75" customHeight="1" s="194"/>
    <row r="69" ht="15.75" customHeight="1" s="194"/>
    <row r="70" ht="15.75" customHeight="1" s="194"/>
    <row r="71" ht="15.75" customHeight="1" s="194"/>
    <row r="72" ht="15.75" customHeight="1" s="194"/>
    <row r="73" ht="15.75" customHeight="1" s="194"/>
    <row r="74" ht="15.75" customHeight="1" s="194"/>
    <row r="75" ht="15.75" customHeight="1" s="194"/>
    <row r="76" ht="15.75" customHeight="1" s="194"/>
    <row r="77" ht="15.75" customHeight="1" s="194"/>
    <row r="78" ht="15.75" customHeight="1" s="194"/>
    <row r="79" ht="15.75" customHeight="1" s="194"/>
    <row r="80" ht="15.75" customHeight="1" s="194"/>
    <row r="81" ht="15.75" customHeight="1" s="194"/>
    <row r="82" ht="15.75" customHeight="1" s="194"/>
    <row r="83" ht="15.75" customHeight="1" s="194"/>
    <row r="84" ht="15.75" customHeight="1" s="194"/>
    <row r="85" ht="15.75" customHeight="1" s="194"/>
    <row r="86" ht="15.75" customHeight="1" s="194"/>
    <row r="87" ht="15.75" customHeight="1" s="194"/>
    <row r="88" ht="15.75" customHeight="1" s="194"/>
    <row r="89" ht="15.75" customHeight="1" s="194"/>
    <row r="90" ht="15.75" customHeight="1" s="194"/>
    <row r="91" ht="15.75" customHeight="1" s="194"/>
    <row r="92" ht="15.75" customHeight="1" s="194"/>
    <row r="93" ht="15.75" customHeight="1" s="194"/>
    <row r="94" ht="15.75" customHeight="1" s="194"/>
    <row r="95" ht="15.75" customHeight="1" s="194"/>
    <row r="96" ht="15.75" customHeight="1" s="194"/>
    <row r="97" ht="15.75" customHeight="1" s="194"/>
    <row r="98" ht="15.75" customHeight="1" s="194"/>
    <row r="99" ht="15.75" customHeight="1" s="194"/>
    <row r="100" ht="15.75" customHeight="1" s="194"/>
    <row r="101" ht="15.75" customHeight="1" s="194"/>
    <row r="102" ht="15.75" customHeight="1" s="194"/>
    <row r="103" ht="15.75" customHeight="1" s="194"/>
    <row r="104" ht="15.75" customHeight="1" s="194"/>
    <row r="105" ht="15.75" customHeight="1" s="194"/>
    <row r="106" ht="15.75" customHeight="1" s="194"/>
    <row r="107" ht="15.75" customHeight="1" s="194"/>
    <row r="108" ht="15.75" customHeight="1" s="194"/>
    <row r="109" ht="15.75" customHeight="1" s="194"/>
    <row r="110" ht="15.75" customHeight="1" s="194"/>
    <row r="111" ht="15.75" customHeight="1" s="194"/>
    <row r="112" ht="15.75" customHeight="1" s="194"/>
    <row r="113" ht="15.75" customHeight="1" s="194"/>
    <row r="114" ht="15.75" customHeight="1" s="194"/>
    <row r="115" ht="15.75" customHeight="1" s="194"/>
    <row r="116" ht="15.75" customHeight="1" s="194"/>
    <row r="117" ht="15.75" customHeight="1" s="194"/>
    <row r="118" ht="15.75" customHeight="1" s="194"/>
    <row r="119" ht="15.75" customHeight="1" s="194"/>
    <row r="120" ht="15.75" customHeight="1" s="194"/>
    <row r="121" ht="15.75" customHeight="1" s="194"/>
    <row r="122" ht="15.75" customHeight="1" s="194"/>
    <row r="123" ht="15.75" customHeight="1" s="194"/>
    <row r="124" ht="15.75" customHeight="1" s="194"/>
    <row r="125" ht="15.75" customHeight="1" s="194"/>
    <row r="126" ht="15.75" customHeight="1" s="194"/>
    <row r="127" ht="15.75" customHeight="1" s="194"/>
    <row r="128" ht="15.75" customHeight="1" s="194"/>
    <row r="129" ht="15.75" customHeight="1" s="194"/>
    <row r="130" ht="15.75" customHeight="1" s="194"/>
    <row r="131" ht="15.75" customHeight="1" s="194"/>
    <row r="132" ht="15.75" customHeight="1" s="194"/>
    <row r="133" ht="15.75" customHeight="1" s="194"/>
    <row r="134" ht="15.75" customHeight="1" s="194"/>
    <row r="135" ht="15.75" customHeight="1" s="194"/>
    <row r="136" ht="15.75" customHeight="1" s="194"/>
    <row r="137" ht="15.75" customHeight="1" s="194"/>
    <row r="138" ht="15.75" customHeight="1" s="194"/>
    <row r="139" ht="15.75" customHeight="1" s="194"/>
    <row r="140" ht="15.75" customHeight="1" s="194"/>
    <row r="141" ht="15.75" customHeight="1" s="194"/>
    <row r="142" ht="15.75" customHeight="1" s="194"/>
    <row r="143" ht="15.75" customHeight="1" s="194"/>
    <row r="144" ht="15.75" customHeight="1" s="194"/>
    <row r="145" ht="15.75" customHeight="1" s="194"/>
    <row r="146" ht="15.75" customHeight="1" s="194"/>
    <row r="147" ht="15.75" customHeight="1" s="194"/>
    <row r="148" ht="15.75" customHeight="1" s="194"/>
    <row r="149" ht="15.75" customHeight="1" s="194"/>
    <row r="150" ht="15.75" customHeight="1" s="194"/>
    <row r="151" ht="15.75" customHeight="1" s="194"/>
    <row r="152" ht="15.75" customHeight="1" s="194"/>
    <row r="153" ht="15.75" customHeight="1" s="194"/>
    <row r="154" ht="15.75" customHeight="1" s="194"/>
    <row r="155" ht="15.75" customHeight="1" s="194"/>
    <row r="156" ht="15.75" customHeight="1" s="194"/>
    <row r="157" ht="15.75" customHeight="1" s="194"/>
    <row r="158" ht="15.75" customHeight="1" s="194"/>
    <row r="159" ht="15.75" customHeight="1" s="194"/>
    <row r="160" ht="15.75" customHeight="1" s="194"/>
    <row r="161" ht="15.75" customHeight="1" s="194"/>
    <row r="162" ht="15.75" customHeight="1" s="194"/>
    <row r="163" ht="15.75" customHeight="1" s="194"/>
    <row r="164" ht="15.75" customHeight="1" s="194"/>
    <row r="165" ht="15.75" customHeight="1" s="194"/>
    <row r="166" ht="15.75" customHeight="1" s="194"/>
    <row r="167" ht="15.75" customHeight="1" s="194"/>
    <row r="168" ht="15.75" customHeight="1" s="194"/>
    <row r="169" ht="15.75" customHeight="1" s="194"/>
    <row r="170" ht="15.75" customHeight="1" s="194"/>
    <row r="171" ht="15.75" customHeight="1" s="194"/>
    <row r="172" ht="15.75" customHeight="1" s="194"/>
    <row r="173" ht="15.75" customHeight="1" s="194"/>
    <row r="174" ht="15.75" customHeight="1" s="194"/>
    <row r="175" ht="15.75" customHeight="1" s="194"/>
    <row r="176" ht="15.75" customHeight="1" s="194"/>
    <row r="177" ht="15.75" customHeight="1" s="194"/>
    <row r="178" ht="15.75" customHeight="1" s="194"/>
    <row r="179" ht="15.75" customHeight="1" s="194"/>
    <row r="180" ht="15.75" customHeight="1" s="194"/>
    <row r="181" ht="15.75" customHeight="1" s="194"/>
    <row r="182" ht="15.75" customHeight="1" s="194"/>
    <row r="183" ht="15.75" customHeight="1" s="194"/>
    <row r="184" ht="15.75" customHeight="1" s="194"/>
    <row r="185" ht="15.75" customHeight="1" s="194"/>
    <row r="186" ht="15.75" customHeight="1" s="194"/>
    <row r="187" ht="15.75" customHeight="1" s="194"/>
    <row r="188" ht="15.75" customHeight="1" s="194"/>
    <row r="189" ht="15.75" customHeight="1" s="194"/>
    <row r="190" ht="15.75" customHeight="1" s="194"/>
    <row r="191" ht="15.75" customHeight="1" s="194"/>
    <row r="192" ht="15.75" customHeight="1" s="194"/>
    <row r="193" ht="15.75" customHeight="1" s="194"/>
    <row r="194" ht="15.75" customHeight="1" s="194"/>
    <row r="195" ht="15.75" customHeight="1" s="194"/>
    <row r="196" ht="15.75" customHeight="1" s="194"/>
    <row r="197" ht="15.75" customHeight="1" s="194"/>
    <row r="198" ht="15.75" customHeight="1" s="194"/>
    <row r="199" ht="15.75" customHeight="1" s="194"/>
    <row r="200" ht="15.75" customHeight="1" s="194"/>
    <row r="201" ht="15.75" customHeight="1" s="194"/>
    <row r="202" ht="15.75" customHeight="1" s="194"/>
    <row r="203" ht="15.75" customHeight="1" s="194"/>
    <row r="204" ht="15.75" customHeight="1" s="194"/>
    <row r="205" ht="15.75" customHeight="1" s="194"/>
    <row r="206" ht="15.75" customHeight="1" s="194"/>
    <row r="207" ht="15.75" customHeight="1" s="194"/>
    <row r="208" ht="15.75" customHeight="1" s="194"/>
    <row r="209" ht="15.75" customHeight="1" s="194"/>
    <row r="210" ht="15.75" customHeight="1" s="194"/>
    <row r="211" ht="15.75" customHeight="1" s="194"/>
    <row r="212" ht="15.75" customHeight="1" s="194"/>
    <row r="213" ht="15.75" customHeight="1" s="194"/>
    <row r="214" ht="15.75" customHeight="1" s="194"/>
    <row r="215" ht="15.75" customHeight="1" s="194"/>
    <row r="216" ht="15.75" customHeight="1" s="194"/>
    <row r="217" ht="15.75" customHeight="1" s="194"/>
    <row r="218" ht="15.75" customHeight="1" s="194"/>
    <row r="219" ht="15.75" customHeight="1" s="194"/>
    <row r="220" ht="15.75" customHeight="1" s="194"/>
    <row r="221" ht="15.75" customHeight="1" s="194"/>
    <row r="222" ht="15.75" customHeight="1" s="194"/>
    <row r="223" ht="15.75" customHeight="1" s="194"/>
    <row r="224" ht="15.75" customHeight="1" s="194"/>
    <row r="225" ht="15.75" customHeight="1" s="194"/>
    <row r="226" ht="15.75" customHeight="1" s="194"/>
    <row r="227" ht="15.75" customHeight="1" s="194"/>
    <row r="228" ht="15.75" customHeight="1" s="194"/>
    <row r="229" ht="15.75" customHeight="1" s="194"/>
    <row r="230" ht="15.75" customHeight="1" s="194"/>
    <row r="231" ht="15.75" customHeight="1" s="194"/>
    <row r="232" ht="15.75" customHeight="1" s="194"/>
    <row r="233" ht="15.75" customHeight="1" s="194"/>
    <row r="234" ht="15.75" customHeight="1" s="194"/>
    <row r="235" ht="15.75" customHeight="1" s="194"/>
    <row r="236" ht="15.75" customHeight="1" s="194"/>
    <row r="237" ht="15.75" customHeight="1" s="194"/>
    <row r="238" ht="15.75" customHeight="1" s="194"/>
    <row r="239" ht="15.75" customHeight="1" s="194"/>
    <row r="240" ht="15.75" customHeight="1" s="194"/>
    <row r="241" ht="15.75" customHeight="1" s="194"/>
    <row r="242" ht="15.75" customHeight="1" s="194"/>
    <row r="243" ht="15.75" customHeight="1" s="194"/>
    <row r="244" ht="15.75" customHeight="1" s="194"/>
    <row r="245" ht="15.75" customHeight="1" s="194"/>
    <row r="246" ht="15.75" customHeight="1" s="194"/>
    <row r="247" ht="15.75" customHeight="1" s="194"/>
    <row r="248" ht="15.75" customHeight="1" s="194"/>
    <row r="249" ht="15.75" customHeight="1" s="194"/>
    <row r="250" ht="15.75" customHeight="1" s="194"/>
    <row r="251" ht="15.75" customHeight="1" s="194"/>
    <row r="252" ht="15.75" customHeight="1" s="194"/>
    <row r="253" ht="15.75" customHeight="1" s="194"/>
    <row r="254" ht="15.75" customHeight="1" s="194"/>
    <row r="255" ht="15.75" customHeight="1" s="194"/>
    <row r="256" ht="15.75" customHeight="1" s="194"/>
    <row r="257" ht="15.75" customHeight="1" s="194"/>
    <row r="258" ht="15.75" customHeight="1" s="194"/>
    <row r="259" ht="15.75" customHeight="1" s="194"/>
    <row r="260" ht="15.75" customHeight="1" s="194"/>
    <row r="261" ht="15.75" customHeight="1" s="194"/>
    <row r="262" ht="15.75" customHeight="1" s="194"/>
    <row r="263" ht="15.75" customHeight="1" s="194"/>
    <row r="264" ht="15.75" customHeight="1" s="194"/>
    <row r="265" ht="15.75" customHeight="1" s="194"/>
    <row r="266" ht="15.75" customHeight="1" s="194"/>
    <row r="267" ht="15.75" customHeight="1" s="194"/>
    <row r="268" ht="15.75" customHeight="1" s="194"/>
    <row r="269" ht="15.75" customHeight="1" s="194"/>
    <row r="270" ht="15.75" customHeight="1" s="194"/>
    <row r="271" ht="15.75" customHeight="1" s="194"/>
    <row r="272" ht="15.75" customHeight="1" s="194"/>
    <row r="273" ht="15.75" customHeight="1" s="194"/>
    <row r="274" ht="15.75" customHeight="1" s="194"/>
    <row r="275" ht="15.75" customHeight="1" s="194"/>
    <row r="276" ht="15.75" customHeight="1" s="194"/>
    <row r="277" ht="15.75" customHeight="1" s="194"/>
    <row r="278" ht="15.75" customHeight="1" s="194"/>
    <row r="279" ht="15.75" customHeight="1" s="194"/>
    <row r="280" ht="15.75" customHeight="1" s="194"/>
    <row r="281" ht="15.75" customHeight="1" s="194"/>
    <row r="282" ht="15.75" customHeight="1" s="194"/>
    <row r="283" ht="15.75" customHeight="1" s="194"/>
    <row r="284" ht="15.75" customHeight="1" s="194"/>
    <row r="285" ht="15.75" customHeight="1" s="194"/>
    <row r="286" ht="15.75" customHeight="1" s="194"/>
    <row r="287" ht="15.75" customHeight="1" s="194"/>
    <row r="288" ht="15.75" customHeight="1" s="194"/>
    <row r="289" ht="15.75" customHeight="1" s="194"/>
    <row r="290" ht="15.75" customHeight="1" s="194"/>
    <row r="291" ht="15.75" customHeight="1" s="194"/>
    <row r="292" ht="15.75" customHeight="1" s="194"/>
    <row r="293" ht="15.75" customHeight="1" s="194"/>
    <row r="294" ht="15.75" customHeight="1" s="194"/>
    <row r="295" ht="15.75" customHeight="1" s="194"/>
    <row r="296" ht="15.75" customHeight="1" s="194"/>
    <row r="297" ht="15.75" customHeight="1" s="194"/>
    <row r="298" ht="15.75" customHeight="1" s="194"/>
    <row r="299" ht="15.75" customHeight="1" s="194"/>
    <row r="300" ht="15.75" customHeight="1" s="194"/>
    <row r="301" ht="15.75" customHeight="1" s="194"/>
    <row r="302" ht="15.75" customHeight="1" s="194"/>
    <row r="303" ht="15.75" customHeight="1" s="194"/>
    <row r="304" ht="15.75" customHeight="1" s="194"/>
    <row r="305" ht="15.75" customHeight="1" s="194"/>
    <row r="306" ht="15.75" customHeight="1" s="194"/>
    <row r="307" ht="15.75" customHeight="1" s="194"/>
    <row r="308" ht="15.75" customHeight="1" s="194"/>
    <row r="309" ht="15.75" customHeight="1" s="194"/>
    <row r="310" ht="15.75" customHeight="1" s="194"/>
    <row r="311" ht="15.75" customHeight="1" s="194"/>
    <row r="312" ht="15.75" customHeight="1" s="194"/>
    <row r="313" ht="15.75" customHeight="1" s="194"/>
    <row r="314" ht="15.75" customHeight="1" s="194"/>
    <row r="315" ht="15.75" customHeight="1" s="194"/>
    <row r="316" ht="15.75" customHeight="1" s="194"/>
    <row r="317" ht="15.75" customHeight="1" s="194"/>
    <row r="318" ht="15.75" customHeight="1" s="194"/>
    <row r="319" ht="15.75" customHeight="1" s="194"/>
    <row r="320" ht="15.75" customHeight="1" s="194"/>
    <row r="321" ht="15.75" customHeight="1" s="194"/>
    <row r="322" ht="15.75" customHeight="1" s="194"/>
    <row r="323" ht="15.75" customHeight="1" s="194"/>
    <row r="324" ht="15.75" customHeight="1" s="194"/>
    <row r="325" ht="15.75" customHeight="1" s="194"/>
    <row r="326" ht="15.75" customHeight="1" s="194"/>
    <row r="327" ht="15.75" customHeight="1" s="194"/>
    <row r="328" ht="15.75" customHeight="1" s="194"/>
    <row r="329" ht="15.75" customHeight="1" s="194"/>
    <row r="330" ht="15.75" customHeight="1" s="194"/>
    <row r="331" ht="15.75" customHeight="1" s="194"/>
    <row r="332" ht="15.75" customHeight="1" s="194"/>
    <row r="333" ht="15.75" customHeight="1" s="194"/>
    <row r="334" ht="15.75" customHeight="1" s="194"/>
    <row r="335" ht="15.75" customHeight="1" s="194"/>
    <row r="336" ht="15.75" customHeight="1" s="194"/>
    <row r="337" ht="15.75" customHeight="1" s="194"/>
    <row r="338" ht="15.75" customHeight="1" s="194"/>
    <row r="339" ht="15.75" customHeight="1" s="194"/>
    <row r="340" ht="15.75" customHeight="1" s="194"/>
    <row r="341" ht="15.75" customHeight="1" s="194"/>
    <row r="342" ht="15.75" customHeight="1" s="194"/>
    <row r="343" ht="15.75" customHeight="1" s="194"/>
    <row r="344" ht="15.75" customHeight="1" s="194"/>
    <row r="345" ht="15.75" customHeight="1" s="194"/>
    <row r="346" ht="15.75" customHeight="1" s="194"/>
    <row r="347" ht="15.75" customHeight="1" s="194"/>
    <row r="348" ht="15.75" customHeight="1" s="194"/>
    <row r="349" ht="15.75" customHeight="1" s="194"/>
    <row r="350" ht="15.75" customHeight="1" s="194"/>
    <row r="351" ht="15.75" customHeight="1" s="194"/>
    <row r="352" ht="15.75" customHeight="1" s="194"/>
    <row r="353" ht="15.75" customHeight="1" s="194"/>
    <row r="354" ht="15.75" customHeight="1" s="194"/>
    <row r="355" ht="15.75" customHeight="1" s="194"/>
    <row r="356" ht="15.75" customHeight="1" s="194"/>
    <row r="357" ht="15.75" customHeight="1" s="194"/>
    <row r="358" ht="15.75" customHeight="1" s="194"/>
    <row r="359" ht="15.75" customHeight="1" s="194"/>
    <row r="360" ht="15.75" customHeight="1" s="194"/>
    <row r="361" ht="15.75" customHeight="1" s="194"/>
    <row r="362" ht="15.75" customHeight="1" s="194"/>
    <row r="363" ht="15.75" customHeight="1" s="194"/>
    <row r="364" ht="15.75" customHeight="1" s="194"/>
    <row r="365" ht="15.75" customHeight="1" s="194"/>
    <row r="366" ht="15.75" customHeight="1" s="194"/>
    <row r="367" ht="15.75" customHeight="1" s="194"/>
    <row r="368" ht="15.75" customHeight="1" s="194"/>
    <row r="369" ht="15.75" customHeight="1" s="194"/>
    <row r="370" ht="15.75" customHeight="1" s="194"/>
    <row r="371" ht="15.75" customHeight="1" s="194"/>
    <row r="372" ht="15.75" customHeight="1" s="194"/>
    <row r="373" ht="15.75" customHeight="1" s="194"/>
    <row r="374" ht="15.75" customHeight="1" s="194"/>
    <row r="375" ht="15.75" customHeight="1" s="194"/>
    <row r="376" ht="15.75" customHeight="1" s="194"/>
    <row r="377" ht="15.75" customHeight="1" s="194"/>
    <row r="378" ht="15.75" customHeight="1" s="194"/>
    <row r="379" ht="15.75" customHeight="1" s="194"/>
    <row r="380" ht="15.75" customHeight="1" s="194"/>
    <row r="381" ht="15.75" customHeight="1" s="194"/>
    <row r="382" ht="15.75" customHeight="1" s="194"/>
    <row r="383" ht="15.75" customHeight="1" s="194"/>
    <row r="384" ht="15.75" customHeight="1" s="194"/>
    <row r="385" ht="15.75" customHeight="1" s="194"/>
    <row r="386" ht="15.75" customHeight="1" s="194"/>
    <row r="387" ht="15.75" customHeight="1" s="194"/>
    <row r="388" ht="15.75" customHeight="1" s="194"/>
    <row r="389" ht="15.75" customHeight="1" s="194"/>
    <row r="390" ht="15.75" customHeight="1" s="194"/>
    <row r="391" ht="15.75" customHeight="1" s="194"/>
    <row r="392" ht="15.75" customHeight="1" s="194"/>
    <row r="393" ht="15.75" customHeight="1" s="194"/>
    <row r="394" ht="15.75" customHeight="1" s="194"/>
    <row r="395" ht="15.75" customHeight="1" s="194"/>
    <row r="396" ht="15.75" customHeight="1" s="194"/>
    <row r="397" ht="15.75" customHeight="1" s="194"/>
    <row r="398" ht="15.75" customHeight="1" s="194"/>
    <row r="399" ht="15.75" customHeight="1" s="194"/>
    <row r="400" ht="15.75" customHeight="1" s="194"/>
    <row r="401" ht="15.75" customHeight="1" s="194"/>
    <row r="402" ht="15.75" customHeight="1" s="194"/>
    <row r="403" ht="15.75" customHeight="1" s="194"/>
    <row r="404" ht="15.75" customHeight="1" s="194"/>
    <row r="405" ht="15.75" customHeight="1" s="194"/>
    <row r="406" ht="15.75" customHeight="1" s="194"/>
    <row r="407" ht="15.75" customHeight="1" s="194"/>
    <row r="408" ht="15.75" customHeight="1" s="194"/>
    <row r="409" ht="15.75" customHeight="1" s="194"/>
    <row r="410" ht="15.75" customHeight="1" s="194"/>
    <row r="411" ht="15.75" customHeight="1" s="194"/>
    <row r="412" ht="15.75" customHeight="1" s="194"/>
    <row r="413" ht="15.75" customHeight="1" s="194"/>
    <row r="414" ht="15.75" customHeight="1" s="194"/>
    <row r="415" ht="15.75" customHeight="1" s="194"/>
    <row r="416" ht="15.75" customHeight="1" s="194"/>
    <row r="417" ht="15.75" customHeight="1" s="194"/>
    <row r="418" ht="15.75" customHeight="1" s="194"/>
    <row r="419" ht="15.75" customHeight="1" s="194"/>
    <row r="420" ht="15.75" customHeight="1" s="194"/>
    <row r="421" ht="15.75" customHeight="1" s="194"/>
    <row r="422" ht="15.75" customHeight="1" s="194"/>
    <row r="423" ht="15.75" customHeight="1" s="194"/>
    <row r="424" ht="15.75" customHeight="1" s="194"/>
    <row r="425" ht="15.75" customHeight="1" s="194"/>
    <row r="426" ht="15.75" customHeight="1" s="194"/>
    <row r="427" ht="15.75" customHeight="1" s="194"/>
    <row r="428" ht="15.75" customHeight="1" s="194"/>
    <row r="429" ht="15.75" customHeight="1" s="194"/>
    <row r="430" ht="15.75" customHeight="1" s="194"/>
    <row r="431" ht="15.75" customHeight="1" s="194"/>
    <row r="432" ht="15.75" customHeight="1" s="194"/>
    <row r="433" ht="15.75" customHeight="1" s="194"/>
    <row r="434" ht="15.75" customHeight="1" s="194"/>
    <row r="435" ht="15.75" customHeight="1" s="194"/>
    <row r="436" ht="15.75" customHeight="1" s="194"/>
    <row r="437" ht="15.75" customHeight="1" s="194"/>
    <row r="438" ht="15.75" customHeight="1" s="194"/>
    <row r="439" ht="15.75" customHeight="1" s="194"/>
    <row r="440" ht="15.75" customHeight="1" s="194"/>
    <row r="441" ht="15.75" customHeight="1" s="194"/>
    <row r="442" ht="15.75" customHeight="1" s="194"/>
    <row r="443" ht="15.75" customHeight="1" s="194"/>
    <row r="444" ht="15.75" customHeight="1" s="194"/>
    <row r="445" ht="15.75" customHeight="1" s="194"/>
    <row r="446" ht="15.75" customHeight="1" s="194"/>
    <row r="447" ht="15.75" customHeight="1" s="194"/>
    <row r="448" ht="15.75" customHeight="1" s="194"/>
    <row r="449" ht="15.75" customHeight="1" s="194"/>
    <row r="450" ht="15.75" customHeight="1" s="194"/>
    <row r="451" ht="15.75" customHeight="1" s="194"/>
    <row r="452" ht="15.75" customHeight="1" s="194"/>
    <row r="453" ht="15.75" customHeight="1" s="194"/>
    <row r="454" ht="15.75" customHeight="1" s="194"/>
    <row r="455" ht="15.75" customHeight="1" s="194"/>
    <row r="456" ht="15.75" customHeight="1" s="194"/>
    <row r="457" ht="15.75" customHeight="1" s="194"/>
    <row r="458" ht="15.75" customHeight="1" s="194"/>
    <row r="459" ht="15.75" customHeight="1" s="194"/>
    <row r="460" ht="15.75" customHeight="1" s="194"/>
    <row r="461" ht="15.75" customHeight="1" s="194"/>
    <row r="462" ht="15.75" customHeight="1" s="194"/>
    <row r="463" ht="15.75" customHeight="1" s="194"/>
    <row r="464" ht="15.75" customHeight="1" s="194"/>
    <row r="465" ht="15.75" customHeight="1" s="194"/>
    <row r="466" ht="15.75" customHeight="1" s="194"/>
    <row r="467" ht="15.75" customHeight="1" s="194"/>
    <row r="468" ht="15.75" customHeight="1" s="194"/>
    <row r="469" ht="15.75" customHeight="1" s="194"/>
    <row r="470" ht="15.75" customHeight="1" s="194"/>
    <row r="471" ht="15.75" customHeight="1" s="194"/>
    <row r="472" ht="15.75" customHeight="1" s="194"/>
    <row r="473" ht="15.75" customHeight="1" s="194"/>
    <row r="474" ht="15.75" customHeight="1" s="194"/>
    <row r="475" ht="15.75" customHeight="1" s="194"/>
    <row r="476" ht="15.75" customHeight="1" s="194"/>
    <row r="477" ht="15.75" customHeight="1" s="194"/>
    <row r="478" ht="15.75" customHeight="1" s="194"/>
    <row r="479" ht="15.75" customHeight="1" s="194"/>
    <row r="480" ht="15.75" customHeight="1" s="194"/>
    <row r="481" ht="15.75" customHeight="1" s="194"/>
    <row r="482" ht="15.75" customHeight="1" s="194"/>
    <row r="483" ht="15.75" customHeight="1" s="194"/>
    <row r="484" ht="15.75" customHeight="1" s="194"/>
    <row r="485" ht="15.75" customHeight="1" s="194"/>
    <row r="486" ht="15.75" customHeight="1" s="194"/>
    <row r="487" ht="15.75" customHeight="1" s="194"/>
    <row r="488" ht="15.75" customHeight="1" s="194"/>
    <row r="489" ht="15.75" customHeight="1" s="194"/>
    <row r="490" ht="15.75" customHeight="1" s="194"/>
    <row r="491" ht="15.75" customHeight="1" s="194"/>
    <row r="492" ht="15.75" customHeight="1" s="194"/>
    <row r="493" ht="15.75" customHeight="1" s="194"/>
    <row r="494" ht="15.75" customHeight="1" s="194"/>
    <row r="495" ht="15.75" customHeight="1" s="194"/>
    <row r="496" ht="15.75" customHeight="1" s="194"/>
    <row r="497" ht="15.75" customHeight="1" s="194"/>
    <row r="498" ht="15.75" customHeight="1" s="194"/>
    <row r="499" ht="15.75" customHeight="1" s="194"/>
    <row r="500" ht="15.75" customHeight="1" s="194"/>
    <row r="501" ht="15.75" customHeight="1" s="194"/>
    <row r="502" ht="15.75" customHeight="1" s="194"/>
    <row r="503" ht="15.75" customHeight="1" s="194"/>
    <row r="504" ht="15.75" customHeight="1" s="194"/>
    <row r="505" ht="15.75" customHeight="1" s="194"/>
    <row r="506" ht="15.75" customHeight="1" s="194"/>
    <row r="507" ht="15.75" customHeight="1" s="194"/>
    <row r="508" ht="15.75" customHeight="1" s="194"/>
    <row r="509" ht="15.75" customHeight="1" s="194"/>
    <row r="510" ht="15.75" customHeight="1" s="194"/>
    <row r="511" ht="15.75" customHeight="1" s="194"/>
    <row r="512" ht="15.75" customHeight="1" s="194"/>
    <row r="513" ht="15.75" customHeight="1" s="194"/>
    <row r="514" ht="15.75" customHeight="1" s="194"/>
    <row r="515" ht="15.75" customHeight="1" s="194"/>
    <row r="516" ht="15.75" customHeight="1" s="194"/>
    <row r="517" ht="15.75" customHeight="1" s="194"/>
    <row r="518" ht="15.75" customHeight="1" s="194"/>
    <row r="519" ht="15.75" customHeight="1" s="194"/>
    <row r="520" ht="15.75" customHeight="1" s="194"/>
    <row r="521" ht="15.75" customHeight="1" s="194"/>
    <row r="522" ht="15.75" customHeight="1" s="194"/>
    <row r="523" ht="15.75" customHeight="1" s="194"/>
    <row r="524" ht="15.75" customHeight="1" s="194"/>
    <row r="525" ht="15.75" customHeight="1" s="194"/>
    <row r="526" ht="15.75" customHeight="1" s="194"/>
    <row r="527" ht="15.75" customHeight="1" s="194"/>
    <row r="528" ht="15.75" customHeight="1" s="194"/>
    <row r="529" ht="15.75" customHeight="1" s="194"/>
    <row r="530" ht="15.75" customHeight="1" s="194"/>
    <row r="531" ht="15.75" customHeight="1" s="194"/>
    <row r="532" ht="15.75" customHeight="1" s="194"/>
    <row r="533" ht="15.75" customHeight="1" s="194"/>
    <row r="534" ht="15.75" customHeight="1" s="194"/>
    <row r="535" ht="15.75" customHeight="1" s="194"/>
    <row r="536" ht="15.75" customHeight="1" s="194"/>
    <row r="537" ht="15.75" customHeight="1" s="194"/>
    <row r="538" ht="15.75" customHeight="1" s="194"/>
    <row r="539" ht="15.75" customHeight="1" s="194"/>
    <row r="540" ht="15.75" customHeight="1" s="194"/>
    <row r="541" ht="15.75" customHeight="1" s="194"/>
    <row r="542" ht="15.75" customHeight="1" s="194"/>
    <row r="543" ht="15.75" customHeight="1" s="194"/>
    <row r="544" ht="15.75" customHeight="1" s="194"/>
    <row r="545" ht="15.75" customHeight="1" s="194"/>
    <row r="546" ht="15.75" customHeight="1" s="194"/>
    <row r="547" ht="15.75" customHeight="1" s="194"/>
    <row r="548" ht="15.75" customHeight="1" s="194"/>
    <row r="549" ht="15.75" customHeight="1" s="194"/>
    <row r="550" ht="15.75" customHeight="1" s="194"/>
    <row r="551" ht="15.75" customHeight="1" s="194"/>
    <row r="552" ht="15.75" customHeight="1" s="194"/>
    <row r="553" ht="15.75" customHeight="1" s="194"/>
    <row r="554" ht="15.75" customHeight="1" s="194"/>
    <row r="555" ht="15.75" customHeight="1" s="194"/>
    <row r="556" ht="15.75" customHeight="1" s="194"/>
    <row r="557" ht="15.75" customHeight="1" s="194"/>
    <row r="558" ht="15.75" customHeight="1" s="194"/>
    <row r="559" ht="15.75" customHeight="1" s="194"/>
    <row r="560" ht="15.75" customHeight="1" s="194"/>
    <row r="561" ht="15.75" customHeight="1" s="194"/>
    <row r="562" ht="15.75" customHeight="1" s="194"/>
    <row r="563" ht="15.75" customHeight="1" s="194"/>
    <row r="564" ht="15.75" customHeight="1" s="194"/>
    <row r="565" ht="15.75" customHeight="1" s="194"/>
    <row r="566" ht="15.75" customHeight="1" s="194"/>
    <row r="567" ht="15.75" customHeight="1" s="194"/>
    <row r="568" ht="15.75" customHeight="1" s="194"/>
    <row r="569" ht="15.75" customHeight="1" s="194"/>
    <row r="570" ht="15.75" customHeight="1" s="194"/>
    <row r="571" ht="15.75" customHeight="1" s="194"/>
    <row r="572" ht="15.75" customHeight="1" s="194"/>
    <row r="573" ht="15.75" customHeight="1" s="194"/>
    <row r="574" ht="15.75" customHeight="1" s="194"/>
    <row r="575" ht="15.75" customHeight="1" s="194"/>
    <row r="576" ht="15.75" customHeight="1" s="194"/>
    <row r="577" ht="15.75" customHeight="1" s="194"/>
    <row r="578" ht="15.75" customHeight="1" s="194"/>
    <row r="579" ht="15.75" customHeight="1" s="194"/>
    <row r="580" ht="15.75" customHeight="1" s="194"/>
    <row r="581" ht="15.75" customHeight="1" s="194"/>
    <row r="582" ht="15.75" customHeight="1" s="194"/>
    <row r="583" ht="15.75" customHeight="1" s="194"/>
    <row r="584" ht="15.75" customHeight="1" s="194"/>
    <row r="585" ht="15.75" customHeight="1" s="194"/>
    <row r="586" ht="15.75" customHeight="1" s="194"/>
    <row r="587" ht="15.75" customHeight="1" s="194"/>
    <row r="588" ht="15.75" customHeight="1" s="194"/>
    <row r="589" ht="15.75" customHeight="1" s="194"/>
    <row r="590" ht="15.75" customHeight="1" s="194"/>
    <row r="591" ht="15.75" customHeight="1" s="194"/>
    <row r="592" ht="15.75" customHeight="1" s="194"/>
    <row r="593" ht="15.75" customHeight="1" s="194"/>
    <row r="594" ht="15.75" customHeight="1" s="194"/>
    <row r="595" ht="15.75" customHeight="1" s="194"/>
    <row r="596" ht="15.75" customHeight="1" s="194"/>
    <row r="597" ht="15.75" customHeight="1" s="194"/>
    <row r="598" ht="15.75" customHeight="1" s="194"/>
    <row r="599" ht="15.75" customHeight="1" s="194"/>
    <row r="600" ht="15.75" customHeight="1" s="194"/>
    <row r="601" ht="15.75" customHeight="1" s="194"/>
    <row r="602" ht="15.75" customHeight="1" s="194"/>
    <row r="603" ht="15.75" customHeight="1" s="194"/>
    <row r="604" ht="15.75" customHeight="1" s="194"/>
    <row r="605" ht="15.75" customHeight="1" s="194"/>
    <row r="606" ht="15.75" customHeight="1" s="194"/>
    <row r="607" ht="15.75" customHeight="1" s="194"/>
    <row r="608" ht="15.75" customHeight="1" s="194"/>
    <row r="609" ht="15.75" customHeight="1" s="194"/>
    <row r="610" ht="15.75" customHeight="1" s="194"/>
    <row r="611" ht="15.75" customHeight="1" s="194"/>
    <row r="612" ht="15.75" customHeight="1" s="194"/>
    <row r="613" ht="15.75" customHeight="1" s="194"/>
    <row r="614" ht="15.75" customHeight="1" s="194"/>
    <row r="615" ht="15.75" customHeight="1" s="194"/>
    <row r="616" ht="15.75" customHeight="1" s="194"/>
    <row r="617" ht="15.75" customHeight="1" s="194"/>
    <row r="618" ht="15.75" customHeight="1" s="194"/>
    <row r="619" ht="15.75" customHeight="1" s="194"/>
    <row r="620" ht="15.75" customHeight="1" s="194"/>
    <row r="621" ht="15.75" customHeight="1" s="194"/>
    <row r="622" ht="15.75" customHeight="1" s="194"/>
    <row r="623" ht="15.75" customHeight="1" s="194"/>
    <row r="624" ht="15.75" customHeight="1" s="194"/>
    <row r="625" ht="15.75" customHeight="1" s="194"/>
    <row r="626" ht="15.75" customHeight="1" s="194"/>
    <row r="627" ht="15.75" customHeight="1" s="194"/>
    <row r="628" ht="15.75" customHeight="1" s="194"/>
    <row r="629" ht="15.75" customHeight="1" s="194"/>
    <row r="630" ht="15.75" customHeight="1" s="194"/>
    <row r="631" ht="15.75" customHeight="1" s="194"/>
    <row r="632" ht="15.75" customHeight="1" s="194"/>
    <row r="633" ht="15.75" customHeight="1" s="194"/>
    <row r="634" ht="15.75" customHeight="1" s="194"/>
    <row r="635" ht="15.75" customHeight="1" s="194"/>
    <row r="636" ht="15.75" customHeight="1" s="194"/>
    <row r="637" ht="15.75" customHeight="1" s="194"/>
    <row r="638" ht="15.75" customHeight="1" s="194"/>
    <row r="639" ht="15.75" customHeight="1" s="194"/>
    <row r="640" ht="15.75" customHeight="1" s="194"/>
    <row r="641" ht="15.75" customHeight="1" s="194"/>
    <row r="642" ht="15.75" customHeight="1" s="194"/>
    <row r="643" ht="15.75" customHeight="1" s="194"/>
    <row r="644" ht="15.75" customHeight="1" s="194"/>
    <row r="645" ht="15.75" customHeight="1" s="194"/>
    <row r="646" ht="15.75" customHeight="1" s="194"/>
    <row r="647" ht="15.75" customHeight="1" s="194"/>
    <row r="648" ht="15.75" customHeight="1" s="194"/>
    <row r="649" ht="15.75" customHeight="1" s="194"/>
    <row r="650" ht="15.75" customHeight="1" s="194"/>
    <row r="651" ht="15.75" customHeight="1" s="194"/>
    <row r="652" ht="15.75" customHeight="1" s="194"/>
    <row r="653" ht="15.75" customHeight="1" s="194"/>
    <row r="654" ht="15.75" customHeight="1" s="194"/>
    <row r="655" ht="15.75" customHeight="1" s="194"/>
    <row r="656" ht="15.75" customHeight="1" s="194"/>
    <row r="657" ht="15.75" customHeight="1" s="194"/>
    <row r="658" ht="15.75" customHeight="1" s="194"/>
    <row r="659" ht="15.75" customHeight="1" s="194"/>
    <row r="660" ht="15.75" customHeight="1" s="194"/>
    <row r="661" ht="15.75" customHeight="1" s="194"/>
    <row r="662" ht="15.75" customHeight="1" s="194"/>
    <row r="663" ht="15.75" customHeight="1" s="194"/>
    <row r="664" ht="15.75" customHeight="1" s="194"/>
    <row r="665" ht="15.75" customHeight="1" s="194"/>
    <row r="666" ht="15.75" customHeight="1" s="194"/>
    <row r="667" ht="15.75" customHeight="1" s="194"/>
    <row r="668" ht="15.75" customHeight="1" s="194"/>
    <row r="669" ht="15.75" customHeight="1" s="194"/>
    <row r="670" ht="15.75" customHeight="1" s="194"/>
    <row r="671" ht="15.75" customHeight="1" s="194"/>
    <row r="672" ht="15.75" customHeight="1" s="194"/>
    <row r="673" ht="15.75" customHeight="1" s="194"/>
    <row r="674" ht="15.75" customHeight="1" s="194"/>
    <row r="675" ht="15.75" customHeight="1" s="194"/>
    <row r="676" ht="15.75" customHeight="1" s="194"/>
    <row r="677" ht="15.75" customHeight="1" s="194"/>
    <row r="678" ht="15.75" customHeight="1" s="194"/>
    <row r="679" ht="15.75" customHeight="1" s="194"/>
    <row r="680" ht="15.75" customHeight="1" s="194"/>
    <row r="681" ht="15.75" customHeight="1" s="194"/>
    <row r="682" ht="15.75" customHeight="1" s="194"/>
    <row r="683" ht="15.75" customHeight="1" s="194"/>
    <row r="684" ht="15.75" customHeight="1" s="194"/>
    <row r="685" ht="15.75" customHeight="1" s="194"/>
    <row r="686" ht="15.75" customHeight="1" s="194"/>
    <row r="687" ht="15.75" customHeight="1" s="194"/>
    <row r="688" ht="15.75" customHeight="1" s="194"/>
    <row r="689" ht="15.75" customHeight="1" s="194"/>
    <row r="690" ht="15.75" customHeight="1" s="194"/>
    <row r="691" ht="15.75" customHeight="1" s="194"/>
    <row r="692" ht="15.75" customHeight="1" s="194"/>
    <row r="693" ht="15.75" customHeight="1" s="194"/>
    <row r="694" ht="15.75" customHeight="1" s="194"/>
    <row r="695" ht="15.75" customHeight="1" s="194"/>
    <row r="696" ht="15.75" customHeight="1" s="194"/>
    <row r="697" ht="15.75" customHeight="1" s="194"/>
    <row r="698" ht="15.75" customHeight="1" s="194"/>
    <row r="699" ht="15.75" customHeight="1" s="194"/>
    <row r="700" ht="15.75" customHeight="1" s="194"/>
    <row r="701" ht="15.75" customHeight="1" s="194"/>
    <row r="702" ht="15.75" customHeight="1" s="194"/>
    <row r="703" ht="15.75" customHeight="1" s="194"/>
    <row r="704" ht="15.75" customHeight="1" s="194"/>
    <row r="705" ht="15.75" customHeight="1" s="194"/>
    <row r="706" ht="15.75" customHeight="1" s="194"/>
    <row r="707" ht="15.75" customHeight="1" s="194"/>
    <row r="708" ht="15.75" customHeight="1" s="194"/>
    <row r="709" ht="15.75" customHeight="1" s="194"/>
    <row r="710" ht="15.75" customHeight="1" s="194"/>
    <row r="711" ht="15.75" customHeight="1" s="194"/>
    <row r="712" ht="15.75" customHeight="1" s="194"/>
    <row r="713" ht="15.75" customHeight="1" s="194"/>
    <row r="714" ht="15.75" customHeight="1" s="194"/>
    <row r="715" ht="15.75" customHeight="1" s="194"/>
    <row r="716" ht="15.75" customHeight="1" s="194"/>
    <row r="717" ht="15.75" customHeight="1" s="194"/>
    <row r="718" ht="15.75" customHeight="1" s="194"/>
    <row r="719" ht="15.75" customHeight="1" s="194"/>
    <row r="720" ht="15.75" customHeight="1" s="194"/>
    <row r="721" ht="15.75" customHeight="1" s="194"/>
    <row r="722" ht="15.75" customHeight="1" s="194"/>
    <row r="723" ht="15.75" customHeight="1" s="194"/>
    <row r="724" ht="15.75" customHeight="1" s="194"/>
    <row r="725" ht="15.75" customHeight="1" s="194"/>
    <row r="726" ht="15.75" customHeight="1" s="194"/>
    <row r="727" ht="15.75" customHeight="1" s="194"/>
    <row r="728" ht="15.75" customHeight="1" s="194"/>
    <row r="729" ht="15.75" customHeight="1" s="194"/>
    <row r="730" ht="15.75" customHeight="1" s="194"/>
    <row r="731" ht="15.75" customHeight="1" s="194"/>
    <row r="732" ht="15.75" customHeight="1" s="194"/>
    <row r="733" ht="15.75" customHeight="1" s="194"/>
    <row r="734" ht="15.75" customHeight="1" s="194"/>
    <row r="735" ht="15.75" customHeight="1" s="194"/>
    <row r="736" ht="15.75" customHeight="1" s="194"/>
    <row r="737" ht="15.75" customHeight="1" s="194"/>
    <row r="738" ht="15.75" customHeight="1" s="194"/>
    <row r="739" ht="15.75" customHeight="1" s="194"/>
    <row r="740" ht="15.75" customHeight="1" s="194"/>
    <row r="741" ht="15.75" customHeight="1" s="194"/>
    <row r="742" ht="15.75" customHeight="1" s="194"/>
    <row r="743" ht="15.75" customHeight="1" s="194"/>
    <row r="744" ht="15.75" customHeight="1" s="194"/>
    <row r="745" ht="15.75" customHeight="1" s="194"/>
    <row r="746" ht="15.75" customHeight="1" s="194"/>
    <row r="747" ht="15.75" customHeight="1" s="194"/>
    <row r="748" ht="15.75" customHeight="1" s="194"/>
    <row r="749" ht="15.75" customHeight="1" s="194"/>
    <row r="750" ht="15.75" customHeight="1" s="194"/>
    <row r="751" ht="15.75" customHeight="1" s="194"/>
    <row r="752" ht="15.75" customHeight="1" s="194"/>
    <row r="753" ht="15.75" customHeight="1" s="194"/>
    <row r="754" ht="15.75" customHeight="1" s="194"/>
    <row r="755" ht="15.75" customHeight="1" s="194"/>
    <row r="756" ht="15.75" customHeight="1" s="194"/>
    <row r="757" ht="15.75" customHeight="1" s="194"/>
    <row r="758" ht="15.75" customHeight="1" s="194"/>
    <row r="759" ht="15.75" customHeight="1" s="194"/>
    <row r="760" ht="15.75" customHeight="1" s="194"/>
    <row r="761" ht="15.75" customHeight="1" s="194"/>
    <row r="762" ht="15.75" customHeight="1" s="194"/>
    <row r="763" ht="15.75" customHeight="1" s="194"/>
    <row r="764" ht="15.75" customHeight="1" s="194"/>
    <row r="765" ht="15.75" customHeight="1" s="194"/>
    <row r="766" ht="15.75" customHeight="1" s="194"/>
    <row r="767" ht="15.75" customHeight="1" s="194"/>
    <row r="768" ht="15.75" customHeight="1" s="194"/>
    <row r="769" ht="15.75" customHeight="1" s="194"/>
    <row r="770" ht="15.75" customHeight="1" s="194"/>
    <row r="771" ht="15.75" customHeight="1" s="194"/>
    <row r="772" ht="15.75" customHeight="1" s="194"/>
    <row r="773" ht="15.75" customHeight="1" s="194"/>
    <row r="774" ht="15.75" customHeight="1" s="194"/>
    <row r="775" ht="15.75" customHeight="1" s="194"/>
    <row r="776" ht="15.75" customHeight="1" s="194"/>
    <row r="777" ht="15.75" customHeight="1" s="194"/>
    <row r="778" ht="15.75" customHeight="1" s="194"/>
    <row r="779" ht="15.75" customHeight="1" s="194"/>
    <row r="780" ht="15.75" customHeight="1" s="194"/>
    <row r="781" ht="15.75" customHeight="1" s="194"/>
    <row r="782" ht="15.75" customHeight="1" s="194"/>
    <row r="783" ht="15.75" customHeight="1" s="194"/>
    <row r="784" ht="15.75" customHeight="1" s="194"/>
    <row r="785" ht="15.75" customHeight="1" s="194"/>
    <row r="786" ht="15.75" customHeight="1" s="194"/>
    <row r="787" ht="15.75" customHeight="1" s="194"/>
    <row r="788" ht="15.75" customHeight="1" s="194"/>
    <row r="789" ht="15.75" customHeight="1" s="194"/>
    <row r="790" ht="15.75" customHeight="1" s="194"/>
    <row r="791" ht="15.75" customHeight="1" s="194"/>
    <row r="792" ht="15.75" customHeight="1" s="194"/>
    <row r="793" ht="15.75" customHeight="1" s="194"/>
    <row r="794" ht="15.75" customHeight="1" s="194"/>
    <row r="795" ht="15.75" customHeight="1" s="194"/>
    <row r="796" ht="15.75" customHeight="1" s="194"/>
    <row r="797" ht="15.75" customHeight="1" s="194"/>
    <row r="798" ht="15.75" customHeight="1" s="194"/>
    <row r="799" ht="15.75" customHeight="1" s="194"/>
    <row r="800" ht="15.75" customHeight="1" s="194"/>
    <row r="801" ht="15.75" customHeight="1" s="194"/>
    <row r="802" ht="15.75" customHeight="1" s="194"/>
    <row r="803" ht="15.75" customHeight="1" s="194"/>
    <row r="804" ht="15.75" customHeight="1" s="194"/>
    <row r="805" ht="15.75" customHeight="1" s="194"/>
    <row r="806" ht="15.75" customHeight="1" s="194"/>
    <row r="807" ht="15.75" customHeight="1" s="194"/>
    <row r="808" ht="15.75" customHeight="1" s="194"/>
    <row r="809" ht="15.75" customHeight="1" s="194"/>
    <row r="810" ht="15.75" customHeight="1" s="194"/>
    <row r="811" ht="15.75" customHeight="1" s="194"/>
    <row r="812" ht="15.75" customHeight="1" s="194"/>
    <row r="813" ht="15.75" customHeight="1" s="194"/>
    <row r="814" ht="15.75" customHeight="1" s="194"/>
    <row r="815" ht="15.75" customHeight="1" s="194"/>
    <row r="816" ht="15.75" customHeight="1" s="194"/>
    <row r="817" ht="15.75" customHeight="1" s="194"/>
    <row r="818" ht="15.75" customHeight="1" s="194"/>
    <row r="819" ht="15.75" customHeight="1" s="194"/>
    <row r="820" ht="15.75" customHeight="1" s="194"/>
    <row r="821" ht="15.75" customHeight="1" s="194"/>
    <row r="822" ht="15.75" customHeight="1" s="194"/>
    <row r="823" ht="15.75" customHeight="1" s="194"/>
    <row r="824" ht="15.75" customHeight="1" s="194"/>
    <row r="825" ht="15.75" customHeight="1" s="194"/>
    <row r="826" ht="15.75" customHeight="1" s="194"/>
    <row r="827" ht="15.75" customHeight="1" s="194"/>
    <row r="828" ht="15.75" customHeight="1" s="194"/>
    <row r="829" ht="15.75" customHeight="1" s="194"/>
    <row r="830" ht="15.75" customHeight="1" s="194"/>
    <row r="831" ht="15.75" customHeight="1" s="194"/>
    <row r="832" ht="15.75" customHeight="1" s="194"/>
    <row r="833" ht="15.75" customHeight="1" s="194"/>
    <row r="834" ht="15.75" customHeight="1" s="194"/>
    <row r="835" ht="15.75" customHeight="1" s="194"/>
    <row r="836" ht="15.75" customHeight="1" s="194"/>
    <row r="837" ht="15.75" customHeight="1" s="194"/>
    <row r="838" ht="15.75" customHeight="1" s="194"/>
    <row r="839" ht="15.75" customHeight="1" s="194"/>
    <row r="840" ht="15.75" customHeight="1" s="194"/>
    <row r="841" ht="15.75" customHeight="1" s="194"/>
    <row r="842" ht="15.75" customHeight="1" s="194"/>
    <row r="843" ht="15.75" customHeight="1" s="194"/>
    <row r="844" ht="15.75" customHeight="1" s="194"/>
    <row r="845" ht="15.75" customHeight="1" s="194"/>
    <row r="846" ht="15.75" customHeight="1" s="194"/>
    <row r="847" ht="15.75" customHeight="1" s="194"/>
    <row r="848" ht="15.75" customHeight="1" s="194"/>
    <row r="849" ht="15.75" customHeight="1" s="194"/>
    <row r="850" ht="15.75" customHeight="1" s="194"/>
    <row r="851" ht="15.75" customHeight="1" s="194"/>
    <row r="852" ht="15.75" customHeight="1" s="194"/>
    <row r="853" ht="15.75" customHeight="1" s="194"/>
    <row r="854" ht="15.75" customHeight="1" s="194"/>
    <row r="855" ht="15.75" customHeight="1" s="194"/>
    <row r="856" ht="15.75" customHeight="1" s="194"/>
    <row r="857" ht="15.75" customHeight="1" s="194"/>
    <row r="858" ht="15.75" customHeight="1" s="194"/>
    <row r="859" ht="15.75" customHeight="1" s="194"/>
    <row r="860" ht="15.75" customHeight="1" s="194"/>
    <row r="861" ht="15.75" customHeight="1" s="194"/>
    <row r="862" ht="15.75" customHeight="1" s="194"/>
    <row r="863" ht="15.75" customHeight="1" s="194"/>
    <row r="864" ht="15.75" customHeight="1" s="194"/>
    <row r="865" ht="15.75" customHeight="1" s="194"/>
    <row r="866" ht="15.75" customHeight="1" s="194"/>
    <row r="867" ht="15.75" customHeight="1" s="194"/>
    <row r="868" ht="15.75" customHeight="1" s="194"/>
    <row r="869" ht="15.75" customHeight="1" s="194"/>
    <row r="870" ht="15.75" customHeight="1" s="194"/>
    <row r="871" ht="15.75" customHeight="1" s="194"/>
    <row r="872" ht="15.75" customHeight="1" s="194"/>
    <row r="873" ht="15.75" customHeight="1" s="194"/>
    <row r="874" ht="15.75" customHeight="1" s="194"/>
    <row r="875" ht="15.75" customHeight="1" s="194"/>
    <row r="876" ht="15.75" customHeight="1" s="194"/>
    <row r="877" ht="15.75" customHeight="1" s="194"/>
    <row r="878" ht="15.75" customHeight="1" s="194"/>
    <row r="879" ht="15.75" customHeight="1" s="194"/>
    <row r="880" ht="15.75" customHeight="1" s="194"/>
    <row r="881" ht="15.75" customHeight="1" s="194"/>
    <row r="882" ht="15.75" customHeight="1" s="194"/>
    <row r="883" ht="15.75" customHeight="1" s="194"/>
    <row r="884" ht="15.75" customHeight="1" s="194"/>
    <row r="885" ht="15.75" customHeight="1" s="194"/>
    <row r="886" ht="15.75" customHeight="1" s="194"/>
    <row r="887" ht="15.75" customHeight="1" s="194"/>
    <row r="888" ht="15.75" customHeight="1" s="194"/>
    <row r="889" ht="15.75" customHeight="1" s="194"/>
    <row r="890" ht="15.75" customHeight="1" s="194"/>
    <row r="891" ht="15.75" customHeight="1" s="194"/>
    <row r="892" ht="15.75" customHeight="1" s="194"/>
    <row r="893" ht="15.75" customHeight="1" s="194"/>
    <row r="894" ht="15.75" customHeight="1" s="194"/>
    <row r="895" ht="15.75" customHeight="1" s="194"/>
    <row r="896" ht="15.75" customHeight="1" s="194"/>
    <row r="897" ht="15.75" customHeight="1" s="194"/>
    <row r="898" ht="15.75" customHeight="1" s="194"/>
    <row r="899" ht="15.75" customHeight="1" s="194"/>
    <row r="900" ht="15.75" customHeight="1" s="194"/>
    <row r="901" ht="15.75" customHeight="1" s="194"/>
    <row r="902" ht="15.75" customHeight="1" s="194"/>
    <row r="903" ht="15.75" customHeight="1" s="194"/>
    <row r="904" ht="15.75" customHeight="1" s="194"/>
    <row r="905" ht="15.75" customHeight="1" s="194"/>
    <row r="906" ht="15.75" customHeight="1" s="194"/>
    <row r="907" ht="15.75" customHeight="1" s="194"/>
    <row r="908" ht="15.75" customHeight="1" s="194"/>
    <row r="909" ht="15.75" customHeight="1" s="194"/>
    <row r="910" ht="15.75" customHeight="1" s="194"/>
    <row r="911" ht="15.75" customHeight="1" s="194"/>
    <row r="912" ht="15.75" customHeight="1" s="194"/>
    <row r="913" ht="15.75" customHeight="1" s="194"/>
    <row r="914" ht="15.75" customHeight="1" s="194"/>
    <row r="915" ht="15.75" customHeight="1" s="194"/>
    <row r="916" ht="15.75" customHeight="1" s="194"/>
    <row r="917" ht="15.75" customHeight="1" s="194"/>
    <row r="918" ht="15.75" customHeight="1" s="194"/>
    <row r="919" ht="15.75" customHeight="1" s="194"/>
    <row r="920" ht="15.75" customHeight="1" s="194"/>
    <row r="921" ht="15.75" customHeight="1" s="194"/>
    <row r="922" ht="15.75" customHeight="1" s="194"/>
    <row r="923" ht="15.75" customHeight="1" s="194"/>
    <row r="924" ht="15.75" customHeight="1" s="194"/>
    <row r="925" ht="15.75" customHeight="1" s="194"/>
    <row r="926" ht="15.75" customHeight="1" s="194"/>
    <row r="927" ht="15.75" customHeight="1" s="194"/>
    <row r="928" ht="15.75" customHeight="1" s="194"/>
    <row r="929" ht="15.75" customHeight="1" s="194"/>
    <row r="930" ht="15.75" customHeight="1" s="194"/>
    <row r="931" ht="15.75" customHeight="1" s="194"/>
    <row r="932" ht="15.75" customHeight="1" s="194"/>
    <row r="933" ht="15.75" customHeight="1" s="194"/>
    <row r="934" ht="15.75" customHeight="1" s="194"/>
    <row r="935" ht="15.75" customHeight="1" s="194"/>
    <row r="936" ht="15.75" customHeight="1" s="194"/>
    <row r="937" ht="15.75" customHeight="1" s="194"/>
    <row r="938" ht="15.75" customHeight="1" s="194"/>
    <row r="939" ht="15.75" customHeight="1" s="194"/>
    <row r="940" ht="15.75" customHeight="1" s="194"/>
    <row r="941" ht="15.75" customHeight="1" s="194"/>
    <row r="942" ht="15.75" customHeight="1" s="194"/>
    <row r="943" ht="15.75" customHeight="1" s="194"/>
    <row r="944" ht="15.75" customHeight="1" s="194"/>
    <row r="945" ht="15.75" customHeight="1" s="194"/>
    <row r="946" ht="15.75" customHeight="1" s="194"/>
    <row r="947" ht="15.75" customHeight="1" s="194"/>
    <row r="948" ht="15.75" customHeight="1" s="194"/>
    <row r="949" ht="15.75" customHeight="1" s="194"/>
    <row r="950" ht="15.75" customHeight="1" s="194"/>
    <row r="951" ht="15.75" customHeight="1" s="194"/>
    <row r="952" ht="15.75" customHeight="1" s="194"/>
    <row r="953" ht="15.75" customHeight="1" s="194"/>
    <row r="954" ht="15.75" customHeight="1" s="194"/>
    <row r="955" ht="15.75" customHeight="1" s="194"/>
    <row r="956" ht="15.75" customHeight="1" s="194"/>
    <row r="957" ht="15.75" customHeight="1" s="194"/>
    <row r="958" ht="15.75" customHeight="1" s="194"/>
    <row r="959" ht="15.75" customHeight="1" s="194"/>
    <row r="960" ht="15.75" customHeight="1" s="194"/>
    <row r="961" ht="15.75" customHeight="1" s="194"/>
    <row r="962" ht="15.75" customHeight="1" s="194"/>
    <row r="963" ht="15.75" customHeight="1" s="194"/>
    <row r="964" ht="15.75" customHeight="1" s="194"/>
    <row r="965" ht="15.75" customHeight="1" s="194"/>
    <row r="966" ht="15.75" customHeight="1" s="194"/>
    <row r="967" ht="15.75" customHeight="1" s="194"/>
    <row r="968" ht="15.75" customHeight="1" s="194"/>
    <row r="969" ht="15.75" customHeight="1" s="194"/>
    <row r="970" ht="15.75" customHeight="1" s="194"/>
    <row r="971" ht="15.75" customHeight="1" s="194"/>
    <row r="972" ht="15.75" customHeight="1" s="194"/>
    <row r="973" ht="15.75" customHeight="1" s="194"/>
    <row r="974" ht="15.75" customHeight="1" s="194"/>
    <row r="975" ht="15.75" customHeight="1" s="194"/>
    <row r="976" ht="15.75" customHeight="1" s="194"/>
    <row r="977" ht="15.75" customHeight="1" s="194"/>
    <row r="978" ht="15.75" customHeight="1" s="194"/>
    <row r="979" ht="15.75" customHeight="1" s="194"/>
    <row r="980" ht="15.75" customHeight="1" s="194"/>
    <row r="981" ht="15.75" customHeight="1" s="194"/>
    <row r="982" ht="15.75" customHeight="1" s="194"/>
    <row r="983" ht="15.75" customHeight="1" s="194"/>
    <row r="984" ht="15.75" customHeight="1" s="194"/>
    <row r="985" ht="15.75" customHeight="1" s="194"/>
    <row r="986" ht="15.75" customHeight="1" s="194"/>
    <row r="987" ht="15.75" customHeight="1" s="194"/>
    <row r="988" ht="15.75" customHeight="1" s="194"/>
    <row r="989" ht="15.75" customHeight="1" s="194"/>
    <row r="990" ht="15.75" customHeight="1" s="194"/>
    <row r="991" ht="15.75" customHeight="1" s="194"/>
    <row r="992" ht="15.75" customHeight="1" s="194"/>
    <row r="993" ht="15.75" customHeight="1" s="194"/>
    <row r="994" ht="15.75" customHeight="1" s="194"/>
    <row r="995" ht="15.75" customHeight="1" s="194"/>
    <row r="996" ht="15.75" customHeight="1" s="194"/>
    <row r="997" ht="15.75" customHeight="1" s="194"/>
    <row r="998" ht="15.75" customHeight="1" s="194"/>
    <row r="999" ht="15.75" customHeight="1" s="194"/>
    <row r="1000" ht="15.75" customHeight="1" s="194"/>
  </sheetData>
  <conditionalFormatting sqref="D6:D13">
    <cfRule type="cellIs" priority="1" operator="equal" dxfId="0">
      <formula>"OK"</formula>
    </cfRule>
    <cfRule type="cellIs" priority="2" operator="notEqual" dxfId="1">
      <formula>"OK"</formula>
    </cfRule>
  </conditionalFormatting>
  <pageMargins left="0.75" right="0.75" top="1" bottom="1" header="0" footer="0"/>
  <pageSetup orientation="landscape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C55"/>
  <sheetViews>
    <sheetView showGridLines="0" workbookViewId="0">
      <selection activeCell="A1" sqref="A1"/>
    </sheetView>
  </sheetViews>
  <sheetFormatPr baseColWidth="8" defaultColWidth="14.43" defaultRowHeight="15" customHeight="1" outlineLevelRow="1"/>
  <cols>
    <col width="3" customWidth="1" style="194" min="1" max="1"/>
    <col width="34" customWidth="1" style="194" min="2" max="2"/>
    <col width="96" customWidth="1" style="194" min="3" max="3"/>
    <col width="8.710000000000001" customWidth="1" style="194" min="4" max="26"/>
  </cols>
  <sheetData>
    <row r="2">
      <c r="B2" s="90" t="inlineStr">
        <is>
          <t>Как пользоваться моделью</t>
        </is>
      </c>
    </row>
    <row r="4">
      <c r="B4" s="187" t="inlineStr">
        <is>
          <t>Порядок работы</t>
        </is>
      </c>
      <c r="C4" s="55" t="n"/>
    </row>
    <row r="5">
      <c r="B5" s="188" t="inlineStr">
        <is>
          <t>1. Посмотреть итог</t>
        </is>
      </c>
      <c r="C5" s="189" t="inlineStr">
        <is>
          <t>Лист «00_Дашборд»: пять лет в одном экране — выручка, EBITDA, деньги, сеть.</t>
        </is>
      </c>
    </row>
    <row r="6">
      <c r="B6" s="188" t="inlineStr">
        <is>
          <t>2. Разобраться в цифре</t>
        </is>
      </c>
      <c r="C6" s="189" t="inlineStr">
        <is>
          <t>Лист «02_Результат»: БДР и БДДС. Слева итоги по годам, дальше вправо — те же строки по месяцам.</t>
        </is>
      </c>
    </row>
    <row r="7">
      <c r="B7" s="188" t="inlineStr">
        <is>
          <t>3. Дойти до причины</t>
        </is>
      </c>
      <c r="C7" s="189" t="inlineStr">
        <is>
          <t>Листы «03_Сеть», «04_Доходы», «05_Расходы», «06_Деньги» — расшифровки. В колонке «Как считается» написано словами, откуда берётся строка.</t>
        </is>
      </c>
    </row>
    <row r="8">
      <c r="B8" s="188" t="inlineStr">
        <is>
          <t>4. Поменять допущение</t>
        </is>
      </c>
      <c r="C8" s="189" t="inlineStr">
        <is>
          <t>Только на листе «01_Вводные». Больше нигде в книге ничего вводить руками нельзя.</t>
        </is>
      </c>
    </row>
    <row r="9">
      <c r="B9" s="188" t="inlineStr">
        <is>
          <t>5. Убедиться, что цело</t>
        </is>
      </c>
      <c r="C9" s="189" t="inlineStr">
        <is>
          <t>Лист «08_Проверки»: семь контролей. Если все OK — модели можно верить.</t>
        </is>
      </c>
    </row>
    <row r="10">
      <c r="B10" s="188" t="inlineStr">
        <is>
          <t>Что было до прогноза</t>
        </is>
      </c>
      <c r="C10" s="189" t="inlineStr">
        <is>
          <t>Лист «10_История»: сезон 25/26 в виде отчёта о финансовых результатах. Часть строк — оценка по двум месяцам P&amp;L, у каждой написано, откуда она. Чтобы этот сезон попал в итог на дашборде, поставьте «Да» в 01_Вводные!B322.</t>
        </is>
      </c>
    </row>
    <row r="11">
      <c r="B11" s="188" t="inlineStr">
        <is>
          <t>Графики</t>
        </is>
      </c>
      <c r="C11" s="189" t="inlineStr">
        <is>
          <t>На «00_Дашборде» под таблицей — восемь помесячных графиков: сеть, продажи и открытия, выручка и EBITDA, роялти, форма, займ клубу, деньги и склад. Они для экрана: на печать уходит только таблица, чтобы итог помещался на один лист.</t>
        </is>
      </c>
    </row>
    <row r="13">
      <c r="B13" s="187" t="inlineStr">
        <is>
          <t>Где что вводится</t>
        </is>
      </c>
      <c r="C13" s="55" t="n"/>
    </row>
    <row r="14">
      <c r="B14" s="188" t="inlineStr">
        <is>
          <t>Дата старта — 01_Вводные!B7</t>
        </is>
      </c>
      <c r="C14" s="189" t="inlineStr">
        <is>
          <t>Первая строка блока «1. Календарь». Только 1 сентября: модель живёт сезонами сентябрь–август. Имя «СтартМодели» в формулах — это ссылка на неё, своего значения у имени нет.</t>
        </is>
      </c>
    </row>
    <row r="15">
      <c r="B15" s="188" t="inlineStr">
        <is>
          <t>Сценарий — 01_Вводные!B192</t>
        </is>
      </c>
      <c r="C15" s="189" t="inlineStr">
        <is>
          <t>Выбирается словом из списка: Негативный / Базовый / Позитивный. Номер вместо слова молча даёт позитивный сценарий.</t>
        </is>
      </c>
    </row>
    <row r="16">
      <c r="B16" s="188" t="inlineStr">
        <is>
          <t>Стартовая сеть — 01_Вводные!B9 и B10</t>
        </is>
      </c>
      <c r="C16" s="189" t="inlineStr">
        <is>
          <t>B9 — школы (104), B10 — партнёры (51). Это разные числа.</t>
        </is>
      </c>
    </row>
    <row r="17">
      <c r="B17" s="188" t="inlineStr">
        <is>
          <t>Горизонт — 01_Вводные!B8</t>
        </is>
      </c>
      <c r="C17" s="189" t="inlineStr">
        <is>
          <t>60 месяцев. Ширина листов свёрстана под него, менять нельзя.</t>
        </is>
      </c>
    </row>
    <row r="18">
      <c r="B18" s="188" t="inlineStr">
        <is>
          <t>История сезона 25/26 — 01_Вводные!B322</t>
        </is>
      </c>
      <c r="C18" s="189" t="inlineStr">
        <is>
          <t>«Да» добавляет на дашборд колонку факта сезона 25/26 и итог за шесть сезонов. Сам прогноз при этом не меняется: сезон 25/26 — факт, его итоги вводятся числами в разделе 17.</t>
        </is>
      </c>
    </row>
    <row r="20">
      <c r="B20" s="187" t="inlineStr">
        <is>
          <t>Чего делать нельзя</t>
        </is>
      </c>
      <c r="C20" s="55" t="n"/>
    </row>
    <row r="21" ht="15.75" customHeight="1" s="194">
      <c r="B21" s="188" t="inlineStr">
        <is>
          <t>Не вводить числа в расчётных листах</t>
        </is>
      </c>
      <c r="C21" s="189" t="inlineStr">
        <is>
          <t>Любое число поверх формулы разрывает связь, и модель начинает врать молча. Все вводные — на «01_Вводные».</t>
        </is>
      </c>
    </row>
    <row r="22" ht="15.75" customHeight="1" s="194">
      <c r="B22" s="188" t="inlineStr">
        <is>
          <t>Не приравнивать партнёров к школам</t>
        </is>
      </c>
      <c r="C22" s="189" t="inlineStr">
        <is>
          <t>Один партнёр держит несколько школ: на старте 51 партнёр и 104 школы.</t>
        </is>
      </c>
    </row>
    <row r="23" ht="15.75" customHeight="1" s="194">
      <c r="B23" s="188" t="inlineStr">
        <is>
          <t>Не заменять постепенный набор полной загрузкой</t>
        </is>
      </c>
      <c r="C23" s="189" t="inlineStr">
        <is>
          <t>Новая школа выходит на мощность за два года: 1–12 мес., 13–24 мес., затем зрелая.</t>
        </is>
      </c>
    </row>
    <row r="24" ht="15.75" customHeight="1" s="194">
      <c r="B24" s="188" t="inlineStr">
        <is>
          <t>Не смешивать БДР и БДДС</t>
        </is>
      </c>
      <c r="C24" s="189" t="inlineStr">
        <is>
          <t>Начисление и деньги расходятся из-за склада, займа и отсрочек. Это нормально и показано в блоке БДДС.</t>
        </is>
      </c>
    </row>
    <row r="25" ht="15.75" customHeight="1" s="194"/>
    <row r="26" ht="15.75" customHeight="1" s="194">
      <c r="B26" s="1" t="inlineStr">
        <is>
          <t>На чём стоит модель</t>
        </is>
      </c>
    </row>
    <row r="27" ht="15.75" customHeight="1" s="194"/>
    <row r="28" ht="15.75" customHeight="1" s="194">
      <c r="B28" s="187" t="inlineStr">
        <is>
          <t>Главные гипотезы</t>
        </is>
      </c>
      <c r="C28" s="55" t="n"/>
    </row>
    <row r="29" ht="15.75" customHeight="1" s="194">
      <c r="B29" s="188" t="inlineStr">
        <is>
          <t>Продажи франшиз</t>
        </is>
      </c>
      <c r="C29" s="189" t="inlineStr">
        <is>
          <t>Планы по сезонам 66 / 72 / 72 / 60 / 50, разложены по месяцам весами сезонности. Сентябрь 2026 — без продаж.</t>
        </is>
      </c>
    </row>
    <row r="30" ht="15.75" customHeight="1" s="194">
      <c r="B30" s="188" t="inlineStr">
        <is>
          <t>От продажи до школы</t>
        </is>
      </c>
      <c r="C30" s="189" t="inlineStr">
        <is>
          <t>Два месяца лага. Один партнёр открывает 1,5 школы — коэффициент согласован 11.09.2026.</t>
        </is>
      </c>
    </row>
    <row r="31" ht="15.75" customHeight="1" s="194">
      <c r="B31" s="188" t="inlineStr">
        <is>
          <t>Дети</t>
        </is>
      </c>
      <c r="C31" s="189" t="inlineStr">
        <is>
          <t>Действующая сеть: 5 200 детей, рост 10 % в год. Новая школа выходит примерно на 75 детей в первый год и 165 во второй.</t>
        </is>
      </c>
    </row>
    <row r="32" ht="15.75" customHeight="1" s="194">
      <c r="B32" s="188" t="inlineStr">
        <is>
          <t>Закрытие</t>
        </is>
      </c>
      <c r="C32" s="189" t="inlineStr">
        <is>
          <t>3 % школ и партнёров в год, помесячно через коэффициент сохранения. Уменьшает детей, роялти и ERP.</t>
        </is>
      </c>
    </row>
    <row r="33" ht="15.75" customHeight="1" s="194">
      <c r="B33" s="188" t="inlineStr">
        <is>
          <t>Роялти</t>
        </is>
      </c>
      <c r="C33" s="189" t="inlineStr">
        <is>
          <t>6,5 % для договоров до 31.12.2026, 8,5 % для новых, с 01.01.2030 все на 10 %. Не ниже минимального платежа за школу.</t>
        </is>
      </c>
    </row>
    <row r="34" ht="15.75" customHeight="1" s="194">
      <c r="B34" s="188" t="inlineStr">
        <is>
          <t>Мерч</t>
        </is>
      </c>
      <c r="C34" s="189" t="inlineStr">
        <is>
          <t>Себестоимость комплекта 2 100 ₽, наценка 85 %. Первичная закупка новой школы растянута на три месяца: 50 / 30 / 20 %.</t>
        </is>
      </c>
    </row>
    <row r="35" ht="15.75" customHeight="1" s="194">
      <c r="B35" s="188" t="inlineStr">
        <is>
          <t>Склад</t>
        </is>
      </c>
      <c r="C35" s="189" t="inlineStr">
        <is>
          <t>Закупка четыре раза в год до целевого запаса в 4 месяца будущих продаж. Возврат займа клубу — 60 % себестоимости продаж.</t>
        </is>
      </c>
    </row>
    <row r="36" ht="15.75" customHeight="1" s="194">
      <c r="B36" s="188" t="inlineStr">
        <is>
          <t>Налоги</t>
        </is>
      </c>
      <c r="C36" s="189" t="inlineStr">
        <is>
          <t>УСН либо минимальный налог с выручки — что больше. Страховые взносы 30 %, льгот нет.</t>
        </is>
      </c>
    </row>
    <row r="37" ht="15.75" customHeight="1" s="194">
      <c r="B37" s="188" t="inlineStr">
        <is>
          <t>Лагеря</t>
        </is>
      </c>
      <c r="C37" s="189" t="inlineStr">
        <is>
          <t>Блок отключён переключателем с 09.09.2026 и в этой версии не считается.</t>
        </is>
      </c>
    </row>
    <row r="38" ht="15.75" customHeight="1" s="194"/>
    <row r="39" ht="15.75" customHeight="1" s="194">
      <c r="B39" s="1" t="inlineStr">
        <is>
          <t>Словарь</t>
        </is>
      </c>
    </row>
    <row r="40" ht="15.75" customHeight="1" s="194"/>
    <row r="41" ht="15.75" customHeight="1" s="194">
      <c r="B41" s="187" t="inlineStr">
        <is>
          <t>Что значат слова в этой книге</t>
        </is>
      </c>
      <c r="C41" s="55" t="n"/>
    </row>
    <row r="42" ht="15.75" customHeight="1" s="194">
      <c r="B42" s="188" t="inlineStr">
        <is>
          <t>БДР</t>
        </is>
      </c>
      <c r="C42" s="189" t="inlineStr">
        <is>
          <t>Бюджет доходов и расходов: начисления. Выручка признаётся, когда услуга оказана, а не когда пришли деньги.</t>
        </is>
      </c>
    </row>
    <row r="43" ht="15.75" customHeight="1" s="194">
      <c r="B43" s="188" t="inlineStr">
        <is>
          <t>БДДС</t>
        </is>
      </c>
      <c r="C43" s="189" t="inlineStr">
        <is>
          <t>Бюджет движения денежных средств: реальные поступления и платежи по датам.</t>
        </is>
      </c>
    </row>
    <row r="44" ht="15.75" customHeight="1" s="194">
      <c r="B44" s="188" t="inlineStr">
        <is>
          <t>EBITDA</t>
        </is>
      </c>
      <c r="C44" s="189" t="inlineStr">
        <is>
          <t>Прибыль до процентов, налогов и амортизации. В этой модели = валовая прибыль минус OPEX.</t>
        </is>
      </c>
    </row>
    <row r="45" ht="15.75" customHeight="1" s="194">
      <c r="B45" s="188" t="inlineStr">
        <is>
          <t>OPEX</t>
        </is>
      </c>
      <c r="C45" s="189" t="inlineStr">
        <is>
          <t>Операционные расходы: ФОТ, ERP, офис, юристы, IT, SMM, маркетинг привлечения.</t>
        </is>
      </c>
    </row>
    <row r="46" ht="15.75" customHeight="1" s="194">
      <c r="B46" s="188" t="inlineStr">
        <is>
          <t>COGS</t>
        </is>
      </c>
      <c r="C46" s="189" t="inlineStr">
        <is>
          <t>Себестоимость проданного мерча.</t>
        </is>
      </c>
    </row>
    <row r="47" ht="15.75" customHeight="1" s="194">
      <c r="B47" s="188" t="inlineStr">
        <is>
          <t>Паушальный взнос</t>
        </is>
      </c>
      <c r="C47" s="189" t="inlineStr">
        <is>
          <t>Разовый платёж партнёра при покупке франшизы.</t>
        </is>
      </c>
    </row>
    <row r="48" ht="15.75" customHeight="1" s="194">
      <c r="B48" s="188" t="inlineStr">
        <is>
          <t>Роялти</t>
        </is>
      </c>
      <c r="C48" s="189" t="inlineStr">
        <is>
          <t>Регулярный платёж партнёра — процент с абонементов, но не ниже минимума за школу.</t>
        </is>
      </c>
    </row>
    <row r="49" ht="15.75" customHeight="1" s="194">
      <c r="B49" s="188" t="inlineStr">
        <is>
          <t>Когорта</t>
        </is>
      </c>
      <c r="C49" s="189" t="inlineStr">
        <is>
          <t>Группа школ одного возраста. Школы 7-го месяца жизни — одна когорта, 20-го — другая.</t>
        </is>
      </c>
    </row>
    <row r="50" ht="15.75" customHeight="1" s="194">
      <c r="B50" s="188" t="inlineStr">
        <is>
          <t>Целевой запас</t>
        </is>
      </c>
      <c r="C50" s="189" t="inlineStr">
        <is>
          <t>Сколько месяцев будущих продаж должно лежать на складе. Задаётся вводной.</t>
        </is>
      </c>
    </row>
    <row r="51" ht="15.75" customHeight="1" s="194">
      <c r="B51" s="188" t="inlineStr">
        <is>
          <t>Оборотный капитал</t>
        </is>
      </c>
      <c r="C51" s="189" t="inlineStr">
        <is>
          <t>Деньги, замороженные в складе и дебиторке. Из-за него EBITDA не равна денежному потоку.</t>
        </is>
      </c>
    </row>
    <row r="52" ht="15.75" customHeight="1" s="194">
      <c r="B52" s="188" t="inlineStr">
        <is>
          <t>Дебиторка</t>
        </is>
      </c>
      <c r="C52" s="189" t="inlineStr">
        <is>
          <t>Начислили, но ещё не получили.</t>
        </is>
      </c>
    </row>
    <row r="53" ht="15.75" customHeight="1" s="194">
      <c r="B53" s="188" t="inlineStr">
        <is>
          <t>Кредиторка</t>
        </is>
      </c>
      <c r="C53" s="189" t="inlineStr">
        <is>
          <t>Начислили, но ещё не заплатили.</t>
        </is>
      </c>
    </row>
    <row r="54" ht="15.75" customHeight="1" s="194">
      <c r="B54" s="188" t="inlineStr">
        <is>
          <t>Технические месяцы</t>
        </is>
      </c>
      <c r="C54" s="189" t="inlineStr">
        <is>
          <t>Шесть скрытых столбцов после 60-го месяца. Нужны, чтобы посчитать целевой запас склада на конец горизонта.</t>
        </is>
      </c>
    </row>
    <row r="55" ht="15.75" customHeight="1" s="194">
      <c r="B55" s="188" t="inlineStr">
        <is>
          <t>Сезон</t>
        </is>
      </c>
      <c r="C55" s="189" t="inlineStr">
        <is>
          <t>Год модели: с сентября по август. Сезон 1 — 2026/27.</t>
        </is>
      </c>
    </row>
    <row r="56" ht="15.75" customHeight="1" s="194"/>
    <row r="57" ht="15.75" customHeight="1" s="194"/>
    <row r="58" ht="15.75" customHeight="1" s="194"/>
    <row r="59" ht="15.75" customHeight="1" s="194"/>
    <row r="60" ht="15.75" customHeight="1" s="194"/>
    <row r="61" ht="15.75" customHeight="1" s="194"/>
    <row r="62" ht="15.75" customHeight="1" s="194"/>
    <row r="63" ht="15.75" customHeight="1" s="194"/>
    <row r="64" ht="15.75" customHeight="1" s="194"/>
    <row r="65" ht="15.75" customHeight="1" s="194"/>
    <row r="66" ht="15.75" customHeight="1" s="194"/>
    <row r="67" ht="15.75" customHeight="1" s="194"/>
    <row r="68" ht="15.75" customHeight="1" s="194"/>
    <row r="69" ht="15.75" customHeight="1" s="194"/>
    <row r="70" ht="15.75" customHeight="1" s="194"/>
    <row r="71" ht="15.75" customHeight="1" s="194"/>
    <row r="72" ht="15.75" customHeight="1" s="194"/>
    <row r="73" ht="15.75" customHeight="1" s="194"/>
    <row r="74" ht="15.75" customHeight="1" s="194"/>
    <row r="75" ht="15.75" customHeight="1" s="194"/>
    <row r="76" ht="15.75" customHeight="1" s="194"/>
    <row r="77" ht="15.75" customHeight="1" s="194"/>
    <row r="78" ht="15.75" customHeight="1" s="194"/>
    <row r="79" ht="15.75" customHeight="1" s="194"/>
    <row r="80" ht="15.75" customHeight="1" s="194"/>
    <row r="81" ht="15.75" customHeight="1" s="194"/>
    <row r="82" ht="15.75" customHeight="1" s="194"/>
    <row r="83" ht="15.75" customHeight="1" s="194"/>
    <row r="84" ht="15.75" customHeight="1" s="194"/>
    <row r="85" ht="15.75" customHeight="1" s="194"/>
    <row r="86" ht="15.75" customHeight="1" s="194"/>
    <row r="87" ht="15.75" customHeight="1" s="194"/>
    <row r="88" ht="15.75" customHeight="1" s="194"/>
    <row r="89" ht="15.75" customHeight="1" s="194"/>
    <row r="90" ht="15.75" customHeight="1" s="194"/>
    <row r="91" ht="15.75" customHeight="1" s="194"/>
    <row r="92" ht="15.75" customHeight="1" s="194"/>
    <row r="93" ht="15.75" customHeight="1" s="194"/>
    <row r="94" ht="15.75" customHeight="1" s="194"/>
    <row r="95" ht="15.75" customHeight="1" s="194"/>
    <row r="96" ht="15.75" customHeight="1" s="194"/>
    <row r="97" ht="15.75" customHeight="1" s="194"/>
    <row r="98" ht="15.75" customHeight="1" s="194"/>
    <row r="99" ht="15.75" customHeight="1" s="194"/>
    <row r="100" ht="15.75" customHeight="1" s="194"/>
    <row r="101" ht="15.75" customHeight="1" s="194"/>
    <row r="102" ht="15.75" customHeight="1" s="194"/>
    <row r="103" ht="15.75" customHeight="1" s="194"/>
    <row r="104" ht="15.75" customHeight="1" s="194"/>
    <row r="105" ht="15.75" customHeight="1" s="194"/>
    <row r="106" ht="15.75" customHeight="1" s="194"/>
    <row r="107" ht="15.75" customHeight="1" s="194"/>
    <row r="108" ht="15.75" customHeight="1" s="194"/>
    <row r="109" ht="15.75" customHeight="1" s="194"/>
    <row r="110" ht="15.75" customHeight="1" s="194"/>
    <row r="111" ht="15.75" customHeight="1" s="194"/>
    <row r="112" ht="15.75" customHeight="1" s="194"/>
    <row r="113" ht="15.75" customHeight="1" s="194"/>
    <row r="114" ht="15.75" customHeight="1" s="194"/>
    <row r="115" ht="15.75" customHeight="1" s="194"/>
    <row r="116" ht="15.75" customHeight="1" s="194"/>
    <row r="117" ht="15.75" customHeight="1" s="194"/>
    <row r="118" ht="15.75" customHeight="1" s="194"/>
    <row r="119" ht="15.75" customHeight="1" s="194"/>
    <row r="120" ht="15.75" customHeight="1" s="194"/>
    <row r="121" ht="15.75" customHeight="1" s="194"/>
    <row r="122" ht="15.75" customHeight="1" s="194"/>
    <row r="123" ht="15.75" customHeight="1" s="194"/>
    <row r="124" ht="15.75" customHeight="1" s="194"/>
    <row r="125" ht="15.75" customHeight="1" s="194"/>
    <row r="126" ht="15.75" customHeight="1" s="194"/>
    <row r="127" ht="15.75" customHeight="1" s="194"/>
    <row r="128" ht="15.75" customHeight="1" s="194"/>
    <row r="129" ht="15.75" customHeight="1" s="194"/>
    <row r="130" ht="15.75" customHeight="1" s="194"/>
    <row r="131" ht="15.75" customHeight="1" s="194"/>
    <row r="132" ht="15.75" customHeight="1" s="194"/>
    <row r="133" ht="15.75" customHeight="1" s="194"/>
    <row r="134" ht="15.75" customHeight="1" s="194"/>
    <row r="135" ht="15.75" customHeight="1" s="194"/>
    <row r="136" ht="15.75" customHeight="1" s="194"/>
    <row r="137" ht="15.75" customHeight="1" s="194"/>
    <row r="138" ht="15.75" customHeight="1" s="194"/>
    <row r="139" ht="15.75" customHeight="1" s="194"/>
    <row r="140" ht="15.75" customHeight="1" s="194"/>
    <row r="141" ht="15.75" customHeight="1" s="194"/>
    <row r="142" ht="15.75" customHeight="1" s="194"/>
    <row r="143" ht="15.75" customHeight="1" s="194"/>
    <row r="144" ht="15.75" customHeight="1" s="194"/>
    <row r="145" ht="15.75" customHeight="1" s="194"/>
    <row r="146" ht="15.75" customHeight="1" s="194"/>
    <row r="147" ht="15.75" customHeight="1" s="194"/>
    <row r="148" ht="15.75" customHeight="1" s="194"/>
    <row r="149" ht="15.75" customHeight="1" s="194"/>
    <row r="150" ht="15.75" customHeight="1" s="194"/>
    <row r="151" ht="15.75" customHeight="1" s="194"/>
    <row r="152" ht="15.75" customHeight="1" s="194"/>
    <row r="153" ht="15.75" customHeight="1" s="194"/>
    <row r="154" ht="15.75" customHeight="1" s="194"/>
    <row r="155" ht="15.75" customHeight="1" s="194"/>
    <row r="156" ht="15.75" customHeight="1" s="194"/>
    <row r="157" ht="15.75" customHeight="1" s="194"/>
    <row r="158" ht="15.75" customHeight="1" s="194"/>
    <row r="159" ht="15.75" customHeight="1" s="194"/>
    <row r="160" ht="15.75" customHeight="1" s="194"/>
    <row r="161" ht="15.75" customHeight="1" s="194"/>
    <row r="162" ht="15.75" customHeight="1" s="194"/>
    <row r="163" ht="15.75" customHeight="1" s="194"/>
    <row r="164" ht="15.75" customHeight="1" s="194"/>
    <row r="165" ht="15.75" customHeight="1" s="194"/>
    <row r="166" ht="15.75" customHeight="1" s="194"/>
    <row r="167" ht="15.75" customHeight="1" s="194"/>
    <row r="168" ht="15.75" customHeight="1" s="194"/>
    <row r="169" ht="15.75" customHeight="1" s="194"/>
    <row r="170" ht="15.75" customHeight="1" s="194"/>
    <row r="171" ht="15.75" customHeight="1" s="194"/>
    <row r="172" ht="15.75" customHeight="1" s="194"/>
    <row r="173" ht="15.75" customHeight="1" s="194"/>
    <row r="174" ht="15.75" customHeight="1" s="194"/>
    <row r="175" ht="15.75" customHeight="1" s="194"/>
    <row r="176" ht="15.75" customHeight="1" s="194"/>
    <row r="177" ht="15.75" customHeight="1" s="194"/>
    <row r="178" ht="15.75" customHeight="1" s="194"/>
    <row r="179" ht="15.75" customHeight="1" s="194"/>
    <row r="180" ht="15.75" customHeight="1" s="194"/>
    <row r="181" ht="15.75" customHeight="1" s="194"/>
    <row r="182" ht="15.75" customHeight="1" s="194"/>
    <row r="183" ht="15.75" customHeight="1" s="194"/>
    <row r="184" ht="15.75" customHeight="1" s="194"/>
    <row r="185" ht="15.75" customHeight="1" s="194"/>
    <row r="186" ht="15.75" customHeight="1" s="194"/>
    <row r="187" ht="15.75" customHeight="1" s="194"/>
    <row r="188" ht="15.75" customHeight="1" s="194"/>
    <row r="189" ht="15.75" customHeight="1" s="194"/>
    <row r="190" ht="15.75" customHeight="1" s="194"/>
    <row r="191" ht="15.75" customHeight="1" s="194"/>
    <row r="192" ht="15.75" customHeight="1" s="194"/>
    <row r="193" ht="15.75" customHeight="1" s="194"/>
    <row r="194" ht="15.75" customHeight="1" s="194"/>
    <row r="195" ht="15.75" customHeight="1" s="194"/>
    <row r="196" ht="15.75" customHeight="1" s="194"/>
    <row r="197" ht="15.75" customHeight="1" s="194"/>
    <row r="198" ht="15.75" customHeight="1" s="194"/>
    <row r="199" ht="15.75" customHeight="1" s="194"/>
    <row r="200" ht="15.75" customHeight="1" s="194"/>
    <row r="201" ht="15.75" customHeight="1" s="194"/>
    <row r="202" ht="15.75" customHeight="1" s="194"/>
    <row r="203" ht="15.75" customHeight="1" s="194"/>
    <row r="204" ht="15.75" customHeight="1" s="194"/>
    <row r="205" ht="15.75" customHeight="1" s="194"/>
    <row r="206" ht="15.75" customHeight="1" s="194"/>
    <row r="207" ht="15.75" customHeight="1" s="194"/>
    <row r="208" ht="15.75" customHeight="1" s="194"/>
    <row r="209" ht="15.75" customHeight="1" s="194"/>
    <row r="210" ht="15.75" customHeight="1" s="194"/>
    <row r="211" ht="15.75" customHeight="1" s="194"/>
    <row r="212" ht="15.75" customHeight="1" s="194"/>
    <row r="213" ht="15.75" customHeight="1" s="194"/>
    <row r="214" ht="15.75" customHeight="1" s="194"/>
    <row r="215" ht="15.75" customHeight="1" s="194"/>
    <row r="216" ht="15.75" customHeight="1" s="194"/>
    <row r="217" ht="15.75" customHeight="1" s="194"/>
    <row r="218" ht="15.75" customHeight="1" s="194"/>
    <row r="219" ht="15.75" customHeight="1" s="194"/>
    <row r="220" ht="15.75" customHeight="1" s="194"/>
    <row r="221" ht="15.75" customHeight="1" s="194"/>
    <row r="222" ht="15.75" customHeight="1" s="194"/>
    <row r="223" ht="15.75" customHeight="1" s="194"/>
    <row r="224" ht="15.75" customHeight="1" s="194"/>
    <row r="225" ht="15.75" customHeight="1" s="194"/>
    <row r="226" ht="15.75" customHeight="1" s="194"/>
    <row r="227" ht="15.75" customHeight="1" s="194"/>
    <row r="228" ht="15.75" customHeight="1" s="194"/>
    <row r="229" ht="15.75" customHeight="1" s="194"/>
    <row r="230" ht="15.75" customHeight="1" s="194"/>
    <row r="231" ht="15.75" customHeight="1" s="194"/>
    <row r="232" ht="15.75" customHeight="1" s="194"/>
    <row r="233" ht="15.75" customHeight="1" s="194"/>
    <row r="234" ht="15.75" customHeight="1" s="194"/>
    <row r="235" ht="15.75" customHeight="1" s="194"/>
    <row r="236" ht="15.75" customHeight="1" s="194"/>
    <row r="237" ht="15.75" customHeight="1" s="194"/>
    <row r="238" ht="15.75" customHeight="1" s="194"/>
    <row r="239" ht="15.75" customHeight="1" s="194"/>
    <row r="240" ht="15.75" customHeight="1" s="194"/>
    <row r="241" ht="15.75" customHeight="1" s="194"/>
    <row r="242" ht="15.75" customHeight="1" s="194"/>
    <row r="243" ht="15.75" customHeight="1" s="194"/>
    <row r="244" ht="15.75" customHeight="1" s="194"/>
    <row r="245" ht="15.75" customHeight="1" s="194"/>
    <row r="246" ht="15.75" customHeight="1" s="194"/>
    <row r="247" ht="15.75" customHeight="1" s="194"/>
    <row r="248" ht="15.75" customHeight="1" s="194"/>
    <row r="249" ht="15.75" customHeight="1" s="194"/>
    <row r="250" ht="15.75" customHeight="1" s="194"/>
    <row r="251" ht="15.75" customHeight="1" s="194"/>
    <row r="252" ht="15.75" customHeight="1" s="194"/>
    <row r="253" ht="15.75" customHeight="1" s="194"/>
    <row r="254" ht="15.75" customHeight="1" s="194"/>
    <row r="255" ht="15.75" customHeight="1" s="194"/>
    <row r="256" ht="15.75" customHeight="1" s="194"/>
    <row r="257" ht="15.75" customHeight="1" s="194"/>
    <row r="258" ht="15.75" customHeight="1" s="194"/>
    <row r="259" ht="15.75" customHeight="1" s="194"/>
    <row r="260" ht="15.75" customHeight="1" s="194"/>
    <row r="261" ht="15.75" customHeight="1" s="194"/>
    <row r="262" ht="15.75" customHeight="1" s="194"/>
    <row r="263" ht="15.75" customHeight="1" s="194"/>
    <row r="264" ht="15.75" customHeight="1" s="194"/>
    <row r="265" ht="15.75" customHeight="1" s="194"/>
    <row r="266" ht="15.75" customHeight="1" s="194"/>
    <row r="267" ht="15.75" customHeight="1" s="194"/>
    <row r="268" ht="15.75" customHeight="1" s="194"/>
    <row r="269" ht="15.75" customHeight="1" s="194"/>
    <row r="270" ht="15.75" customHeight="1" s="194"/>
    <row r="271" ht="15.75" customHeight="1" s="194"/>
    <row r="272" ht="15.75" customHeight="1" s="194"/>
    <row r="273" ht="15.75" customHeight="1" s="194"/>
    <row r="274" ht="15.75" customHeight="1" s="194"/>
    <row r="275" ht="15.75" customHeight="1" s="194"/>
    <row r="276" ht="15.75" customHeight="1" s="194"/>
    <row r="277" ht="15.75" customHeight="1" s="194"/>
    <row r="278" ht="15.75" customHeight="1" s="194"/>
    <row r="279" ht="15.75" customHeight="1" s="194"/>
    <row r="280" ht="15.75" customHeight="1" s="194"/>
    <row r="281" ht="15.75" customHeight="1" s="194"/>
    <row r="282" ht="15.75" customHeight="1" s="194"/>
    <row r="283" ht="15.75" customHeight="1" s="194"/>
    <row r="284" ht="15.75" customHeight="1" s="194"/>
    <row r="285" ht="15.75" customHeight="1" s="194"/>
    <row r="286" ht="15.75" customHeight="1" s="194"/>
    <row r="287" ht="15.75" customHeight="1" s="194"/>
    <row r="288" ht="15.75" customHeight="1" s="194"/>
    <row r="289" ht="15.75" customHeight="1" s="194"/>
    <row r="290" ht="15.75" customHeight="1" s="194"/>
    <row r="291" ht="15.75" customHeight="1" s="194"/>
    <row r="292" ht="15.75" customHeight="1" s="194"/>
    <row r="293" ht="15.75" customHeight="1" s="194"/>
    <row r="294" ht="15.75" customHeight="1" s="194"/>
    <row r="295" ht="15.75" customHeight="1" s="194"/>
    <row r="296" ht="15.75" customHeight="1" s="194"/>
    <row r="297" ht="15.75" customHeight="1" s="194"/>
    <row r="298" ht="15.75" customHeight="1" s="194"/>
    <row r="299" ht="15.75" customHeight="1" s="194"/>
    <row r="300" ht="15.75" customHeight="1" s="194"/>
    <row r="301" ht="15.75" customHeight="1" s="194"/>
    <row r="302" ht="15.75" customHeight="1" s="194"/>
    <row r="303" ht="15.75" customHeight="1" s="194"/>
    <row r="304" ht="15.75" customHeight="1" s="194"/>
    <row r="305" ht="15.75" customHeight="1" s="194"/>
    <row r="306" ht="15.75" customHeight="1" s="194"/>
    <row r="307" ht="15.75" customHeight="1" s="194"/>
    <row r="308" ht="15.75" customHeight="1" s="194"/>
    <row r="309" ht="15.75" customHeight="1" s="194"/>
    <row r="310" ht="15.75" customHeight="1" s="194"/>
    <row r="311" ht="15.75" customHeight="1" s="194"/>
    <row r="312" ht="15.75" customHeight="1" s="194"/>
    <row r="313" ht="15.75" customHeight="1" s="194"/>
    <row r="314" ht="15.75" customHeight="1" s="194"/>
    <row r="315" ht="15.75" customHeight="1" s="194"/>
    <row r="316" ht="15.75" customHeight="1" s="194"/>
    <row r="317" ht="15.75" customHeight="1" s="194"/>
    <row r="318" ht="15.75" customHeight="1" s="194"/>
    <row r="319" ht="15.75" customHeight="1" s="194"/>
    <row r="320" ht="15.75" customHeight="1" s="194"/>
    <row r="321" ht="15.75" customHeight="1" s="194"/>
    <row r="322" ht="15.75" customHeight="1" s="194"/>
    <row r="323" ht="15.75" customHeight="1" s="194"/>
    <row r="324" ht="15.75" customHeight="1" s="194"/>
    <row r="325" ht="15.75" customHeight="1" s="194"/>
    <row r="326" ht="15.75" customHeight="1" s="194"/>
    <row r="327" ht="15.75" customHeight="1" s="194"/>
    <row r="328" ht="15.75" customHeight="1" s="194"/>
    <row r="329" ht="15.75" customHeight="1" s="194"/>
    <row r="330" ht="15.75" customHeight="1" s="194"/>
    <row r="331" ht="15.75" customHeight="1" s="194"/>
    <row r="332" ht="15.75" customHeight="1" s="194"/>
    <row r="333" ht="15.75" customHeight="1" s="194"/>
    <row r="334" ht="15.75" customHeight="1" s="194"/>
    <row r="335" ht="15.75" customHeight="1" s="194"/>
    <row r="336" ht="15.75" customHeight="1" s="194"/>
    <row r="337" ht="15.75" customHeight="1" s="194"/>
    <row r="338" ht="15.75" customHeight="1" s="194"/>
    <row r="339" ht="15.75" customHeight="1" s="194"/>
    <row r="340" ht="15.75" customHeight="1" s="194"/>
    <row r="341" ht="15.75" customHeight="1" s="194"/>
    <row r="342" ht="15.75" customHeight="1" s="194"/>
    <row r="343" ht="15.75" customHeight="1" s="194"/>
    <row r="344" ht="15.75" customHeight="1" s="194"/>
    <row r="345" ht="15.75" customHeight="1" s="194"/>
    <row r="346" ht="15.75" customHeight="1" s="194"/>
    <row r="347" ht="15.75" customHeight="1" s="194"/>
    <row r="348" ht="15.75" customHeight="1" s="194"/>
    <row r="349" ht="15.75" customHeight="1" s="194"/>
    <row r="350" ht="15.75" customHeight="1" s="194"/>
    <row r="351" ht="15.75" customHeight="1" s="194"/>
    <row r="352" ht="15.75" customHeight="1" s="194"/>
    <row r="353" ht="15.75" customHeight="1" s="194"/>
    <row r="354" ht="15.75" customHeight="1" s="194"/>
    <row r="355" ht="15.75" customHeight="1" s="194"/>
    <row r="356" ht="15.75" customHeight="1" s="194"/>
    <row r="357" ht="15.75" customHeight="1" s="194"/>
    <row r="358" ht="15.75" customHeight="1" s="194"/>
    <row r="359" ht="15.75" customHeight="1" s="194"/>
    <row r="360" ht="15.75" customHeight="1" s="194"/>
    <row r="361" ht="15.75" customHeight="1" s="194"/>
    <row r="362" ht="15.75" customHeight="1" s="194"/>
    <row r="363" ht="15.75" customHeight="1" s="194"/>
    <row r="364" ht="15.75" customHeight="1" s="194"/>
    <row r="365" ht="15.75" customHeight="1" s="194"/>
    <row r="366" ht="15.75" customHeight="1" s="194"/>
    <row r="367" ht="15.75" customHeight="1" s="194"/>
    <row r="368" ht="15.75" customHeight="1" s="194"/>
    <row r="369" ht="15.75" customHeight="1" s="194"/>
    <row r="370" ht="15.75" customHeight="1" s="194"/>
    <row r="371" ht="15.75" customHeight="1" s="194"/>
    <row r="372" ht="15.75" customHeight="1" s="194"/>
    <row r="373" ht="15.75" customHeight="1" s="194"/>
    <row r="374" ht="15.75" customHeight="1" s="194"/>
    <row r="375" ht="15.75" customHeight="1" s="194"/>
    <row r="376" ht="15.75" customHeight="1" s="194"/>
    <row r="377" ht="15.75" customHeight="1" s="194"/>
    <row r="378" ht="15.75" customHeight="1" s="194"/>
    <row r="379" ht="15.75" customHeight="1" s="194"/>
    <row r="380" ht="15.75" customHeight="1" s="194"/>
    <row r="381" ht="15.75" customHeight="1" s="194"/>
    <row r="382" ht="15.75" customHeight="1" s="194"/>
    <row r="383" ht="15.75" customHeight="1" s="194"/>
    <row r="384" ht="15.75" customHeight="1" s="194"/>
    <row r="385" ht="15.75" customHeight="1" s="194"/>
    <row r="386" ht="15.75" customHeight="1" s="194"/>
    <row r="387" ht="15.75" customHeight="1" s="194"/>
    <row r="388" ht="15.75" customHeight="1" s="194"/>
    <row r="389" ht="15.75" customHeight="1" s="194"/>
    <row r="390" ht="15.75" customHeight="1" s="194"/>
    <row r="391" ht="15.75" customHeight="1" s="194"/>
    <row r="392" ht="15.75" customHeight="1" s="194"/>
    <row r="393" ht="15.75" customHeight="1" s="194"/>
    <row r="394" ht="15.75" customHeight="1" s="194"/>
    <row r="395" ht="15.75" customHeight="1" s="194"/>
    <row r="396" ht="15.75" customHeight="1" s="194"/>
    <row r="397" ht="15.75" customHeight="1" s="194"/>
    <row r="398" ht="15.75" customHeight="1" s="194"/>
    <row r="399" ht="15.75" customHeight="1" s="194"/>
    <row r="400" ht="15.75" customHeight="1" s="194"/>
    <row r="401" ht="15.75" customHeight="1" s="194"/>
    <row r="402" ht="15.75" customHeight="1" s="194"/>
    <row r="403" ht="15.75" customHeight="1" s="194"/>
    <row r="404" ht="15.75" customHeight="1" s="194"/>
    <row r="405" ht="15.75" customHeight="1" s="194"/>
    <row r="406" ht="15.75" customHeight="1" s="194"/>
    <row r="407" ht="15.75" customHeight="1" s="194"/>
    <row r="408" ht="15.75" customHeight="1" s="194"/>
    <row r="409" ht="15.75" customHeight="1" s="194"/>
    <row r="410" ht="15.75" customHeight="1" s="194"/>
    <row r="411" ht="15.75" customHeight="1" s="194"/>
    <row r="412" ht="15.75" customHeight="1" s="194"/>
    <row r="413" ht="15.75" customHeight="1" s="194"/>
    <row r="414" ht="15.75" customHeight="1" s="194"/>
    <row r="415" ht="15.75" customHeight="1" s="194"/>
    <row r="416" ht="15.75" customHeight="1" s="194"/>
    <row r="417" ht="15.75" customHeight="1" s="194"/>
    <row r="418" ht="15.75" customHeight="1" s="194"/>
    <row r="419" ht="15.75" customHeight="1" s="194"/>
    <row r="420" ht="15.75" customHeight="1" s="194"/>
    <row r="421" ht="15.75" customHeight="1" s="194"/>
    <row r="422" ht="15.75" customHeight="1" s="194"/>
    <row r="423" ht="15.75" customHeight="1" s="194"/>
    <row r="424" ht="15.75" customHeight="1" s="194"/>
    <row r="425" ht="15.75" customHeight="1" s="194"/>
    <row r="426" ht="15.75" customHeight="1" s="194"/>
    <row r="427" ht="15.75" customHeight="1" s="194"/>
    <row r="428" ht="15.75" customHeight="1" s="194"/>
    <row r="429" ht="15.75" customHeight="1" s="194"/>
    <row r="430" ht="15.75" customHeight="1" s="194"/>
    <row r="431" ht="15.75" customHeight="1" s="194"/>
    <row r="432" ht="15.75" customHeight="1" s="194"/>
    <row r="433" ht="15.75" customHeight="1" s="194"/>
    <row r="434" ht="15.75" customHeight="1" s="194"/>
    <row r="435" ht="15.75" customHeight="1" s="194"/>
    <row r="436" ht="15.75" customHeight="1" s="194"/>
    <row r="437" ht="15.75" customHeight="1" s="194"/>
    <row r="438" ht="15.75" customHeight="1" s="194"/>
    <row r="439" ht="15.75" customHeight="1" s="194"/>
    <row r="440" ht="15.75" customHeight="1" s="194"/>
    <row r="441" ht="15.75" customHeight="1" s="194"/>
    <row r="442" ht="15.75" customHeight="1" s="194"/>
    <row r="443" ht="15.75" customHeight="1" s="194"/>
    <row r="444" ht="15.75" customHeight="1" s="194"/>
    <row r="445" ht="15.75" customHeight="1" s="194"/>
    <row r="446" ht="15.75" customHeight="1" s="194"/>
    <row r="447" ht="15.75" customHeight="1" s="194"/>
    <row r="448" ht="15.75" customHeight="1" s="194"/>
    <row r="449" ht="15.75" customHeight="1" s="194"/>
    <row r="450" ht="15.75" customHeight="1" s="194"/>
    <row r="451" ht="15.75" customHeight="1" s="194"/>
    <row r="452" ht="15.75" customHeight="1" s="194"/>
    <row r="453" ht="15.75" customHeight="1" s="194"/>
    <row r="454" ht="15.75" customHeight="1" s="194"/>
    <row r="455" ht="15.75" customHeight="1" s="194"/>
    <row r="456" ht="15.75" customHeight="1" s="194"/>
    <row r="457" ht="15.75" customHeight="1" s="194"/>
    <row r="458" ht="15.75" customHeight="1" s="194"/>
    <row r="459" ht="15.75" customHeight="1" s="194"/>
    <row r="460" ht="15.75" customHeight="1" s="194"/>
    <row r="461" ht="15.75" customHeight="1" s="194"/>
    <row r="462" ht="15.75" customHeight="1" s="194"/>
    <row r="463" ht="15.75" customHeight="1" s="194"/>
    <row r="464" ht="15.75" customHeight="1" s="194"/>
    <row r="465" ht="15.75" customHeight="1" s="194"/>
    <row r="466" ht="15.75" customHeight="1" s="194"/>
    <row r="467" ht="15.75" customHeight="1" s="194"/>
    <row r="468" ht="15.75" customHeight="1" s="194"/>
    <row r="469" ht="15.75" customHeight="1" s="194"/>
    <row r="470" ht="15.75" customHeight="1" s="194"/>
    <row r="471" ht="15.75" customHeight="1" s="194"/>
    <row r="472" ht="15.75" customHeight="1" s="194"/>
    <row r="473" ht="15.75" customHeight="1" s="194"/>
    <row r="474" ht="15.75" customHeight="1" s="194"/>
    <row r="475" ht="15.75" customHeight="1" s="194"/>
    <row r="476" ht="15.75" customHeight="1" s="194"/>
    <row r="477" ht="15.75" customHeight="1" s="194"/>
    <row r="478" ht="15.75" customHeight="1" s="194"/>
    <row r="479" ht="15.75" customHeight="1" s="194"/>
    <row r="480" ht="15.75" customHeight="1" s="194"/>
    <row r="481" ht="15.75" customHeight="1" s="194"/>
    <row r="482" ht="15.75" customHeight="1" s="194"/>
    <row r="483" ht="15.75" customHeight="1" s="194"/>
    <row r="484" ht="15.75" customHeight="1" s="194"/>
    <row r="485" ht="15.75" customHeight="1" s="194"/>
    <row r="486" ht="15.75" customHeight="1" s="194"/>
    <row r="487" ht="15.75" customHeight="1" s="194"/>
    <row r="488" ht="15.75" customHeight="1" s="194"/>
    <row r="489" ht="15.75" customHeight="1" s="194"/>
    <row r="490" ht="15.75" customHeight="1" s="194"/>
    <row r="491" ht="15.75" customHeight="1" s="194"/>
    <row r="492" ht="15.75" customHeight="1" s="194"/>
    <row r="493" ht="15.75" customHeight="1" s="194"/>
    <row r="494" ht="15.75" customHeight="1" s="194"/>
    <row r="495" ht="15.75" customHeight="1" s="194"/>
    <row r="496" ht="15.75" customHeight="1" s="194"/>
    <row r="497" ht="15.75" customHeight="1" s="194"/>
    <row r="498" ht="15.75" customHeight="1" s="194"/>
    <row r="499" ht="15.75" customHeight="1" s="194"/>
    <row r="500" ht="15.75" customHeight="1" s="194"/>
    <row r="501" ht="15.75" customHeight="1" s="194"/>
    <row r="502" ht="15.75" customHeight="1" s="194"/>
    <row r="503" ht="15.75" customHeight="1" s="194"/>
    <row r="504" ht="15.75" customHeight="1" s="194"/>
    <row r="505" ht="15.75" customHeight="1" s="194"/>
    <row r="506" ht="15.75" customHeight="1" s="194"/>
    <row r="507" ht="15.75" customHeight="1" s="194"/>
    <row r="508" ht="15.75" customHeight="1" s="194"/>
    <row r="509" ht="15.75" customHeight="1" s="194"/>
    <row r="510" ht="15.75" customHeight="1" s="194"/>
    <row r="511" ht="15.75" customHeight="1" s="194"/>
    <row r="512" ht="15.75" customHeight="1" s="194"/>
    <row r="513" ht="15.75" customHeight="1" s="194"/>
    <row r="514" ht="15.75" customHeight="1" s="194"/>
    <row r="515" ht="15.75" customHeight="1" s="194"/>
    <row r="516" ht="15.75" customHeight="1" s="194"/>
    <row r="517" ht="15.75" customHeight="1" s="194"/>
    <row r="518" ht="15.75" customHeight="1" s="194"/>
    <row r="519" ht="15.75" customHeight="1" s="194"/>
    <row r="520" ht="15.75" customHeight="1" s="194"/>
    <row r="521" ht="15.75" customHeight="1" s="194"/>
    <row r="522" ht="15.75" customHeight="1" s="194"/>
    <row r="523" ht="15.75" customHeight="1" s="194"/>
    <row r="524" ht="15.75" customHeight="1" s="194"/>
    <row r="525" ht="15.75" customHeight="1" s="194"/>
    <row r="526" ht="15.75" customHeight="1" s="194"/>
    <row r="527" ht="15.75" customHeight="1" s="194"/>
    <row r="528" ht="15.75" customHeight="1" s="194"/>
    <row r="529" ht="15.75" customHeight="1" s="194"/>
    <row r="530" ht="15.75" customHeight="1" s="194"/>
    <row r="531" ht="15.75" customHeight="1" s="194"/>
    <row r="532" ht="15.75" customHeight="1" s="194"/>
    <row r="533" ht="15.75" customHeight="1" s="194"/>
    <row r="534" ht="15.75" customHeight="1" s="194"/>
    <row r="535" ht="15.75" customHeight="1" s="194"/>
    <row r="536" ht="15.75" customHeight="1" s="194"/>
    <row r="537" ht="15.75" customHeight="1" s="194"/>
    <row r="538" ht="15.75" customHeight="1" s="194"/>
    <row r="539" ht="15.75" customHeight="1" s="194"/>
    <row r="540" ht="15.75" customHeight="1" s="194"/>
    <row r="541" ht="15.75" customHeight="1" s="194"/>
    <row r="542" ht="15.75" customHeight="1" s="194"/>
    <row r="543" ht="15.75" customHeight="1" s="194"/>
    <row r="544" ht="15.75" customHeight="1" s="194"/>
    <row r="545" ht="15.75" customHeight="1" s="194"/>
    <row r="546" ht="15.75" customHeight="1" s="194"/>
    <row r="547" ht="15.75" customHeight="1" s="194"/>
    <row r="548" ht="15.75" customHeight="1" s="194"/>
    <row r="549" ht="15.75" customHeight="1" s="194"/>
    <row r="550" ht="15.75" customHeight="1" s="194"/>
    <row r="551" ht="15.75" customHeight="1" s="194"/>
    <row r="552" ht="15.75" customHeight="1" s="194"/>
    <row r="553" ht="15.75" customHeight="1" s="194"/>
    <row r="554" ht="15.75" customHeight="1" s="194"/>
    <row r="555" ht="15.75" customHeight="1" s="194"/>
    <row r="556" ht="15.75" customHeight="1" s="194"/>
    <row r="557" ht="15.75" customHeight="1" s="194"/>
    <row r="558" ht="15.75" customHeight="1" s="194"/>
    <row r="559" ht="15.75" customHeight="1" s="194"/>
    <row r="560" ht="15.75" customHeight="1" s="194"/>
    <row r="561" ht="15.75" customHeight="1" s="194"/>
    <row r="562" ht="15.75" customHeight="1" s="194"/>
    <row r="563" ht="15.75" customHeight="1" s="194"/>
    <row r="564" ht="15.75" customHeight="1" s="194"/>
    <row r="565" ht="15.75" customHeight="1" s="194"/>
    <row r="566" ht="15.75" customHeight="1" s="194"/>
    <row r="567" ht="15.75" customHeight="1" s="194"/>
    <row r="568" ht="15.75" customHeight="1" s="194"/>
    <row r="569" ht="15.75" customHeight="1" s="194"/>
    <row r="570" ht="15.75" customHeight="1" s="194"/>
    <row r="571" ht="15.75" customHeight="1" s="194"/>
    <row r="572" ht="15.75" customHeight="1" s="194"/>
    <row r="573" ht="15.75" customHeight="1" s="194"/>
    <row r="574" ht="15.75" customHeight="1" s="194"/>
    <row r="575" ht="15.75" customHeight="1" s="194"/>
    <row r="576" ht="15.75" customHeight="1" s="194"/>
    <row r="577" ht="15.75" customHeight="1" s="194"/>
    <row r="578" ht="15.75" customHeight="1" s="194"/>
    <row r="579" ht="15.75" customHeight="1" s="194"/>
    <row r="580" ht="15.75" customHeight="1" s="194"/>
    <row r="581" ht="15.75" customHeight="1" s="194"/>
    <row r="582" ht="15.75" customHeight="1" s="194"/>
    <row r="583" ht="15.75" customHeight="1" s="194"/>
    <row r="584" ht="15.75" customHeight="1" s="194"/>
    <row r="585" ht="15.75" customHeight="1" s="194"/>
    <row r="586" ht="15.75" customHeight="1" s="194"/>
    <row r="587" ht="15.75" customHeight="1" s="194"/>
    <row r="588" ht="15.75" customHeight="1" s="194"/>
    <row r="589" ht="15.75" customHeight="1" s="194"/>
    <row r="590" ht="15.75" customHeight="1" s="194"/>
    <row r="591" ht="15.75" customHeight="1" s="194"/>
    <row r="592" ht="15.75" customHeight="1" s="194"/>
    <row r="593" ht="15.75" customHeight="1" s="194"/>
    <row r="594" ht="15.75" customHeight="1" s="194"/>
    <row r="595" ht="15.75" customHeight="1" s="194"/>
    <row r="596" ht="15.75" customHeight="1" s="194"/>
    <row r="597" ht="15.75" customHeight="1" s="194"/>
    <row r="598" ht="15.75" customHeight="1" s="194"/>
    <row r="599" ht="15.75" customHeight="1" s="194"/>
    <row r="600" ht="15.75" customHeight="1" s="194"/>
    <row r="601" ht="15.75" customHeight="1" s="194"/>
    <row r="602" ht="15.75" customHeight="1" s="194"/>
    <row r="603" ht="15.75" customHeight="1" s="194"/>
    <row r="604" ht="15.75" customHeight="1" s="194"/>
    <row r="605" ht="15.75" customHeight="1" s="194"/>
    <row r="606" ht="15.75" customHeight="1" s="194"/>
    <row r="607" ht="15.75" customHeight="1" s="194"/>
    <row r="608" ht="15.75" customHeight="1" s="194"/>
    <row r="609" ht="15.75" customHeight="1" s="194"/>
    <row r="610" ht="15.75" customHeight="1" s="194"/>
    <row r="611" ht="15.75" customHeight="1" s="194"/>
    <row r="612" ht="15.75" customHeight="1" s="194"/>
    <row r="613" ht="15.75" customHeight="1" s="194"/>
    <row r="614" ht="15.75" customHeight="1" s="194"/>
    <row r="615" ht="15.75" customHeight="1" s="194"/>
    <row r="616" ht="15.75" customHeight="1" s="194"/>
    <row r="617" ht="15.75" customHeight="1" s="194"/>
    <row r="618" ht="15.75" customHeight="1" s="194"/>
    <row r="619" ht="15.75" customHeight="1" s="194"/>
    <row r="620" ht="15.75" customHeight="1" s="194"/>
    <row r="621" ht="15.75" customHeight="1" s="194"/>
    <row r="622" ht="15.75" customHeight="1" s="194"/>
    <row r="623" ht="15.75" customHeight="1" s="194"/>
    <row r="624" ht="15.75" customHeight="1" s="194"/>
    <row r="625" ht="15.75" customHeight="1" s="194"/>
    <row r="626" ht="15.75" customHeight="1" s="194"/>
    <row r="627" ht="15.75" customHeight="1" s="194"/>
    <row r="628" ht="15.75" customHeight="1" s="194"/>
    <row r="629" ht="15.75" customHeight="1" s="194"/>
    <row r="630" ht="15.75" customHeight="1" s="194"/>
    <row r="631" ht="15.75" customHeight="1" s="194"/>
    <row r="632" ht="15.75" customHeight="1" s="194"/>
    <row r="633" ht="15.75" customHeight="1" s="194"/>
    <row r="634" ht="15.75" customHeight="1" s="194"/>
    <row r="635" ht="15.75" customHeight="1" s="194"/>
    <row r="636" ht="15.75" customHeight="1" s="194"/>
    <row r="637" ht="15.75" customHeight="1" s="194"/>
    <row r="638" ht="15.75" customHeight="1" s="194"/>
    <row r="639" ht="15.75" customHeight="1" s="194"/>
    <row r="640" ht="15.75" customHeight="1" s="194"/>
    <row r="641" ht="15.75" customHeight="1" s="194"/>
    <row r="642" ht="15.75" customHeight="1" s="194"/>
    <row r="643" ht="15.75" customHeight="1" s="194"/>
    <row r="644" ht="15.75" customHeight="1" s="194"/>
    <row r="645" ht="15.75" customHeight="1" s="194"/>
    <row r="646" ht="15.75" customHeight="1" s="194"/>
    <row r="647" ht="15.75" customHeight="1" s="194"/>
    <row r="648" ht="15.75" customHeight="1" s="194"/>
    <row r="649" ht="15.75" customHeight="1" s="194"/>
    <row r="650" ht="15.75" customHeight="1" s="194"/>
    <row r="651" ht="15.75" customHeight="1" s="194"/>
    <row r="652" ht="15.75" customHeight="1" s="194"/>
    <row r="653" ht="15.75" customHeight="1" s="194"/>
    <row r="654" ht="15.75" customHeight="1" s="194"/>
    <row r="655" ht="15.75" customHeight="1" s="194"/>
    <row r="656" ht="15.75" customHeight="1" s="194"/>
    <row r="657" ht="15.75" customHeight="1" s="194"/>
    <row r="658" ht="15.75" customHeight="1" s="194"/>
    <row r="659" ht="15.75" customHeight="1" s="194"/>
    <row r="660" ht="15.75" customHeight="1" s="194"/>
    <row r="661" ht="15.75" customHeight="1" s="194"/>
    <row r="662" ht="15.75" customHeight="1" s="194"/>
    <row r="663" ht="15.75" customHeight="1" s="194"/>
    <row r="664" ht="15.75" customHeight="1" s="194"/>
    <row r="665" ht="15.75" customHeight="1" s="194"/>
    <row r="666" ht="15.75" customHeight="1" s="194"/>
    <row r="667" ht="15.75" customHeight="1" s="194"/>
    <row r="668" ht="15.75" customHeight="1" s="194"/>
    <row r="669" ht="15.75" customHeight="1" s="194"/>
    <row r="670" ht="15.75" customHeight="1" s="194"/>
    <row r="671" ht="15.75" customHeight="1" s="194"/>
    <row r="672" ht="15.75" customHeight="1" s="194"/>
    <row r="673" ht="15.75" customHeight="1" s="194"/>
    <row r="674" ht="15.75" customHeight="1" s="194"/>
    <row r="675" ht="15.75" customHeight="1" s="194"/>
    <row r="676" ht="15.75" customHeight="1" s="194"/>
    <row r="677" ht="15.75" customHeight="1" s="194"/>
    <row r="678" ht="15.75" customHeight="1" s="194"/>
    <row r="679" ht="15.75" customHeight="1" s="194"/>
    <row r="680" ht="15.75" customHeight="1" s="194"/>
    <row r="681" ht="15.75" customHeight="1" s="194"/>
    <row r="682" ht="15.75" customHeight="1" s="194"/>
    <row r="683" ht="15.75" customHeight="1" s="194"/>
    <row r="684" ht="15.75" customHeight="1" s="194"/>
    <row r="685" ht="15.75" customHeight="1" s="194"/>
    <row r="686" ht="15.75" customHeight="1" s="194"/>
    <row r="687" ht="15.75" customHeight="1" s="194"/>
    <row r="688" ht="15.75" customHeight="1" s="194"/>
    <row r="689" ht="15.75" customHeight="1" s="194"/>
    <row r="690" ht="15.75" customHeight="1" s="194"/>
    <row r="691" ht="15.75" customHeight="1" s="194"/>
    <row r="692" ht="15.75" customHeight="1" s="194"/>
    <row r="693" ht="15.75" customHeight="1" s="194"/>
    <row r="694" ht="15.75" customHeight="1" s="194"/>
    <row r="695" ht="15.75" customHeight="1" s="194"/>
    <row r="696" ht="15.75" customHeight="1" s="194"/>
    <row r="697" ht="15.75" customHeight="1" s="194"/>
    <row r="698" ht="15.75" customHeight="1" s="194"/>
    <row r="699" ht="15.75" customHeight="1" s="194"/>
    <row r="700" ht="15.75" customHeight="1" s="194"/>
    <row r="701" ht="15.75" customHeight="1" s="194"/>
    <row r="702" ht="15.75" customHeight="1" s="194"/>
    <row r="703" ht="15.75" customHeight="1" s="194"/>
    <row r="704" ht="15.75" customHeight="1" s="194"/>
    <row r="705" ht="15.75" customHeight="1" s="194"/>
    <row r="706" ht="15.75" customHeight="1" s="194"/>
    <row r="707" ht="15.75" customHeight="1" s="194"/>
    <row r="708" ht="15.75" customHeight="1" s="194"/>
    <row r="709" ht="15.75" customHeight="1" s="194"/>
    <row r="710" ht="15.75" customHeight="1" s="194"/>
    <row r="711" ht="15.75" customHeight="1" s="194"/>
    <row r="712" ht="15.75" customHeight="1" s="194"/>
    <row r="713" ht="15.75" customHeight="1" s="194"/>
    <row r="714" ht="15.75" customHeight="1" s="194"/>
    <row r="715" ht="15.75" customHeight="1" s="194"/>
    <row r="716" ht="15.75" customHeight="1" s="194"/>
    <row r="717" ht="15.75" customHeight="1" s="194"/>
    <row r="718" ht="15.75" customHeight="1" s="194"/>
    <row r="719" ht="15.75" customHeight="1" s="194"/>
    <row r="720" ht="15.75" customHeight="1" s="194"/>
    <row r="721" ht="15.75" customHeight="1" s="194"/>
    <row r="722" ht="15.75" customHeight="1" s="194"/>
    <row r="723" ht="15.75" customHeight="1" s="194"/>
    <row r="724" ht="15.75" customHeight="1" s="194"/>
    <row r="725" ht="15.75" customHeight="1" s="194"/>
    <row r="726" ht="15.75" customHeight="1" s="194"/>
    <row r="727" ht="15.75" customHeight="1" s="194"/>
    <row r="728" ht="15.75" customHeight="1" s="194"/>
    <row r="729" ht="15.75" customHeight="1" s="194"/>
    <row r="730" ht="15.75" customHeight="1" s="194"/>
    <row r="731" ht="15.75" customHeight="1" s="194"/>
    <row r="732" ht="15.75" customHeight="1" s="194"/>
    <row r="733" ht="15.75" customHeight="1" s="194"/>
    <row r="734" ht="15.75" customHeight="1" s="194"/>
    <row r="735" ht="15.75" customHeight="1" s="194"/>
    <row r="736" ht="15.75" customHeight="1" s="194"/>
    <row r="737" ht="15.75" customHeight="1" s="194"/>
    <row r="738" ht="15.75" customHeight="1" s="194"/>
    <row r="739" ht="15.75" customHeight="1" s="194"/>
    <row r="740" ht="15.75" customHeight="1" s="194"/>
    <row r="741" ht="15.75" customHeight="1" s="194"/>
    <row r="742" ht="15.75" customHeight="1" s="194"/>
    <row r="743" ht="15.75" customHeight="1" s="194"/>
    <row r="744" ht="15.75" customHeight="1" s="194"/>
    <row r="745" ht="15.75" customHeight="1" s="194"/>
    <row r="746" ht="15.75" customHeight="1" s="194"/>
    <row r="747" ht="15.75" customHeight="1" s="194"/>
    <row r="748" ht="15.75" customHeight="1" s="194"/>
    <row r="749" ht="15.75" customHeight="1" s="194"/>
    <row r="750" ht="15.75" customHeight="1" s="194"/>
    <row r="751" ht="15.75" customHeight="1" s="194"/>
    <row r="752" ht="15.75" customHeight="1" s="194"/>
    <row r="753" ht="15.75" customHeight="1" s="194"/>
    <row r="754" ht="15.75" customHeight="1" s="194"/>
    <row r="755" ht="15.75" customHeight="1" s="194"/>
    <row r="756" ht="15.75" customHeight="1" s="194"/>
    <row r="757" ht="15.75" customHeight="1" s="194"/>
    <row r="758" ht="15.75" customHeight="1" s="194"/>
    <row r="759" ht="15.75" customHeight="1" s="194"/>
    <row r="760" ht="15.75" customHeight="1" s="194"/>
    <row r="761" ht="15.75" customHeight="1" s="194"/>
    <row r="762" ht="15.75" customHeight="1" s="194"/>
    <row r="763" ht="15.75" customHeight="1" s="194"/>
    <row r="764" ht="15.75" customHeight="1" s="194"/>
    <row r="765" ht="15.75" customHeight="1" s="194"/>
    <row r="766" ht="15.75" customHeight="1" s="194"/>
    <row r="767" ht="15.75" customHeight="1" s="194"/>
    <row r="768" ht="15.75" customHeight="1" s="194"/>
    <row r="769" ht="15.75" customHeight="1" s="194"/>
    <row r="770" ht="15.75" customHeight="1" s="194"/>
    <row r="771" ht="15.75" customHeight="1" s="194"/>
    <row r="772" ht="15.75" customHeight="1" s="194"/>
    <row r="773" ht="15.75" customHeight="1" s="194"/>
    <row r="774" ht="15.75" customHeight="1" s="194"/>
    <row r="775" ht="15.75" customHeight="1" s="194"/>
    <row r="776" ht="15.75" customHeight="1" s="194"/>
    <row r="777" ht="15.75" customHeight="1" s="194"/>
    <row r="778" ht="15.75" customHeight="1" s="194"/>
    <row r="779" ht="15.75" customHeight="1" s="194"/>
    <row r="780" ht="15.75" customHeight="1" s="194"/>
    <row r="781" ht="15.75" customHeight="1" s="194"/>
    <row r="782" ht="15.75" customHeight="1" s="194"/>
    <row r="783" ht="15.75" customHeight="1" s="194"/>
    <row r="784" ht="15.75" customHeight="1" s="194"/>
    <row r="785" ht="15.75" customHeight="1" s="194"/>
    <row r="786" ht="15.75" customHeight="1" s="194"/>
    <row r="787" ht="15.75" customHeight="1" s="194"/>
    <row r="788" ht="15.75" customHeight="1" s="194"/>
    <row r="789" ht="15.75" customHeight="1" s="194"/>
    <row r="790" ht="15.75" customHeight="1" s="194"/>
    <row r="791" ht="15.75" customHeight="1" s="194"/>
    <row r="792" ht="15.75" customHeight="1" s="194"/>
    <row r="793" ht="15.75" customHeight="1" s="194"/>
    <row r="794" ht="15.75" customHeight="1" s="194"/>
    <row r="795" ht="15.75" customHeight="1" s="194"/>
    <row r="796" ht="15.75" customHeight="1" s="194"/>
    <row r="797" ht="15.75" customHeight="1" s="194"/>
    <row r="798" ht="15.75" customHeight="1" s="194"/>
    <row r="799" ht="15.75" customHeight="1" s="194"/>
    <row r="800" ht="15.75" customHeight="1" s="194"/>
    <row r="801" ht="15.75" customHeight="1" s="194"/>
    <row r="802" ht="15.75" customHeight="1" s="194"/>
    <row r="803" ht="15.75" customHeight="1" s="194"/>
    <row r="804" ht="15.75" customHeight="1" s="194"/>
    <row r="805" ht="15.75" customHeight="1" s="194"/>
    <row r="806" ht="15.75" customHeight="1" s="194"/>
    <row r="807" ht="15.75" customHeight="1" s="194"/>
    <row r="808" ht="15.75" customHeight="1" s="194"/>
    <row r="809" ht="15.75" customHeight="1" s="194"/>
    <row r="810" ht="15.75" customHeight="1" s="194"/>
    <row r="811" ht="15.75" customHeight="1" s="194"/>
    <row r="812" ht="15.75" customHeight="1" s="194"/>
    <row r="813" ht="15.75" customHeight="1" s="194"/>
    <row r="814" ht="15.75" customHeight="1" s="194"/>
    <row r="815" ht="15.75" customHeight="1" s="194"/>
    <row r="816" ht="15.75" customHeight="1" s="194"/>
    <row r="817" ht="15.75" customHeight="1" s="194"/>
    <row r="818" ht="15.75" customHeight="1" s="194"/>
    <row r="819" ht="15.75" customHeight="1" s="194"/>
    <row r="820" ht="15.75" customHeight="1" s="194"/>
    <row r="821" ht="15.75" customHeight="1" s="194"/>
    <row r="822" ht="15.75" customHeight="1" s="194"/>
    <row r="823" ht="15.75" customHeight="1" s="194"/>
    <row r="824" ht="15.75" customHeight="1" s="194"/>
    <row r="825" ht="15.75" customHeight="1" s="194"/>
    <row r="826" ht="15.75" customHeight="1" s="194"/>
    <row r="827" ht="15.75" customHeight="1" s="194"/>
    <row r="828" ht="15.75" customHeight="1" s="194"/>
    <row r="829" ht="15.75" customHeight="1" s="194"/>
    <row r="830" ht="15.75" customHeight="1" s="194"/>
    <row r="831" ht="15.75" customHeight="1" s="194"/>
    <row r="832" ht="15.75" customHeight="1" s="194"/>
    <row r="833" ht="15.75" customHeight="1" s="194"/>
    <row r="834" ht="15.75" customHeight="1" s="194"/>
    <row r="835" ht="15.75" customHeight="1" s="194"/>
    <row r="836" ht="15.75" customHeight="1" s="194"/>
    <row r="837" ht="15.75" customHeight="1" s="194"/>
    <row r="838" ht="15.75" customHeight="1" s="194"/>
    <row r="839" ht="15.75" customHeight="1" s="194"/>
    <row r="840" ht="15.75" customHeight="1" s="194"/>
    <row r="841" ht="15.75" customHeight="1" s="194"/>
    <row r="842" ht="15.75" customHeight="1" s="194"/>
    <row r="843" ht="15.75" customHeight="1" s="194"/>
    <row r="844" ht="15.75" customHeight="1" s="194"/>
    <row r="845" ht="15.75" customHeight="1" s="194"/>
    <row r="846" ht="15.75" customHeight="1" s="194"/>
    <row r="847" ht="15.75" customHeight="1" s="194"/>
    <row r="848" ht="15.75" customHeight="1" s="194"/>
    <row r="849" ht="15.75" customHeight="1" s="194"/>
    <row r="850" ht="15.75" customHeight="1" s="194"/>
    <row r="851" ht="15.75" customHeight="1" s="194"/>
    <row r="852" ht="15.75" customHeight="1" s="194"/>
    <row r="853" ht="15.75" customHeight="1" s="194"/>
    <row r="854" ht="15.75" customHeight="1" s="194"/>
    <row r="855" ht="15.75" customHeight="1" s="194"/>
    <row r="856" ht="15.75" customHeight="1" s="194"/>
    <row r="857" ht="15.75" customHeight="1" s="194"/>
    <row r="858" ht="15.75" customHeight="1" s="194"/>
    <row r="859" ht="15.75" customHeight="1" s="194"/>
    <row r="860" ht="15.75" customHeight="1" s="194"/>
    <row r="861" ht="15.75" customHeight="1" s="194"/>
    <row r="862" ht="15.75" customHeight="1" s="194"/>
    <row r="863" ht="15.75" customHeight="1" s="194"/>
    <row r="864" ht="15.75" customHeight="1" s="194"/>
    <row r="865" ht="15.75" customHeight="1" s="194"/>
    <row r="866" ht="15.75" customHeight="1" s="194"/>
    <row r="867" ht="15.75" customHeight="1" s="194"/>
    <row r="868" ht="15.75" customHeight="1" s="194"/>
    <row r="869" ht="15.75" customHeight="1" s="194"/>
    <row r="870" ht="15.75" customHeight="1" s="194"/>
    <row r="871" ht="15.75" customHeight="1" s="194"/>
    <row r="872" ht="15.75" customHeight="1" s="194"/>
    <row r="873" ht="15.75" customHeight="1" s="194"/>
    <row r="874" ht="15.75" customHeight="1" s="194"/>
    <row r="875" ht="15.75" customHeight="1" s="194"/>
    <row r="876" ht="15.75" customHeight="1" s="194"/>
    <row r="877" ht="15.75" customHeight="1" s="194"/>
    <row r="878" ht="15.75" customHeight="1" s="194"/>
    <row r="879" ht="15.75" customHeight="1" s="194"/>
    <row r="880" ht="15.75" customHeight="1" s="194"/>
    <row r="881" ht="15.75" customHeight="1" s="194"/>
    <row r="882" ht="15.75" customHeight="1" s="194"/>
    <row r="883" ht="15.75" customHeight="1" s="194"/>
    <row r="884" ht="15.75" customHeight="1" s="194"/>
    <row r="885" ht="15.75" customHeight="1" s="194"/>
    <row r="886" ht="15.75" customHeight="1" s="194"/>
    <row r="887" ht="15.75" customHeight="1" s="194"/>
    <row r="888" ht="15.75" customHeight="1" s="194"/>
    <row r="889" ht="15.75" customHeight="1" s="194"/>
    <row r="890" ht="15.75" customHeight="1" s="194"/>
    <row r="891" ht="15.75" customHeight="1" s="194"/>
    <row r="892" ht="15.75" customHeight="1" s="194"/>
    <row r="893" ht="15.75" customHeight="1" s="194"/>
    <row r="894" ht="15.75" customHeight="1" s="194"/>
    <row r="895" ht="15.75" customHeight="1" s="194"/>
    <row r="896" ht="15.75" customHeight="1" s="194"/>
    <row r="897" ht="15.75" customHeight="1" s="194"/>
    <row r="898" ht="15.75" customHeight="1" s="194"/>
    <row r="899" ht="15.75" customHeight="1" s="194"/>
    <row r="900" ht="15.75" customHeight="1" s="194"/>
    <row r="901" ht="15.75" customHeight="1" s="194"/>
    <row r="902" ht="15.75" customHeight="1" s="194"/>
    <row r="903" ht="15.75" customHeight="1" s="194"/>
    <row r="904" ht="15.75" customHeight="1" s="194"/>
    <row r="905" ht="15.75" customHeight="1" s="194"/>
    <row r="906" ht="15.75" customHeight="1" s="194"/>
    <row r="907" ht="15.75" customHeight="1" s="194"/>
    <row r="908" ht="15.75" customHeight="1" s="194"/>
    <row r="909" ht="15.75" customHeight="1" s="194"/>
    <row r="910" ht="15.75" customHeight="1" s="194"/>
    <row r="911" ht="15.75" customHeight="1" s="194"/>
    <row r="912" ht="15.75" customHeight="1" s="194"/>
    <row r="913" ht="15.75" customHeight="1" s="194"/>
    <row r="914" ht="15.75" customHeight="1" s="194"/>
    <row r="915" ht="15.75" customHeight="1" s="194"/>
    <row r="916" ht="15.75" customHeight="1" s="194"/>
    <row r="917" ht="15.75" customHeight="1" s="194"/>
    <row r="918" ht="15.75" customHeight="1" s="194"/>
    <row r="919" ht="15.75" customHeight="1" s="194"/>
    <row r="920" ht="15.75" customHeight="1" s="194"/>
    <row r="921" ht="15.75" customHeight="1" s="194"/>
    <row r="922" ht="15.75" customHeight="1" s="194"/>
    <row r="923" ht="15.75" customHeight="1" s="194"/>
    <row r="924" ht="15.75" customHeight="1" s="194"/>
    <row r="925" ht="15.75" customHeight="1" s="194"/>
    <row r="926" ht="15.75" customHeight="1" s="194"/>
    <row r="927" ht="15.75" customHeight="1" s="194"/>
    <row r="928" ht="15.75" customHeight="1" s="194"/>
    <row r="929" ht="15.75" customHeight="1" s="194"/>
    <row r="930" ht="15.75" customHeight="1" s="194"/>
    <row r="931" ht="15.75" customHeight="1" s="194"/>
    <row r="932" ht="15.75" customHeight="1" s="194"/>
    <row r="933" ht="15.75" customHeight="1" s="194"/>
    <row r="934" ht="15.75" customHeight="1" s="194"/>
    <row r="935" ht="15.75" customHeight="1" s="194"/>
    <row r="936" ht="15.75" customHeight="1" s="194"/>
    <row r="937" ht="15.75" customHeight="1" s="194"/>
    <row r="938" ht="15.75" customHeight="1" s="194"/>
    <row r="939" ht="15.75" customHeight="1" s="194"/>
    <row r="940" ht="15.75" customHeight="1" s="194"/>
    <row r="941" ht="15.75" customHeight="1" s="194"/>
    <row r="942" ht="15.75" customHeight="1" s="194"/>
    <row r="943" ht="15.75" customHeight="1" s="194"/>
    <row r="944" ht="15.75" customHeight="1" s="194"/>
    <row r="945" ht="15.75" customHeight="1" s="194"/>
    <row r="946" ht="15.75" customHeight="1" s="194"/>
    <row r="947" ht="15.75" customHeight="1" s="194"/>
    <row r="948" ht="15.75" customHeight="1" s="194"/>
    <row r="949" ht="15.75" customHeight="1" s="194"/>
    <row r="950" ht="15.75" customHeight="1" s="194"/>
    <row r="951" ht="15.75" customHeight="1" s="194"/>
    <row r="952" ht="15.75" customHeight="1" s="194"/>
    <row r="953" ht="15.75" customHeight="1" s="194"/>
    <row r="954" ht="15.75" customHeight="1" s="194"/>
    <row r="955" ht="15.75" customHeight="1" s="194"/>
    <row r="956" ht="15.75" customHeight="1" s="194"/>
    <row r="957" ht="15.75" customHeight="1" s="194"/>
    <row r="958" ht="15.75" customHeight="1" s="194"/>
    <row r="959" ht="15.75" customHeight="1" s="194"/>
    <row r="960" ht="15.75" customHeight="1" s="194"/>
    <row r="961" ht="15.75" customHeight="1" s="194"/>
    <row r="962" ht="15.75" customHeight="1" s="194"/>
    <row r="963" ht="15.75" customHeight="1" s="194"/>
    <row r="964" ht="15.75" customHeight="1" s="194"/>
    <row r="965" ht="15.75" customHeight="1" s="194"/>
    <row r="966" ht="15.75" customHeight="1" s="194"/>
    <row r="967" ht="15.75" customHeight="1" s="194"/>
    <row r="968" ht="15.75" customHeight="1" s="194"/>
    <row r="969" ht="15.75" customHeight="1" s="194"/>
    <row r="970" ht="15.75" customHeight="1" s="194"/>
    <row r="971" ht="15.75" customHeight="1" s="194"/>
    <row r="972" ht="15.75" customHeight="1" s="194"/>
    <row r="973" ht="15.75" customHeight="1" s="194"/>
    <row r="974" ht="15.75" customHeight="1" s="194"/>
    <row r="975" ht="15.75" customHeight="1" s="194"/>
    <row r="976" ht="15.75" customHeight="1" s="194"/>
    <row r="977" ht="15.75" customHeight="1" s="194"/>
    <row r="978" ht="15.75" customHeight="1" s="194"/>
    <row r="979" ht="15.75" customHeight="1" s="194"/>
    <row r="980" ht="15.75" customHeight="1" s="194"/>
    <row r="981" ht="15.75" customHeight="1" s="194"/>
    <row r="982" ht="15.75" customHeight="1" s="194"/>
    <row r="983" ht="15.75" customHeight="1" s="194"/>
    <row r="984" ht="15.75" customHeight="1" s="194"/>
    <row r="985" ht="15.75" customHeight="1" s="194"/>
    <row r="986" ht="15.75" customHeight="1" s="194"/>
    <row r="987" ht="15.75" customHeight="1" s="194"/>
    <row r="988" ht="15.75" customHeight="1" s="194"/>
    <row r="989" ht="15.75" customHeight="1" s="194"/>
    <row r="990" ht="15.75" customHeight="1" s="194"/>
    <row r="991" ht="15.75" customHeight="1" s="194"/>
    <row r="992" ht="15.75" customHeight="1" s="194"/>
    <row r="993" ht="15.75" customHeight="1" s="194"/>
    <row r="994" ht="15.75" customHeight="1" s="194"/>
    <row r="995" ht="15.75" customHeight="1" s="194"/>
    <row r="996" ht="15.75" customHeight="1" s="194"/>
    <row r="997" ht="15.75" customHeight="1" s="194"/>
    <row r="998" ht="15.75" customHeight="1" s="194"/>
    <row r="999" ht="15.75" customHeight="1" s="194"/>
    <row r="1000" ht="15.75" customHeight="1" s="194"/>
  </sheetData>
  <pageMargins left="0.75" right="0.75" top="1" bottom="1" header="0" footer="0"/>
  <pageSetup orientation="landscape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2:L62"/>
  <sheetViews>
    <sheetView showGridLines="0" workbookViewId="0">
      <selection activeCell="A1" sqref="A1"/>
    </sheetView>
  </sheetViews>
  <sheetFormatPr baseColWidth="8" defaultColWidth="14.43" defaultRowHeight="15" customHeight="1" outlineLevelRow="1"/>
  <cols>
    <col width="3" customWidth="1" style="194" min="1" max="1"/>
    <col width="40" customWidth="1" style="194" min="2" max="2"/>
    <col width="21" customWidth="1" style="194" min="3" max="3"/>
    <col width="26" customWidth="1" style="194" min="4" max="4"/>
    <col width="18" customWidth="1" style="194" min="5" max="5"/>
    <col width="26" customWidth="1" style="194" min="6" max="6"/>
    <col width="16" customWidth="1" style="194" min="7" max="12"/>
    <col width="8.710000000000001" customWidth="1" style="194" min="13" max="26"/>
  </cols>
  <sheetData>
    <row r="2">
      <c r="B2" s="90" t="inlineStr">
        <is>
          <t>Сезон 25/26 — что было на самом деле</t>
        </is>
      </c>
    </row>
    <row r="3">
      <c r="B3" s="2" t="inlineStr">
        <is>
          <t>Прогноз начинается с сентября 2026. Этот лист — то, что ему предшествовало. Ничего не считает: вводится в разделе 17 листа «01_Вводные», сюда попадает ссылками.</t>
        </is>
      </c>
    </row>
    <row r="5">
      <c r="B5" s="165" t="inlineStr">
        <is>
          <t>Отчёт о финансовых результатах, 11 месяцев (окт.25 — авг.26)</t>
        </is>
      </c>
    </row>
    <row r="6">
      <c r="B6" s="190" t="inlineStr">
        <is>
          <t>Статья</t>
        </is>
      </c>
      <c r="C6" s="190" t="inlineStr">
        <is>
          <t>Сезон 25/26</t>
        </is>
      </c>
      <c r="D6" s="190" t="inlineStr">
        <is>
          <t>Откуда</t>
        </is>
      </c>
      <c r="E6" s="190" t="n"/>
      <c r="F6" s="190" t="inlineStr">
        <is>
          <t>Комментарий</t>
        </is>
      </c>
    </row>
    <row r="7">
      <c r="B7" s="56" t="inlineStr">
        <is>
          <t>Паушальные взносы</t>
        </is>
      </c>
      <c r="C7" s="87">
        <f>'01_Вводные'!$B$324</f>
        <v/>
      </c>
      <c r="D7" s="191">
        <f>'01_Вводные'!$D$324</f>
        <v/>
      </c>
      <c r="F7" s="57">
        <f>IF('01_Вводные'!$E$324="","",'01_Вводные'!$E$324)</f>
        <v/>
      </c>
    </row>
    <row r="8">
      <c r="B8" s="56" t="inlineStr">
        <is>
          <t>Роялти</t>
        </is>
      </c>
      <c r="C8" s="87">
        <f>'01_Вводные'!$B$325</f>
        <v/>
      </c>
      <c r="D8" s="191">
        <f>'01_Вводные'!$D$325</f>
        <v/>
      </c>
      <c r="F8" s="57">
        <f>IF('01_Вводные'!$E$325="","",'01_Вводные'!$E$325)</f>
        <v/>
      </c>
    </row>
    <row r="9">
      <c r="B9" s="56" t="inlineStr">
        <is>
          <t>Мерч (спортивная форма)</t>
        </is>
      </c>
      <c r="C9" s="87">
        <f>'01_Вводные'!$B$326</f>
        <v/>
      </c>
      <c r="D9" s="191">
        <f>'01_Вводные'!$D$326</f>
        <v/>
      </c>
      <c r="F9" s="57">
        <f>IF('01_Вводные'!$E$326="","",'01_Вводные'!$E$326)</f>
        <v/>
      </c>
    </row>
    <row r="10">
      <c r="B10" s="192" t="inlineStr">
        <is>
          <t>Выручка без НДС</t>
        </is>
      </c>
      <c r="C10" s="133">
        <f>'01_Вводные'!$B$327</f>
        <v/>
      </c>
      <c r="D10" s="130">
        <f>'01_Вводные'!$D$327</f>
        <v/>
      </c>
      <c r="F10" s="57">
        <f>IF('01_Вводные'!$E$327="","",'01_Вводные'!$E$327)</f>
        <v/>
      </c>
    </row>
    <row r="12">
      <c r="B12" s="56" t="inlineStr">
        <is>
          <t>Прямые расходы</t>
        </is>
      </c>
      <c r="C12" s="87">
        <f>'01_Вводные'!$B$328</f>
        <v/>
      </c>
      <c r="D12" s="191">
        <f>'01_Вводные'!$D$328</f>
        <v/>
      </c>
      <c r="F12" s="57">
        <f>IF('01_Вводные'!$E$328="","",'01_Вводные'!$E$328)</f>
        <v/>
      </c>
    </row>
    <row r="13">
      <c r="B13" s="192" t="inlineStr">
        <is>
          <t>Валовая прибыль</t>
        </is>
      </c>
      <c r="C13" s="133">
        <f>'01_Вводные'!$B$329</f>
        <v/>
      </c>
      <c r="D13" s="130">
        <f>'01_Вводные'!$D$329</f>
        <v/>
      </c>
      <c r="F13" s="57">
        <f>IF('01_Вводные'!$E$329="","",'01_Вводные'!$E$329)</f>
        <v/>
      </c>
    </row>
    <row r="15">
      <c r="B15" s="56" t="inlineStr">
        <is>
          <t>ФОТ и кадровые расходы</t>
        </is>
      </c>
      <c r="C15" s="87">
        <f>'01_Вводные'!$B$330</f>
        <v/>
      </c>
      <c r="D15" s="191">
        <f>'01_Вводные'!$D$330</f>
        <v/>
      </c>
      <c r="F15" s="57">
        <f>IF('01_Вводные'!$E$330="","",'01_Вводные'!$E$330)</f>
        <v/>
      </c>
    </row>
    <row r="16">
      <c r="B16" s="56" t="inlineStr">
        <is>
          <t>OPEX — прочие</t>
        </is>
      </c>
      <c r="C16" s="87">
        <f>'01_Вводные'!$B$331</f>
        <v/>
      </c>
      <c r="D16" s="191">
        <f>'01_Вводные'!$D$331</f>
        <v/>
      </c>
      <c r="F16" s="57">
        <f>IF('01_Вводные'!$E$331="","",'01_Вводные'!$E$331)</f>
        <v/>
      </c>
    </row>
    <row r="17">
      <c r="B17" s="192" t="inlineStr">
        <is>
          <t>EBITDA</t>
        </is>
      </c>
      <c r="C17" s="133">
        <f>'01_Вводные'!$B$332</f>
        <v/>
      </c>
      <c r="D17" s="130">
        <f>'01_Вводные'!$D$332</f>
        <v/>
      </c>
      <c r="F17" s="57">
        <f>IF('01_Вводные'!$E$332="","",'01_Вводные'!$E$332)</f>
        <v/>
      </c>
    </row>
    <row r="19">
      <c r="B19" s="56" t="inlineStr">
        <is>
          <t>УСН / минимальный налог</t>
        </is>
      </c>
      <c r="C19" s="87">
        <f>'01_Вводные'!$B$333</f>
        <v/>
      </c>
      <c r="D19" s="191">
        <f>'01_Вводные'!$D$333</f>
        <v/>
      </c>
      <c r="F19" s="57">
        <f>IF('01_Вводные'!$E$333="","",'01_Вводные'!$E$333)</f>
        <v/>
      </c>
    </row>
    <row r="20">
      <c r="B20" s="192" t="inlineStr">
        <is>
          <t>Прибыль после налога</t>
        </is>
      </c>
      <c r="C20" s="133">
        <f>'01_Вводные'!$B$334</f>
        <v/>
      </c>
      <c r="D20" s="130">
        <f>'01_Вводные'!$D$334</f>
        <v/>
      </c>
      <c r="F20" s="57">
        <f>IF('01_Вводные'!$E$334="","",'01_Вводные'!$E$334)</f>
        <v/>
      </c>
    </row>
    <row r="21" ht="15.75" customHeight="1" s="194"/>
    <row r="22" ht="15.75" customHeight="1" s="194"/>
    <row r="23" ht="15.75" customHeight="1" s="194">
      <c r="B23" s="165" t="inlineStr">
        <is>
          <t>Сеть на конец сезона</t>
        </is>
      </c>
    </row>
    <row r="24" ht="15.75" customHeight="1" s="194">
      <c r="B24" s="190" t="inlineStr">
        <is>
          <t>Показатель</t>
        </is>
      </c>
      <c r="C24" s="190" t="inlineStr">
        <is>
          <t>Значение</t>
        </is>
      </c>
      <c r="D24" s="190" t="inlineStr">
        <is>
          <t>Откуда</t>
        </is>
      </c>
      <c r="E24" s="190" t="n"/>
      <c r="F24" s="190" t="inlineStr">
        <is>
          <t>Комментарий</t>
        </is>
      </c>
    </row>
    <row r="25" ht="15.75" customHeight="1" s="194">
      <c r="B25" s="56" t="inlineStr">
        <is>
          <t>Школы на конец сезона</t>
        </is>
      </c>
      <c r="C25" s="87">
        <f>'01_Вводные'!$B$337</f>
        <v/>
      </c>
      <c r="D25" s="191">
        <f>'01_Вводные'!$D$337</f>
        <v/>
      </c>
      <c r="F25" s="107">
        <f>IF('01_Вводные'!$E$337="","",'01_Вводные'!$E$337)</f>
        <v/>
      </c>
    </row>
    <row r="26" ht="15.75" customHeight="1" s="194">
      <c r="B26" s="56" t="inlineStr">
        <is>
          <t>Партнёры на конец сезона</t>
        </is>
      </c>
      <c r="C26" s="87">
        <f>'01_Вводные'!$B$338</f>
        <v/>
      </c>
      <c r="D26" s="191">
        <f>'01_Вводные'!$D$338</f>
        <v/>
      </c>
      <c r="F26" s="107">
        <f>IF('01_Вводные'!$E$338="","",'01_Вводные'!$E$338)</f>
        <v/>
      </c>
    </row>
    <row r="27" ht="15.75" customHeight="1" s="194">
      <c r="B27" s="56" t="inlineStr">
        <is>
          <t>Дети на конец сезона</t>
        </is>
      </c>
      <c r="C27" s="87">
        <f>'01_Вводные'!$B$339</f>
        <v/>
      </c>
      <c r="D27" s="191">
        <f>'01_Вводные'!$D$339</f>
        <v/>
      </c>
      <c r="F27" s="107">
        <f>IF('01_Вводные'!$E$339="","",'01_Вводные'!$E$339)</f>
        <v/>
      </c>
    </row>
    <row r="28" ht="15.75" customHeight="1" s="194">
      <c r="B28" s="56" t="inlineStr">
        <is>
          <t>Деньги на конец сезона</t>
        </is>
      </c>
      <c r="C28" s="87">
        <f>'01_Вводные'!$B$336</f>
        <v/>
      </c>
      <c r="D28" s="191">
        <f>'01_Вводные'!$D$336</f>
        <v/>
      </c>
      <c r="F28" s="107">
        <f>IF('01_Вводные'!$E$336="","",'01_Вводные'!$E$336)</f>
        <v/>
      </c>
    </row>
    <row r="29" ht="15.75" customHeight="1" s="194">
      <c r="B29" s="56" t="inlineStr">
        <is>
          <t>Денежный поток за сезон</t>
        </is>
      </c>
      <c r="C29" s="87">
        <f>'01_Вводные'!$B$335</f>
        <v/>
      </c>
      <c r="D29" s="191">
        <f>'01_Вводные'!$D$335</f>
        <v/>
      </c>
      <c r="F29" s="107">
        <f>IF('01_Вводные'!$E$335="","",'01_Вводные'!$E$335)</f>
        <v/>
      </c>
    </row>
    <row r="30" ht="15.75" customHeight="1" s="194"/>
    <row r="31" ht="15.75" customHeight="1" s="194"/>
    <row r="32" ht="15.75" customHeight="1" s="194">
      <c r="B32" s="165" t="inlineStr">
        <is>
          <t>Реестр начислений помесячно — единственный полный ряд</t>
        </is>
      </c>
    </row>
    <row r="33" ht="15.75" customHeight="1" s="194">
      <c r="B33" s="190" t="inlineStr">
        <is>
          <t>Месяц</t>
        </is>
      </c>
      <c r="C33" s="190" t="inlineStr">
        <is>
          <t>Оборот сети, ₽</t>
        </is>
      </c>
      <c r="D33" s="190" t="inlineStr">
        <is>
          <t>Роялти начислено, ₽</t>
        </is>
      </c>
      <c r="E33" s="190" t="inlineStr">
        <is>
          <t>Эффективная ставка</t>
        </is>
      </c>
    </row>
    <row r="34" ht="15.75" customHeight="1" s="194">
      <c r="B34" s="60">
        <f>'01_Вводные'!$A$358</f>
        <v/>
      </c>
      <c r="C34" s="87">
        <f>'01_Вводные'!$B$358</f>
        <v/>
      </c>
      <c r="D34" s="87">
        <f>'01_Вводные'!$C$358</f>
        <v/>
      </c>
      <c r="E34" s="141">
        <f>IF(C34=0,0,D34/C34)</f>
        <v/>
      </c>
    </row>
    <row r="35" ht="15.75" customHeight="1" s="194">
      <c r="B35" s="60">
        <f>'01_Вводные'!$A$359</f>
        <v/>
      </c>
      <c r="C35" s="87">
        <f>'01_Вводные'!$B$359</f>
        <v/>
      </c>
      <c r="D35" s="87">
        <f>'01_Вводные'!$C$359</f>
        <v/>
      </c>
      <c r="E35" s="141">
        <f>IF(C35=0,0,D35/C35)</f>
        <v/>
      </c>
    </row>
    <row r="36" ht="15.75" customHeight="1" s="194">
      <c r="B36" s="60">
        <f>'01_Вводные'!$A$360</f>
        <v/>
      </c>
      <c r="C36" s="87">
        <f>'01_Вводные'!$B$360</f>
        <v/>
      </c>
      <c r="D36" s="87">
        <f>'01_Вводные'!$C$360</f>
        <v/>
      </c>
      <c r="E36" s="141">
        <f>IF(C36=0,0,D36/C36)</f>
        <v/>
      </c>
    </row>
    <row r="37" ht="15.75" customHeight="1" s="194">
      <c r="B37" s="60">
        <f>'01_Вводные'!$A$361</f>
        <v/>
      </c>
      <c r="C37" s="87">
        <f>'01_Вводные'!$B$361</f>
        <v/>
      </c>
      <c r="D37" s="87">
        <f>'01_Вводные'!$C$361</f>
        <v/>
      </c>
      <c r="E37" s="141">
        <f>IF(C37=0,0,D37/C37)</f>
        <v/>
      </c>
    </row>
    <row r="38" ht="15.75" customHeight="1" s="194">
      <c r="B38" s="60">
        <f>'01_Вводные'!$A$362</f>
        <v/>
      </c>
      <c r="C38" s="87">
        <f>'01_Вводные'!$B$362</f>
        <v/>
      </c>
      <c r="D38" s="87">
        <f>'01_Вводные'!$C$362</f>
        <v/>
      </c>
      <c r="E38" s="141">
        <f>IF(C38=0,0,D38/C38)</f>
        <v/>
      </c>
    </row>
    <row r="39" ht="15.75" customHeight="1" s="194">
      <c r="B39" s="60">
        <f>'01_Вводные'!$A$363</f>
        <v/>
      </c>
      <c r="C39" s="87">
        <f>'01_Вводные'!$B$363</f>
        <v/>
      </c>
      <c r="D39" s="87">
        <f>'01_Вводные'!$C$363</f>
        <v/>
      </c>
      <c r="E39" s="141">
        <f>IF(C39=0,0,D39/C39)</f>
        <v/>
      </c>
    </row>
    <row r="40" ht="15.75" customHeight="1" s="194">
      <c r="B40" s="60">
        <f>'01_Вводные'!$A$364</f>
        <v/>
      </c>
      <c r="C40" s="87">
        <f>'01_Вводные'!$B$364</f>
        <v/>
      </c>
      <c r="D40" s="87">
        <f>'01_Вводные'!$C$364</f>
        <v/>
      </c>
      <c r="E40" s="141">
        <f>IF(C40=0,0,D40/C40)</f>
        <v/>
      </c>
    </row>
    <row r="41" ht="15.75" customHeight="1" s="194">
      <c r="B41" s="60">
        <f>'01_Вводные'!$A$365</f>
        <v/>
      </c>
      <c r="C41" s="87">
        <f>'01_Вводные'!$B$365</f>
        <v/>
      </c>
      <c r="D41" s="87">
        <f>'01_Вводные'!$C$365</f>
        <v/>
      </c>
      <c r="E41" s="141">
        <f>IF(C41=0,0,D41/C41)</f>
        <v/>
      </c>
    </row>
    <row r="42" ht="15.75" customHeight="1" s="194">
      <c r="B42" s="60">
        <f>'01_Вводные'!$A$366</f>
        <v/>
      </c>
      <c r="C42" s="87">
        <f>'01_Вводные'!$B$366</f>
        <v/>
      </c>
      <c r="D42" s="87">
        <f>'01_Вводные'!$C$366</f>
        <v/>
      </c>
      <c r="E42" s="141">
        <f>IF(C42=0,0,D42/C42)</f>
        <v/>
      </c>
    </row>
    <row r="43" ht="15.75" customHeight="1" s="194">
      <c r="B43" s="60">
        <f>'01_Вводные'!$A$367</f>
        <v/>
      </c>
      <c r="C43" s="87">
        <f>'01_Вводные'!$B$367</f>
        <v/>
      </c>
      <c r="D43" s="87">
        <f>'01_Вводные'!$C$367</f>
        <v/>
      </c>
      <c r="E43" s="141">
        <f>IF(C43=0,0,D43/C43)</f>
        <v/>
      </c>
    </row>
    <row r="44" ht="15.75" customHeight="1" s="194">
      <c r="B44" s="60">
        <f>'01_Вводные'!$A$368</f>
        <v/>
      </c>
      <c r="C44" s="87">
        <f>'01_Вводные'!$B$368</f>
        <v/>
      </c>
      <c r="D44" s="87">
        <f>'01_Вводные'!$C$368</f>
        <v/>
      </c>
      <c r="E44" s="141">
        <f>IF(C44=0,0,D44/C44)</f>
        <v/>
      </c>
    </row>
    <row r="45" ht="15.75" customHeight="1" s="194">
      <c r="B45" s="130" t="inlineStr">
        <is>
          <t>Итого за 11 месяцев</t>
        </is>
      </c>
      <c r="C45" s="133">
        <f>SUM(C34:C44)</f>
        <v/>
      </c>
      <c r="D45" s="133">
        <f>SUM(D34:D44)</f>
        <v/>
      </c>
      <c r="E45" s="193">
        <f>IF(C45=0,0,D45/C45)</f>
        <v/>
      </c>
      <c r="G45" s="107" t="inlineStr">
        <is>
          <t>Сентябрь 2025 в переданном реестре отсутствует, поэтому месяцев одиннадцать.</t>
        </is>
      </c>
    </row>
    <row r="46" ht="15.75" customHeight="1" s="194"/>
    <row r="47" ht="15.75" customHeight="1" s="194"/>
    <row r="48" ht="15.75" customHeight="1" s="194">
      <c r="B48" s="165" t="inlineStr">
        <is>
          <t>P&amp;L управляющей компании помесячно — сентябрь 2025 — июль 2026</t>
        </is>
      </c>
    </row>
    <row r="49" ht="15.75" customHeight="1" s="194">
      <c r="B49" s="190" t="inlineStr">
        <is>
          <t>Месяц</t>
        </is>
      </c>
      <c r="C49" s="190" t="inlineStr">
        <is>
          <t>Паушальные</t>
        </is>
      </c>
      <c r="D49" s="190" t="inlineStr">
        <is>
          <t>Роялти</t>
        </is>
      </c>
      <c r="E49" s="190" t="inlineStr">
        <is>
          <t>Мерч</t>
        </is>
      </c>
      <c r="F49" s="190" t="inlineStr">
        <is>
          <t>Себестоимость формы</t>
        </is>
      </c>
      <c r="G49" s="190" t="inlineStr">
        <is>
          <t>Выплаты клубу</t>
        </is>
      </c>
      <c r="H49" s="190" t="inlineStr">
        <is>
          <t>ФОТ со взносами</t>
        </is>
      </c>
      <c r="I49" s="190" t="inlineStr">
        <is>
          <t>OPEX — прочие</t>
        </is>
      </c>
      <c r="J49" s="190" t="inlineStr">
        <is>
          <t>Прочие расходы</t>
        </is>
      </c>
      <c r="K49" s="190" t="inlineStr">
        <is>
          <t>Налог на прибыль</t>
        </is>
      </c>
      <c r="L49" s="190" t="inlineStr">
        <is>
          <t>Чистый денежный поток</t>
        </is>
      </c>
    </row>
    <row r="50" ht="15.75" customHeight="1" s="194">
      <c r="B50" s="60">
        <f>'01_Вводные'!$A$343</f>
        <v/>
      </c>
      <c r="C50" s="87">
        <f>'01_Вводные'!B$343</f>
        <v/>
      </c>
      <c r="D50" s="87">
        <f>'01_Вводные'!C$343</f>
        <v/>
      </c>
      <c r="E50" s="87">
        <f>'01_Вводные'!D$343</f>
        <v/>
      </c>
      <c r="F50" s="87">
        <f>'01_Вводные'!E$343</f>
        <v/>
      </c>
      <c r="G50" s="87">
        <f>'01_Вводные'!F$343</f>
        <v/>
      </c>
      <c r="H50" s="87">
        <f>'01_Вводные'!G$343</f>
        <v/>
      </c>
      <c r="I50" s="87">
        <f>'01_Вводные'!H$343</f>
        <v/>
      </c>
      <c r="J50" s="87">
        <f>'01_Вводные'!I$343</f>
        <v/>
      </c>
      <c r="K50" s="87">
        <f>'01_Вводные'!J$343</f>
        <v/>
      </c>
      <c r="L50" s="87">
        <f>'01_Вводные'!K$343</f>
        <v/>
      </c>
    </row>
    <row r="51" ht="15.75" customHeight="1" s="194">
      <c r="B51" s="60">
        <f>'01_Вводные'!$A$344</f>
        <v/>
      </c>
      <c r="C51" s="87">
        <f>'01_Вводные'!B$344</f>
        <v/>
      </c>
      <c r="D51" s="87">
        <f>'01_Вводные'!C$344</f>
        <v/>
      </c>
      <c r="E51" s="87">
        <f>'01_Вводные'!D$344</f>
        <v/>
      </c>
      <c r="F51" s="87">
        <f>'01_Вводные'!E$344</f>
        <v/>
      </c>
      <c r="G51" s="87">
        <f>'01_Вводные'!F$344</f>
        <v/>
      </c>
      <c r="H51" s="87">
        <f>'01_Вводные'!G$344</f>
        <v/>
      </c>
      <c r="I51" s="87">
        <f>'01_Вводные'!H$344</f>
        <v/>
      </c>
      <c r="J51" s="87">
        <f>'01_Вводные'!I$344</f>
        <v/>
      </c>
      <c r="K51" s="87">
        <f>'01_Вводные'!J$344</f>
        <v/>
      </c>
      <c r="L51" s="87">
        <f>'01_Вводные'!K$344</f>
        <v/>
      </c>
    </row>
    <row r="52" ht="15.75" customHeight="1" s="194">
      <c r="B52" s="60">
        <f>'01_Вводные'!$A$345</f>
        <v/>
      </c>
      <c r="C52" s="87">
        <f>'01_Вводные'!B$345</f>
        <v/>
      </c>
      <c r="D52" s="87">
        <f>'01_Вводные'!C$345</f>
        <v/>
      </c>
      <c r="E52" s="87">
        <f>'01_Вводные'!D$345</f>
        <v/>
      </c>
      <c r="F52" s="87">
        <f>'01_Вводные'!E$345</f>
        <v/>
      </c>
      <c r="G52" s="87">
        <f>'01_Вводные'!F$345</f>
        <v/>
      </c>
      <c r="H52" s="87">
        <f>'01_Вводные'!G$345</f>
        <v/>
      </c>
      <c r="I52" s="87">
        <f>'01_Вводные'!H$345</f>
        <v/>
      </c>
      <c r="J52" s="87">
        <f>'01_Вводные'!I$345</f>
        <v/>
      </c>
      <c r="K52" s="87">
        <f>'01_Вводные'!J$345</f>
        <v/>
      </c>
      <c r="L52" s="87">
        <f>'01_Вводные'!K$345</f>
        <v/>
      </c>
    </row>
    <row r="53" ht="15.75" customHeight="1" s="194">
      <c r="B53" s="60">
        <f>'01_Вводные'!$A$346</f>
        <v/>
      </c>
      <c r="C53" s="87">
        <f>'01_Вводные'!B$346</f>
        <v/>
      </c>
      <c r="D53" s="87">
        <f>'01_Вводные'!C$346</f>
        <v/>
      </c>
      <c r="E53" s="87">
        <f>'01_Вводные'!D$346</f>
        <v/>
      </c>
      <c r="F53" s="87">
        <f>'01_Вводные'!E$346</f>
        <v/>
      </c>
      <c r="G53" s="87">
        <f>'01_Вводные'!F$346</f>
        <v/>
      </c>
      <c r="H53" s="87">
        <f>'01_Вводные'!G$346</f>
        <v/>
      </c>
      <c r="I53" s="87">
        <f>'01_Вводные'!H$346</f>
        <v/>
      </c>
      <c r="J53" s="87">
        <f>'01_Вводные'!I$346</f>
        <v/>
      </c>
      <c r="K53" s="87">
        <f>'01_Вводные'!J$346</f>
        <v/>
      </c>
      <c r="L53" s="87">
        <f>'01_Вводные'!K$346</f>
        <v/>
      </c>
    </row>
    <row r="54" ht="15.75" customHeight="1" s="194">
      <c r="B54" s="60">
        <f>'01_Вводные'!$A$347</f>
        <v/>
      </c>
      <c r="C54" s="87">
        <f>'01_Вводные'!B$347</f>
        <v/>
      </c>
      <c r="D54" s="87">
        <f>'01_Вводные'!C$347</f>
        <v/>
      </c>
      <c r="E54" s="87">
        <f>'01_Вводные'!D$347</f>
        <v/>
      </c>
      <c r="F54" s="87">
        <f>'01_Вводные'!E$347</f>
        <v/>
      </c>
      <c r="G54" s="87">
        <f>'01_Вводные'!F$347</f>
        <v/>
      </c>
      <c r="H54" s="87">
        <f>'01_Вводные'!G$347</f>
        <v/>
      </c>
      <c r="I54" s="87">
        <f>'01_Вводные'!H$347</f>
        <v/>
      </c>
      <c r="J54" s="87">
        <f>'01_Вводные'!I$347</f>
        <v/>
      </c>
      <c r="K54" s="87">
        <f>'01_Вводные'!J$347</f>
        <v/>
      </c>
      <c r="L54" s="87">
        <f>'01_Вводные'!K$347</f>
        <v/>
      </c>
    </row>
    <row r="55" ht="15.75" customHeight="1" s="194">
      <c r="B55" s="60">
        <f>'01_Вводные'!$A$348</f>
        <v/>
      </c>
      <c r="C55" s="87">
        <f>'01_Вводные'!B$348</f>
        <v/>
      </c>
      <c r="D55" s="87">
        <f>'01_Вводные'!C$348</f>
        <v/>
      </c>
      <c r="E55" s="87">
        <f>'01_Вводные'!D$348</f>
        <v/>
      </c>
      <c r="F55" s="87">
        <f>'01_Вводные'!E$348</f>
        <v/>
      </c>
      <c r="G55" s="87">
        <f>'01_Вводные'!F$348</f>
        <v/>
      </c>
      <c r="H55" s="87">
        <f>'01_Вводные'!G$348</f>
        <v/>
      </c>
      <c r="I55" s="87">
        <f>'01_Вводные'!H$348</f>
        <v/>
      </c>
      <c r="J55" s="87">
        <f>'01_Вводные'!I$348</f>
        <v/>
      </c>
      <c r="K55" s="87">
        <f>'01_Вводные'!J$348</f>
        <v/>
      </c>
      <c r="L55" s="87">
        <f>'01_Вводные'!K$348</f>
        <v/>
      </c>
    </row>
    <row r="56" ht="15.75" customHeight="1" s="194">
      <c r="B56" s="60">
        <f>'01_Вводные'!$A$349</f>
        <v/>
      </c>
      <c r="C56" s="87">
        <f>'01_Вводные'!B$349</f>
        <v/>
      </c>
      <c r="D56" s="87">
        <f>'01_Вводные'!C$349</f>
        <v/>
      </c>
      <c r="E56" s="87">
        <f>'01_Вводные'!D$349</f>
        <v/>
      </c>
      <c r="F56" s="87">
        <f>'01_Вводные'!E$349</f>
        <v/>
      </c>
      <c r="G56" s="87">
        <f>'01_Вводные'!F$349</f>
        <v/>
      </c>
      <c r="H56" s="87">
        <f>'01_Вводные'!G$349</f>
        <v/>
      </c>
      <c r="I56" s="87">
        <f>'01_Вводные'!H$349</f>
        <v/>
      </c>
      <c r="J56" s="87">
        <f>'01_Вводные'!I$349</f>
        <v/>
      </c>
      <c r="K56" s="87">
        <f>'01_Вводные'!J$349</f>
        <v/>
      </c>
      <c r="L56" s="87">
        <f>'01_Вводные'!K$349</f>
        <v/>
      </c>
    </row>
    <row r="57" ht="15.75" customHeight="1" s="194">
      <c r="B57" s="60">
        <f>'01_Вводные'!$A$350</f>
        <v/>
      </c>
      <c r="C57" s="87">
        <f>'01_Вводные'!B$350</f>
        <v/>
      </c>
      <c r="D57" s="87">
        <f>'01_Вводные'!C$350</f>
        <v/>
      </c>
      <c r="E57" s="87">
        <f>'01_Вводные'!D$350</f>
        <v/>
      </c>
      <c r="F57" s="87">
        <f>'01_Вводные'!E$350</f>
        <v/>
      </c>
      <c r="G57" s="87">
        <f>'01_Вводные'!F$350</f>
        <v/>
      </c>
      <c r="H57" s="87">
        <f>'01_Вводные'!G$350</f>
        <v/>
      </c>
      <c r="I57" s="87">
        <f>'01_Вводные'!H$350</f>
        <v/>
      </c>
      <c r="J57" s="87">
        <f>'01_Вводные'!I$350</f>
        <v/>
      </c>
      <c r="K57" s="87">
        <f>'01_Вводные'!J$350</f>
        <v/>
      </c>
      <c r="L57" s="87">
        <f>'01_Вводные'!K$350</f>
        <v/>
      </c>
    </row>
    <row r="58" ht="15.75" customHeight="1" s="194">
      <c r="B58" s="60">
        <f>'01_Вводные'!$A$351</f>
        <v/>
      </c>
      <c r="C58" s="87">
        <f>'01_Вводные'!B$351</f>
        <v/>
      </c>
      <c r="D58" s="87">
        <f>'01_Вводные'!C$351</f>
        <v/>
      </c>
      <c r="E58" s="87">
        <f>'01_Вводные'!D$351</f>
        <v/>
      </c>
      <c r="F58" s="87">
        <f>'01_Вводные'!E$351</f>
        <v/>
      </c>
      <c r="G58" s="87">
        <f>'01_Вводные'!F$351</f>
        <v/>
      </c>
      <c r="H58" s="87">
        <f>'01_Вводные'!G$351</f>
        <v/>
      </c>
      <c r="I58" s="87">
        <f>'01_Вводные'!H$351</f>
        <v/>
      </c>
      <c r="J58" s="87">
        <f>'01_Вводные'!I$351</f>
        <v/>
      </c>
      <c r="K58" s="87">
        <f>'01_Вводные'!J$351</f>
        <v/>
      </c>
      <c r="L58" s="87">
        <f>'01_Вводные'!K$351</f>
        <v/>
      </c>
    </row>
    <row r="59" ht="15.75" customHeight="1" s="194">
      <c r="B59" s="60">
        <f>'01_Вводные'!$A$352</f>
        <v/>
      </c>
      <c r="C59" s="87">
        <f>'01_Вводные'!B$352</f>
        <v/>
      </c>
      <c r="D59" s="87">
        <f>'01_Вводные'!C$352</f>
        <v/>
      </c>
      <c r="E59" s="87">
        <f>'01_Вводные'!D$352</f>
        <v/>
      </c>
      <c r="F59" s="87">
        <f>'01_Вводные'!E$352</f>
        <v/>
      </c>
      <c r="G59" s="87">
        <f>'01_Вводные'!F$352</f>
        <v/>
      </c>
      <c r="H59" s="87">
        <f>'01_Вводные'!G$352</f>
        <v/>
      </c>
      <c r="I59" s="87">
        <f>'01_Вводные'!H$352</f>
        <v/>
      </c>
      <c r="J59" s="87">
        <f>'01_Вводные'!I$352</f>
        <v/>
      </c>
      <c r="K59" s="87">
        <f>'01_Вводные'!J$352</f>
        <v/>
      </c>
      <c r="L59" s="87">
        <f>'01_Вводные'!K$352</f>
        <v/>
      </c>
    </row>
    <row r="60" ht="15.75" customHeight="1" s="194">
      <c r="B60" s="60">
        <f>'01_Вводные'!$A$353</f>
        <v/>
      </c>
      <c r="C60" s="87">
        <f>'01_Вводные'!B$353</f>
        <v/>
      </c>
      <c r="D60" s="87">
        <f>'01_Вводные'!C$353</f>
        <v/>
      </c>
      <c r="E60" s="87">
        <f>'01_Вводные'!D$353</f>
        <v/>
      </c>
      <c r="F60" s="87">
        <f>'01_Вводные'!E$353</f>
        <v/>
      </c>
      <c r="G60" s="87">
        <f>'01_Вводные'!F$353</f>
        <v/>
      </c>
      <c r="H60" s="87">
        <f>'01_Вводные'!G$353</f>
        <v/>
      </c>
      <c r="I60" s="87">
        <f>'01_Вводные'!H$353</f>
        <v/>
      </c>
      <c r="J60" s="87">
        <f>'01_Вводные'!I$353</f>
        <v/>
      </c>
      <c r="K60" s="87">
        <f>'01_Вводные'!J$353</f>
        <v/>
      </c>
      <c r="L60" s="87">
        <f>'01_Вводные'!K$353</f>
        <v/>
      </c>
    </row>
    <row r="61" ht="15.75" customHeight="1" s="194">
      <c r="B61" s="130" t="inlineStr">
        <is>
          <t>Итого за 11 месяцев</t>
        </is>
      </c>
      <c r="C61" s="133">
        <f>SUM(C50:C60)</f>
        <v/>
      </c>
      <c r="D61" s="133">
        <f>SUM(D50:D60)</f>
        <v/>
      </c>
      <c r="E61" s="133">
        <f>SUM(E50:E60)</f>
        <v/>
      </c>
      <c r="F61" s="133">
        <f>SUM(F50:F60)</f>
        <v/>
      </c>
      <c r="G61" s="133">
        <f>SUM(G50:G60)</f>
        <v/>
      </c>
      <c r="H61" s="133">
        <f>SUM(H50:H60)</f>
        <v/>
      </c>
      <c r="I61" s="133">
        <f>SUM(I50:I60)</f>
        <v/>
      </c>
      <c r="J61" s="133">
        <f>SUM(J50:J60)</f>
        <v/>
      </c>
      <c r="K61" s="133">
        <f>SUM(K50:K60)</f>
        <v/>
      </c>
      <c r="L61" s="133">
        <f>SUM(L50:L60)</f>
        <v/>
      </c>
    </row>
    <row r="62" ht="15.75" customHeight="1" s="194">
      <c r="B62" s="107" t="inlineStr">
        <is>
          <t>Август 2025 в отчёте есть, но относится к прошлому сезону. Август 2026 в отчётность ещё не попал — сезон закрыт на одиннадцать месяцев из двенадцати.</t>
        </is>
      </c>
    </row>
    <row r="63" ht="15.75" customHeight="1" s="194"/>
    <row r="64" ht="15.75" customHeight="1" s="194"/>
    <row r="65" ht="15.75" customHeight="1" s="194"/>
    <row r="66" ht="15.75" customHeight="1" s="194"/>
    <row r="67" ht="15.75" customHeight="1" s="194"/>
    <row r="68" ht="15.75" customHeight="1" s="194"/>
    <row r="69" ht="15.75" customHeight="1" s="194"/>
    <row r="70" ht="15.75" customHeight="1" s="194"/>
    <row r="71" ht="15.75" customHeight="1" s="194"/>
    <row r="72" ht="15.75" customHeight="1" s="194"/>
    <row r="73" ht="15.75" customHeight="1" s="194"/>
    <row r="74" ht="15.75" customHeight="1" s="194"/>
    <row r="75" ht="15.75" customHeight="1" s="194"/>
    <row r="76" ht="15.75" customHeight="1" s="194"/>
    <row r="77" ht="15.75" customHeight="1" s="194"/>
    <row r="78" ht="15.75" customHeight="1" s="194"/>
    <row r="79" ht="15.75" customHeight="1" s="194"/>
    <row r="80" ht="15.75" customHeight="1" s="194"/>
    <row r="81" ht="15.75" customHeight="1" s="194"/>
    <row r="82" ht="15.75" customHeight="1" s="194"/>
    <row r="83" ht="15.75" customHeight="1" s="194"/>
    <row r="84" ht="15.75" customHeight="1" s="194"/>
    <row r="85" ht="15.75" customHeight="1" s="194"/>
    <row r="86" ht="15.75" customHeight="1" s="194"/>
    <row r="87" ht="15.75" customHeight="1" s="194"/>
    <row r="88" ht="15.75" customHeight="1" s="194"/>
    <row r="89" ht="15.75" customHeight="1" s="194"/>
    <row r="90" ht="15.75" customHeight="1" s="194"/>
    <row r="91" ht="15.75" customHeight="1" s="194"/>
    <row r="92" ht="15.75" customHeight="1" s="194"/>
    <row r="93" ht="15.75" customHeight="1" s="194"/>
    <row r="94" ht="15.75" customHeight="1" s="194"/>
    <row r="95" ht="15.75" customHeight="1" s="194"/>
    <row r="96" ht="15.75" customHeight="1" s="194"/>
    <row r="97" ht="15.75" customHeight="1" s="194"/>
    <row r="98" ht="15.75" customHeight="1" s="194"/>
    <row r="99" ht="15.75" customHeight="1" s="194"/>
    <row r="100" ht="15.75" customHeight="1" s="194"/>
    <row r="101" ht="15.75" customHeight="1" s="194"/>
    <row r="102" ht="15.75" customHeight="1" s="194"/>
    <row r="103" ht="15.75" customHeight="1" s="194"/>
    <row r="104" ht="15.75" customHeight="1" s="194"/>
    <row r="105" ht="15.75" customHeight="1" s="194"/>
    <row r="106" ht="15.75" customHeight="1" s="194"/>
    <row r="107" ht="15.75" customHeight="1" s="194"/>
    <row r="108" ht="15.75" customHeight="1" s="194"/>
    <row r="109" ht="15.75" customHeight="1" s="194"/>
    <row r="110" ht="15.75" customHeight="1" s="194"/>
    <row r="111" ht="15.75" customHeight="1" s="194"/>
    <row r="112" ht="15.75" customHeight="1" s="194"/>
    <row r="113" ht="15.75" customHeight="1" s="194"/>
    <row r="114" ht="15.75" customHeight="1" s="194"/>
    <row r="115" ht="15.75" customHeight="1" s="194"/>
    <row r="116" ht="15.75" customHeight="1" s="194"/>
    <row r="117" ht="15.75" customHeight="1" s="194"/>
    <row r="118" ht="15.75" customHeight="1" s="194"/>
    <row r="119" ht="15.75" customHeight="1" s="194"/>
    <row r="120" ht="15.75" customHeight="1" s="194"/>
    <row r="121" ht="15.75" customHeight="1" s="194"/>
    <row r="122" ht="15.75" customHeight="1" s="194"/>
    <row r="123" ht="15.75" customHeight="1" s="194"/>
    <row r="124" ht="15.75" customHeight="1" s="194"/>
    <row r="125" ht="15.75" customHeight="1" s="194"/>
    <row r="126" ht="15.75" customHeight="1" s="194"/>
    <row r="127" ht="15.75" customHeight="1" s="194"/>
    <row r="128" ht="15.75" customHeight="1" s="194"/>
    <row r="129" ht="15.75" customHeight="1" s="194"/>
    <row r="130" ht="15.75" customHeight="1" s="194"/>
    <row r="131" ht="15.75" customHeight="1" s="194"/>
    <row r="132" ht="15.75" customHeight="1" s="194"/>
    <row r="133" ht="15.75" customHeight="1" s="194"/>
    <row r="134" ht="15.75" customHeight="1" s="194"/>
    <row r="135" ht="15.75" customHeight="1" s="194"/>
    <row r="136" ht="15.75" customHeight="1" s="194"/>
    <row r="137" ht="15.75" customHeight="1" s="194"/>
    <row r="138" ht="15.75" customHeight="1" s="194"/>
    <row r="139" ht="15.75" customHeight="1" s="194"/>
    <row r="140" ht="15.75" customHeight="1" s="194"/>
    <row r="141" ht="15.75" customHeight="1" s="194"/>
    <row r="142" ht="15.75" customHeight="1" s="194"/>
    <row r="143" ht="15.75" customHeight="1" s="194"/>
    <row r="144" ht="15.75" customHeight="1" s="194"/>
    <row r="145" ht="15.75" customHeight="1" s="194"/>
    <row r="146" ht="15.75" customHeight="1" s="194"/>
    <row r="147" ht="15.75" customHeight="1" s="194"/>
    <row r="148" ht="15.75" customHeight="1" s="194"/>
    <row r="149" ht="15.75" customHeight="1" s="194"/>
    <row r="150" ht="15.75" customHeight="1" s="194"/>
    <row r="151" ht="15.75" customHeight="1" s="194"/>
    <row r="152" ht="15.75" customHeight="1" s="194"/>
    <row r="153" ht="15.75" customHeight="1" s="194"/>
    <row r="154" ht="15.75" customHeight="1" s="194"/>
    <row r="155" ht="15.75" customHeight="1" s="194"/>
    <row r="156" ht="15.75" customHeight="1" s="194"/>
    <row r="157" ht="15.75" customHeight="1" s="194"/>
    <row r="158" ht="15.75" customHeight="1" s="194"/>
    <row r="159" ht="15.75" customHeight="1" s="194"/>
    <row r="160" ht="15.75" customHeight="1" s="194"/>
    <row r="161" ht="15.75" customHeight="1" s="194"/>
    <row r="162" ht="15.75" customHeight="1" s="194"/>
    <row r="163" ht="15.75" customHeight="1" s="194"/>
    <row r="164" ht="15.75" customHeight="1" s="194"/>
    <row r="165" ht="15.75" customHeight="1" s="194"/>
    <row r="166" ht="15.75" customHeight="1" s="194"/>
    <row r="167" ht="15.75" customHeight="1" s="194"/>
    <row r="168" ht="15.75" customHeight="1" s="194"/>
    <row r="169" ht="15.75" customHeight="1" s="194"/>
    <row r="170" ht="15.75" customHeight="1" s="194"/>
    <row r="171" ht="15.75" customHeight="1" s="194"/>
    <row r="172" ht="15.75" customHeight="1" s="194"/>
    <row r="173" ht="15.75" customHeight="1" s="194"/>
    <row r="174" ht="15.75" customHeight="1" s="194"/>
    <row r="175" ht="15.75" customHeight="1" s="194"/>
    <row r="176" ht="15.75" customHeight="1" s="194"/>
    <row r="177" ht="15.75" customHeight="1" s="194"/>
    <row r="178" ht="15.75" customHeight="1" s="194"/>
    <row r="179" ht="15.75" customHeight="1" s="194"/>
    <row r="180" ht="15.75" customHeight="1" s="194"/>
    <row r="181" ht="15.75" customHeight="1" s="194"/>
    <row r="182" ht="15.75" customHeight="1" s="194"/>
    <row r="183" ht="15.75" customHeight="1" s="194"/>
    <row r="184" ht="15.75" customHeight="1" s="194"/>
    <row r="185" ht="15.75" customHeight="1" s="194"/>
    <row r="186" ht="15.75" customHeight="1" s="194"/>
    <row r="187" ht="15.75" customHeight="1" s="194"/>
    <row r="188" ht="15.75" customHeight="1" s="194"/>
    <row r="189" ht="15.75" customHeight="1" s="194"/>
    <row r="190" ht="15.75" customHeight="1" s="194"/>
    <row r="191" ht="15.75" customHeight="1" s="194"/>
    <row r="192" ht="15.75" customHeight="1" s="194"/>
    <row r="193" ht="15.75" customHeight="1" s="194"/>
    <row r="194" ht="15.75" customHeight="1" s="194"/>
    <row r="195" ht="15.75" customHeight="1" s="194"/>
    <row r="196" ht="15.75" customHeight="1" s="194"/>
    <row r="197" ht="15.75" customHeight="1" s="194"/>
    <row r="198" ht="15.75" customHeight="1" s="194"/>
    <row r="199" ht="15.75" customHeight="1" s="194"/>
    <row r="200" ht="15.75" customHeight="1" s="194"/>
    <row r="201" ht="15.75" customHeight="1" s="194"/>
    <row r="202" ht="15.75" customHeight="1" s="194"/>
    <row r="203" ht="15.75" customHeight="1" s="194"/>
    <row r="204" ht="15.75" customHeight="1" s="194"/>
    <row r="205" ht="15.75" customHeight="1" s="194"/>
    <row r="206" ht="15.75" customHeight="1" s="194"/>
    <row r="207" ht="15.75" customHeight="1" s="194"/>
    <row r="208" ht="15.75" customHeight="1" s="194"/>
    <row r="209" ht="15.75" customHeight="1" s="194"/>
    <row r="210" ht="15.75" customHeight="1" s="194"/>
    <row r="211" ht="15.75" customHeight="1" s="194"/>
    <row r="212" ht="15.75" customHeight="1" s="194"/>
    <row r="213" ht="15.75" customHeight="1" s="194"/>
    <row r="214" ht="15.75" customHeight="1" s="194"/>
    <row r="215" ht="15.75" customHeight="1" s="194"/>
    <row r="216" ht="15.75" customHeight="1" s="194"/>
    <row r="217" ht="15.75" customHeight="1" s="194"/>
    <row r="218" ht="15.75" customHeight="1" s="194"/>
    <row r="219" ht="15.75" customHeight="1" s="194"/>
    <row r="220" ht="15.75" customHeight="1" s="194"/>
    <row r="221" ht="15.75" customHeight="1" s="194"/>
    <row r="222" ht="15.75" customHeight="1" s="194"/>
    <row r="223" ht="15.75" customHeight="1" s="194"/>
    <row r="224" ht="15.75" customHeight="1" s="194"/>
    <row r="225" ht="15.75" customHeight="1" s="194"/>
    <row r="226" ht="15.75" customHeight="1" s="194"/>
    <row r="227" ht="15.75" customHeight="1" s="194"/>
    <row r="228" ht="15.75" customHeight="1" s="194"/>
    <row r="229" ht="15.75" customHeight="1" s="194"/>
    <row r="230" ht="15.75" customHeight="1" s="194"/>
    <row r="231" ht="15.75" customHeight="1" s="194"/>
    <row r="232" ht="15.75" customHeight="1" s="194"/>
    <row r="233" ht="15.75" customHeight="1" s="194"/>
    <row r="234" ht="15.75" customHeight="1" s="194"/>
    <row r="235" ht="15.75" customHeight="1" s="194"/>
    <row r="236" ht="15.75" customHeight="1" s="194"/>
    <row r="237" ht="15.75" customHeight="1" s="194"/>
    <row r="238" ht="15.75" customHeight="1" s="194"/>
    <row r="239" ht="15.75" customHeight="1" s="194"/>
    <row r="240" ht="15.75" customHeight="1" s="194"/>
    <row r="241" ht="15.75" customHeight="1" s="194"/>
    <row r="242" ht="15.75" customHeight="1" s="194"/>
    <row r="243" ht="15.75" customHeight="1" s="194"/>
    <row r="244" ht="15.75" customHeight="1" s="194"/>
    <row r="245" ht="15.75" customHeight="1" s="194"/>
    <row r="246" ht="15.75" customHeight="1" s="194"/>
    <row r="247" ht="15.75" customHeight="1" s="194"/>
    <row r="248" ht="15.75" customHeight="1" s="194"/>
    <row r="249" ht="15.75" customHeight="1" s="194"/>
    <row r="250" ht="15.75" customHeight="1" s="194"/>
    <row r="251" ht="15.75" customHeight="1" s="194"/>
    <row r="252" ht="15.75" customHeight="1" s="194"/>
    <row r="253" ht="15.75" customHeight="1" s="194"/>
    <row r="254" ht="15.75" customHeight="1" s="194"/>
    <row r="255" ht="15.75" customHeight="1" s="194"/>
    <row r="256" ht="15.75" customHeight="1" s="194"/>
    <row r="257" ht="15.75" customHeight="1" s="194"/>
    <row r="258" ht="15.75" customHeight="1" s="194"/>
    <row r="259" ht="15.75" customHeight="1" s="194"/>
    <row r="260" ht="15.75" customHeight="1" s="194"/>
    <row r="261" ht="15.75" customHeight="1" s="194"/>
    <row r="262" ht="15.75" customHeight="1" s="194"/>
    <row r="263" ht="15.75" customHeight="1" s="194"/>
    <row r="264" ht="15.75" customHeight="1" s="194"/>
    <row r="265" ht="15.75" customHeight="1" s="194"/>
    <row r="266" ht="15.75" customHeight="1" s="194"/>
    <row r="267" ht="15.75" customHeight="1" s="194"/>
    <row r="268" ht="15.75" customHeight="1" s="194"/>
    <row r="269" ht="15.75" customHeight="1" s="194"/>
    <row r="270" ht="15.75" customHeight="1" s="194"/>
    <row r="271" ht="15.75" customHeight="1" s="194"/>
    <row r="272" ht="15.75" customHeight="1" s="194"/>
    <row r="273" ht="15.75" customHeight="1" s="194"/>
    <row r="274" ht="15.75" customHeight="1" s="194"/>
    <row r="275" ht="15.75" customHeight="1" s="194"/>
    <row r="276" ht="15.75" customHeight="1" s="194"/>
    <row r="277" ht="15.75" customHeight="1" s="194"/>
    <row r="278" ht="15.75" customHeight="1" s="194"/>
    <row r="279" ht="15.75" customHeight="1" s="194"/>
    <row r="280" ht="15.75" customHeight="1" s="194"/>
    <row r="281" ht="15.75" customHeight="1" s="194"/>
    <row r="282" ht="15.75" customHeight="1" s="194"/>
    <row r="283" ht="15.75" customHeight="1" s="194"/>
    <row r="284" ht="15.75" customHeight="1" s="194"/>
    <row r="285" ht="15.75" customHeight="1" s="194"/>
    <row r="286" ht="15.75" customHeight="1" s="194"/>
    <row r="287" ht="15.75" customHeight="1" s="194"/>
    <row r="288" ht="15.75" customHeight="1" s="194"/>
    <row r="289" ht="15.75" customHeight="1" s="194"/>
    <row r="290" ht="15.75" customHeight="1" s="194"/>
    <row r="291" ht="15.75" customHeight="1" s="194"/>
    <row r="292" ht="15.75" customHeight="1" s="194"/>
    <row r="293" ht="15.75" customHeight="1" s="194"/>
    <row r="294" ht="15.75" customHeight="1" s="194"/>
    <row r="295" ht="15.75" customHeight="1" s="194"/>
    <row r="296" ht="15.75" customHeight="1" s="194"/>
    <row r="297" ht="15.75" customHeight="1" s="194"/>
    <row r="298" ht="15.75" customHeight="1" s="194"/>
    <row r="299" ht="15.75" customHeight="1" s="194"/>
    <row r="300" ht="15.75" customHeight="1" s="194"/>
    <row r="301" ht="15.75" customHeight="1" s="194"/>
    <row r="302" ht="15.75" customHeight="1" s="194"/>
    <row r="303" ht="15.75" customHeight="1" s="194"/>
    <row r="304" ht="15.75" customHeight="1" s="194"/>
    <row r="305" ht="15.75" customHeight="1" s="194"/>
    <row r="306" ht="15.75" customHeight="1" s="194"/>
    <row r="307" ht="15.75" customHeight="1" s="194"/>
    <row r="308" ht="15.75" customHeight="1" s="194"/>
    <row r="309" ht="15.75" customHeight="1" s="194"/>
    <row r="310" ht="15.75" customHeight="1" s="194"/>
    <row r="311" ht="15.75" customHeight="1" s="194"/>
    <row r="312" ht="15.75" customHeight="1" s="194"/>
    <row r="313" ht="15.75" customHeight="1" s="194"/>
    <row r="314" ht="15.75" customHeight="1" s="194"/>
    <row r="315" ht="15.75" customHeight="1" s="194"/>
    <row r="316" ht="15.75" customHeight="1" s="194"/>
    <row r="317" ht="15.75" customHeight="1" s="194"/>
    <row r="318" ht="15.75" customHeight="1" s="194"/>
    <row r="319" ht="15.75" customHeight="1" s="194"/>
    <row r="320" ht="15.75" customHeight="1" s="194"/>
    <row r="321" ht="15.75" customHeight="1" s="194"/>
    <row r="322" ht="15.75" customHeight="1" s="194"/>
    <row r="323" ht="15.75" customHeight="1" s="194"/>
    <row r="324" ht="15.75" customHeight="1" s="194"/>
    <row r="325" ht="15.75" customHeight="1" s="194"/>
    <row r="326" ht="15.75" customHeight="1" s="194"/>
    <row r="327" ht="15.75" customHeight="1" s="194"/>
    <row r="328" ht="15.75" customHeight="1" s="194"/>
    <row r="329" ht="15.75" customHeight="1" s="194"/>
    <row r="330" ht="15.75" customHeight="1" s="194"/>
    <row r="331" ht="15.75" customHeight="1" s="194"/>
    <row r="332" ht="15.75" customHeight="1" s="194"/>
    <row r="333" ht="15.75" customHeight="1" s="194"/>
    <row r="334" ht="15.75" customHeight="1" s="194"/>
    <row r="335" ht="15.75" customHeight="1" s="194"/>
    <row r="336" ht="15.75" customHeight="1" s="194"/>
    <row r="337" ht="15.75" customHeight="1" s="194"/>
    <row r="338" ht="15.75" customHeight="1" s="194"/>
    <row r="339" ht="15.75" customHeight="1" s="194"/>
    <row r="340" ht="15.75" customHeight="1" s="194"/>
    <row r="341" ht="15.75" customHeight="1" s="194"/>
    <row r="342" ht="15.75" customHeight="1" s="194"/>
    <row r="343" ht="15.75" customHeight="1" s="194"/>
    <row r="344" ht="15.75" customHeight="1" s="194"/>
    <row r="345" ht="15.75" customHeight="1" s="194"/>
    <row r="346" ht="15.75" customHeight="1" s="194"/>
    <row r="347" ht="15.75" customHeight="1" s="194"/>
    <row r="348" ht="15.75" customHeight="1" s="194"/>
    <row r="349" ht="15.75" customHeight="1" s="194"/>
    <row r="350" ht="15.75" customHeight="1" s="194"/>
    <row r="351" ht="15.75" customHeight="1" s="194"/>
    <row r="352" ht="15.75" customHeight="1" s="194"/>
    <row r="353" ht="15.75" customHeight="1" s="194"/>
    <row r="354" ht="15.75" customHeight="1" s="194"/>
    <row r="355" ht="15.75" customHeight="1" s="194"/>
    <row r="356" ht="15.75" customHeight="1" s="194"/>
    <row r="357" ht="15.75" customHeight="1" s="194"/>
    <row r="358" ht="15.75" customHeight="1" s="194"/>
    <row r="359" ht="15.75" customHeight="1" s="194"/>
    <row r="360" ht="15.75" customHeight="1" s="194"/>
    <row r="361" ht="15.75" customHeight="1" s="194"/>
    <row r="362" ht="15.75" customHeight="1" s="194"/>
    <row r="363" ht="15.75" customHeight="1" s="194"/>
    <row r="364" ht="15.75" customHeight="1" s="194"/>
    <row r="365" ht="15.75" customHeight="1" s="194"/>
    <row r="366" ht="15.75" customHeight="1" s="194"/>
    <row r="367" ht="15.75" customHeight="1" s="194"/>
    <row r="368" ht="15.75" customHeight="1" s="194"/>
    <row r="369" ht="15.75" customHeight="1" s="194"/>
    <row r="370" ht="15.75" customHeight="1" s="194"/>
    <row r="371" ht="15.75" customHeight="1" s="194"/>
    <row r="372" ht="15.75" customHeight="1" s="194"/>
    <row r="373" ht="15.75" customHeight="1" s="194"/>
    <row r="374" ht="15.75" customHeight="1" s="194"/>
    <row r="375" ht="15.75" customHeight="1" s="194"/>
    <row r="376" ht="15.75" customHeight="1" s="194"/>
    <row r="377" ht="15.75" customHeight="1" s="194"/>
    <row r="378" ht="15.75" customHeight="1" s="194"/>
    <row r="379" ht="15.75" customHeight="1" s="194"/>
    <row r="380" ht="15.75" customHeight="1" s="194"/>
    <row r="381" ht="15.75" customHeight="1" s="194"/>
    <row r="382" ht="15.75" customHeight="1" s="194"/>
    <row r="383" ht="15.75" customHeight="1" s="194"/>
    <row r="384" ht="15.75" customHeight="1" s="194"/>
    <row r="385" ht="15.75" customHeight="1" s="194"/>
    <row r="386" ht="15.75" customHeight="1" s="194"/>
    <row r="387" ht="15.75" customHeight="1" s="194"/>
    <row r="388" ht="15.75" customHeight="1" s="194"/>
    <row r="389" ht="15.75" customHeight="1" s="194"/>
    <row r="390" ht="15.75" customHeight="1" s="194"/>
    <row r="391" ht="15.75" customHeight="1" s="194"/>
    <row r="392" ht="15.75" customHeight="1" s="194"/>
    <row r="393" ht="15.75" customHeight="1" s="194"/>
    <row r="394" ht="15.75" customHeight="1" s="194"/>
    <row r="395" ht="15.75" customHeight="1" s="194"/>
    <row r="396" ht="15.75" customHeight="1" s="194"/>
    <row r="397" ht="15.75" customHeight="1" s="194"/>
    <row r="398" ht="15.75" customHeight="1" s="194"/>
    <row r="399" ht="15.75" customHeight="1" s="194"/>
    <row r="400" ht="15.75" customHeight="1" s="194"/>
    <row r="401" ht="15.75" customHeight="1" s="194"/>
    <row r="402" ht="15.75" customHeight="1" s="194"/>
    <row r="403" ht="15.75" customHeight="1" s="194"/>
    <row r="404" ht="15.75" customHeight="1" s="194"/>
    <row r="405" ht="15.75" customHeight="1" s="194"/>
    <row r="406" ht="15.75" customHeight="1" s="194"/>
    <row r="407" ht="15.75" customHeight="1" s="194"/>
    <row r="408" ht="15.75" customHeight="1" s="194"/>
    <row r="409" ht="15.75" customHeight="1" s="194"/>
    <row r="410" ht="15.75" customHeight="1" s="194"/>
    <row r="411" ht="15.75" customHeight="1" s="194"/>
    <row r="412" ht="15.75" customHeight="1" s="194"/>
    <row r="413" ht="15.75" customHeight="1" s="194"/>
    <row r="414" ht="15.75" customHeight="1" s="194"/>
    <row r="415" ht="15.75" customHeight="1" s="194"/>
    <row r="416" ht="15.75" customHeight="1" s="194"/>
    <row r="417" ht="15.75" customHeight="1" s="194"/>
    <row r="418" ht="15.75" customHeight="1" s="194"/>
    <row r="419" ht="15.75" customHeight="1" s="194"/>
    <row r="420" ht="15.75" customHeight="1" s="194"/>
    <row r="421" ht="15.75" customHeight="1" s="194"/>
    <row r="422" ht="15.75" customHeight="1" s="194"/>
    <row r="423" ht="15.75" customHeight="1" s="194"/>
    <row r="424" ht="15.75" customHeight="1" s="194"/>
    <row r="425" ht="15.75" customHeight="1" s="194"/>
    <row r="426" ht="15.75" customHeight="1" s="194"/>
    <row r="427" ht="15.75" customHeight="1" s="194"/>
    <row r="428" ht="15.75" customHeight="1" s="194"/>
    <row r="429" ht="15.75" customHeight="1" s="194"/>
    <row r="430" ht="15.75" customHeight="1" s="194"/>
    <row r="431" ht="15.75" customHeight="1" s="194"/>
    <row r="432" ht="15.75" customHeight="1" s="194"/>
    <row r="433" ht="15.75" customHeight="1" s="194"/>
    <row r="434" ht="15.75" customHeight="1" s="194"/>
    <row r="435" ht="15.75" customHeight="1" s="194"/>
    <row r="436" ht="15.75" customHeight="1" s="194"/>
    <row r="437" ht="15.75" customHeight="1" s="194"/>
    <row r="438" ht="15.75" customHeight="1" s="194"/>
    <row r="439" ht="15.75" customHeight="1" s="194"/>
    <row r="440" ht="15.75" customHeight="1" s="194"/>
    <row r="441" ht="15.75" customHeight="1" s="194"/>
    <row r="442" ht="15.75" customHeight="1" s="194"/>
    <row r="443" ht="15.75" customHeight="1" s="194"/>
    <row r="444" ht="15.75" customHeight="1" s="194"/>
    <row r="445" ht="15.75" customHeight="1" s="194"/>
    <row r="446" ht="15.75" customHeight="1" s="194"/>
    <row r="447" ht="15.75" customHeight="1" s="194"/>
    <row r="448" ht="15.75" customHeight="1" s="194"/>
    <row r="449" ht="15.75" customHeight="1" s="194"/>
    <row r="450" ht="15.75" customHeight="1" s="194"/>
    <row r="451" ht="15.75" customHeight="1" s="194"/>
    <row r="452" ht="15.75" customHeight="1" s="194"/>
    <row r="453" ht="15.75" customHeight="1" s="194"/>
    <row r="454" ht="15.75" customHeight="1" s="194"/>
    <row r="455" ht="15.75" customHeight="1" s="194"/>
    <row r="456" ht="15.75" customHeight="1" s="194"/>
    <row r="457" ht="15.75" customHeight="1" s="194"/>
    <row r="458" ht="15.75" customHeight="1" s="194"/>
    <row r="459" ht="15.75" customHeight="1" s="194"/>
    <row r="460" ht="15.75" customHeight="1" s="194"/>
    <row r="461" ht="15.75" customHeight="1" s="194"/>
    <row r="462" ht="15.75" customHeight="1" s="194"/>
    <row r="463" ht="15.75" customHeight="1" s="194"/>
    <row r="464" ht="15.75" customHeight="1" s="194"/>
    <row r="465" ht="15.75" customHeight="1" s="194"/>
    <row r="466" ht="15.75" customHeight="1" s="194"/>
    <row r="467" ht="15.75" customHeight="1" s="194"/>
    <row r="468" ht="15.75" customHeight="1" s="194"/>
    <row r="469" ht="15.75" customHeight="1" s="194"/>
    <row r="470" ht="15.75" customHeight="1" s="194"/>
    <row r="471" ht="15.75" customHeight="1" s="194"/>
    <row r="472" ht="15.75" customHeight="1" s="194"/>
    <row r="473" ht="15.75" customHeight="1" s="194"/>
    <row r="474" ht="15.75" customHeight="1" s="194"/>
    <row r="475" ht="15.75" customHeight="1" s="194"/>
    <row r="476" ht="15.75" customHeight="1" s="194"/>
    <row r="477" ht="15.75" customHeight="1" s="194"/>
    <row r="478" ht="15.75" customHeight="1" s="194"/>
    <row r="479" ht="15.75" customHeight="1" s="194"/>
    <row r="480" ht="15.75" customHeight="1" s="194"/>
    <row r="481" ht="15.75" customHeight="1" s="194"/>
    <row r="482" ht="15.75" customHeight="1" s="194"/>
    <row r="483" ht="15.75" customHeight="1" s="194"/>
    <row r="484" ht="15.75" customHeight="1" s="194"/>
    <row r="485" ht="15.75" customHeight="1" s="194"/>
    <row r="486" ht="15.75" customHeight="1" s="194"/>
    <row r="487" ht="15.75" customHeight="1" s="194"/>
    <row r="488" ht="15.75" customHeight="1" s="194"/>
    <row r="489" ht="15.75" customHeight="1" s="194"/>
    <row r="490" ht="15.75" customHeight="1" s="194"/>
    <row r="491" ht="15.75" customHeight="1" s="194"/>
    <row r="492" ht="15.75" customHeight="1" s="194"/>
    <row r="493" ht="15.75" customHeight="1" s="194"/>
    <row r="494" ht="15.75" customHeight="1" s="194"/>
    <row r="495" ht="15.75" customHeight="1" s="194"/>
    <row r="496" ht="15.75" customHeight="1" s="194"/>
    <row r="497" ht="15.75" customHeight="1" s="194"/>
    <row r="498" ht="15.75" customHeight="1" s="194"/>
    <row r="499" ht="15.75" customHeight="1" s="194"/>
    <row r="500" ht="15.75" customHeight="1" s="194"/>
    <row r="501" ht="15.75" customHeight="1" s="194"/>
    <row r="502" ht="15.75" customHeight="1" s="194"/>
    <row r="503" ht="15.75" customHeight="1" s="194"/>
    <row r="504" ht="15.75" customHeight="1" s="194"/>
    <row r="505" ht="15.75" customHeight="1" s="194"/>
    <row r="506" ht="15.75" customHeight="1" s="194"/>
    <row r="507" ht="15.75" customHeight="1" s="194"/>
    <row r="508" ht="15.75" customHeight="1" s="194"/>
    <row r="509" ht="15.75" customHeight="1" s="194"/>
    <row r="510" ht="15.75" customHeight="1" s="194"/>
    <row r="511" ht="15.75" customHeight="1" s="194"/>
    <row r="512" ht="15.75" customHeight="1" s="194"/>
    <row r="513" ht="15.75" customHeight="1" s="194"/>
    <row r="514" ht="15.75" customHeight="1" s="194"/>
    <row r="515" ht="15.75" customHeight="1" s="194"/>
    <row r="516" ht="15.75" customHeight="1" s="194"/>
    <row r="517" ht="15.75" customHeight="1" s="194"/>
    <row r="518" ht="15.75" customHeight="1" s="194"/>
    <row r="519" ht="15.75" customHeight="1" s="194"/>
    <row r="520" ht="15.75" customHeight="1" s="194"/>
    <row r="521" ht="15.75" customHeight="1" s="194"/>
    <row r="522" ht="15.75" customHeight="1" s="194"/>
    <row r="523" ht="15.75" customHeight="1" s="194"/>
    <row r="524" ht="15.75" customHeight="1" s="194"/>
    <row r="525" ht="15.75" customHeight="1" s="194"/>
    <row r="526" ht="15.75" customHeight="1" s="194"/>
    <row r="527" ht="15.75" customHeight="1" s="194"/>
    <row r="528" ht="15.75" customHeight="1" s="194"/>
    <row r="529" ht="15.75" customHeight="1" s="194"/>
    <row r="530" ht="15.75" customHeight="1" s="194"/>
    <row r="531" ht="15.75" customHeight="1" s="194"/>
    <row r="532" ht="15.75" customHeight="1" s="194"/>
    <row r="533" ht="15.75" customHeight="1" s="194"/>
    <row r="534" ht="15.75" customHeight="1" s="194"/>
    <row r="535" ht="15.75" customHeight="1" s="194"/>
    <row r="536" ht="15.75" customHeight="1" s="194"/>
    <row r="537" ht="15.75" customHeight="1" s="194"/>
    <row r="538" ht="15.75" customHeight="1" s="194"/>
    <row r="539" ht="15.75" customHeight="1" s="194"/>
    <row r="540" ht="15.75" customHeight="1" s="194"/>
    <row r="541" ht="15.75" customHeight="1" s="194"/>
    <row r="542" ht="15.75" customHeight="1" s="194"/>
    <row r="543" ht="15.75" customHeight="1" s="194"/>
    <row r="544" ht="15.75" customHeight="1" s="194"/>
    <row r="545" ht="15.75" customHeight="1" s="194"/>
    <row r="546" ht="15.75" customHeight="1" s="194"/>
    <row r="547" ht="15.75" customHeight="1" s="194"/>
    <row r="548" ht="15.75" customHeight="1" s="194"/>
    <row r="549" ht="15.75" customHeight="1" s="194"/>
    <row r="550" ht="15.75" customHeight="1" s="194"/>
    <row r="551" ht="15.75" customHeight="1" s="194"/>
    <row r="552" ht="15.75" customHeight="1" s="194"/>
    <row r="553" ht="15.75" customHeight="1" s="194"/>
    <row r="554" ht="15.75" customHeight="1" s="194"/>
    <row r="555" ht="15.75" customHeight="1" s="194"/>
    <row r="556" ht="15.75" customHeight="1" s="194"/>
    <row r="557" ht="15.75" customHeight="1" s="194"/>
    <row r="558" ht="15.75" customHeight="1" s="194"/>
    <row r="559" ht="15.75" customHeight="1" s="194"/>
    <row r="560" ht="15.75" customHeight="1" s="194"/>
    <row r="561" ht="15.75" customHeight="1" s="194"/>
    <row r="562" ht="15.75" customHeight="1" s="194"/>
    <row r="563" ht="15.75" customHeight="1" s="194"/>
    <row r="564" ht="15.75" customHeight="1" s="194"/>
    <row r="565" ht="15.75" customHeight="1" s="194"/>
    <row r="566" ht="15.75" customHeight="1" s="194"/>
    <row r="567" ht="15.75" customHeight="1" s="194"/>
    <row r="568" ht="15.75" customHeight="1" s="194"/>
    <row r="569" ht="15.75" customHeight="1" s="194"/>
    <row r="570" ht="15.75" customHeight="1" s="194"/>
    <row r="571" ht="15.75" customHeight="1" s="194"/>
    <row r="572" ht="15.75" customHeight="1" s="194"/>
    <row r="573" ht="15.75" customHeight="1" s="194"/>
    <row r="574" ht="15.75" customHeight="1" s="194"/>
    <row r="575" ht="15.75" customHeight="1" s="194"/>
    <row r="576" ht="15.75" customHeight="1" s="194"/>
    <row r="577" ht="15.75" customHeight="1" s="194"/>
    <row r="578" ht="15.75" customHeight="1" s="194"/>
    <row r="579" ht="15.75" customHeight="1" s="194"/>
    <row r="580" ht="15.75" customHeight="1" s="194"/>
    <row r="581" ht="15.75" customHeight="1" s="194"/>
    <row r="582" ht="15.75" customHeight="1" s="194"/>
    <row r="583" ht="15.75" customHeight="1" s="194"/>
    <row r="584" ht="15.75" customHeight="1" s="194"/>
    <row r="585" ht="15.75" customHeight="1" s="194"/>
    <row r="586" ht="15.75" customHeight="1" s="194"/>
    <row r="587" ht="15.75" customHeight="1" s="194"/>
    <row r="588" ht="15.75" customHeight="1" s="194"/>
    <row r="589" ht="15.75" customHeight="1" s="194"/>
    <row r="590" ht="15.75" customHeight="1" s="194"/>
    <row r="591" ht="15.75" customHeight="1" s="194"/>
    <row r="592" ht="15.75" customHeight="1" s="194"/>
    <row r="593" ht="15.75" customHeight="1" s="194"/>
    <row r="594" ht="15.75" customHeight="1" s="194"/>
    <row r="595" ht="15.75" customHeight="1" s="194"/>
    <row r="596" ht="15.75" customHeight="1" s="194"/>
    <row r="597" ht="15.75" customHeight="1" s="194"/>
    <row r="598" ht="15.75" customHeight="1" s="194"/>
    <row r="599" ht="15.75" customHeight="1" s="194"/>
    <row r="600" ht="15.75" customHeight="1" s="194"/>
    <row r="601" ht="15.75" customHeight="1" s="194"/>
    <row r="602" ht="15.75" customHeight="1" s="194"/>
    <row r="603" ht="15.75" customHeight="1" s="194"/>
    <row r="604" ht="15.75" customHeight="1" s="194"/>
    <row r="605" ht="15.75" customHeight="1" s="194"/>
    <row r="606" ht="15.75" customHeight="1" s="194"/>
    <row r="607" ht="15.75" customHeight="1" s="194"/>
    <row r="608" ht="15.75" customHeight="1" s="194"/>
    <row r="609" ht="15.75" customHeight="1" s="194"/>
    <row r="610" ht="15.75" customHeight="1" s="194"/>
    <row r="611" ht="15.75" customHeight="1" s="194"/>
    <row r="612" ht="15.75" customHeight="1" s="194"/>
    <row r="613" ht="15.75" customHeight="1" s="194"/>
    <row r="614" ht="15.75" customHeight="1" s="194"/>
    <row r="615" ht="15.75" customHeight="1" s="194"/>
    <row r="616" ht="15.75" customHeight="1" s="194"/>
    <row r="617" ht="15.75" customHeight="1" s="194"/>
    <row r="618" ht="15.75" customHeight="1" s="194"/>
    <row r="619" ht="15.75" customHeight="1" s="194"/>
    <row r="620" ht="15.75" customHeight="1" s="194"/>
    <row r="621" ht="15.75" customHeight="1" s="194"/>
    <row r="622" ht="15.75" customHeight="1" s="194"/>
    <row r="623" ht="15.75" customHeight="1" s="194"/>
    <row r="624" ht="15.75" customHeight="1" s="194"/>
    <row r="625" ht="15.75" customHeight="1" s="194"/>
    <row r="626" ht="15.75" customHeight="1" s="194"/>
    <row r="627" ht="15.75" customHeight="1" s="194"/>
    <row r="628" ht="15.75" customHeight="1" s="194"/>
    <row r="629" ht="15.75" customHeight="1" s="194"/>
    <row r="630" ht="15.75" customHeight="1" s="194"/>
    <row r="631" ht="15.75" customHeight="1" s="194"/>
    <row r="632" ht="15.75" customHeight="1" s="194"/>
    <row r="633" ht="15.75" customHeight="1" s="194"/>
    <row r="634" ht="15.75" customHeight="1" s="194"/>
    <row r="635" ht="15.75" customHeight="1" s="194"/>
    <row r="636" ht="15.75" customHeight="1" s="194"/>
    <row r="637" ht="15.75" customHeight="1" s="194"/>
    <row r="638" ht="15.75" customHeight="1" s="194"/>
    <row r="639" ht="15.75" customHeight="1" s="194"/>
    <row r="640" ht="15.75" customHeight="1" s="194"/>
    <row r="641" ht="15.75" customHeight="1" s="194"/>
    <row r="642" ht="15.75" customHeight="1" s="194"/>
    <row r="643" ht="15.75" customHeight="1" s="194"/>
    <row r="644" ht="15.75" customHeight="1" s="194"/>
    <row r="645" ht="15.75" customHeight="1" s="194"/>
    <row r="646" ht="15.75" customHeight="1" s="194"/>
    <row r="647" ht="15.75" customHeight="1" s="194"/>
    <row r="648" ht="15.75" customHeight="1" s="194"/>
    <row r="649" ht="15.75" customHeight="1" s="194"/>
    <row r="650" ht="15.75" customHeight="1" s="194"/>
    <row r="651" ht="15.75" customHeight="1" s="194"/>
    <row r="652" ht="15.75" customHeight="1" s="194"/>
    <row r="653" ht="15.75" customHeight="1" s="194"/>
    <row r="654" ht="15.75" customHeight="1" s="194"/>
    <row r="655" ht="15.75" customHeight="1" s="194"/>
    <row r="656" ht="15.75" customHeight="1" s="194"/>
    <row r="657" ht="15.75" customHeight="1" s="194"/>
    <row r="658" ht="15.75" customHeight="1" s="194"/>
    <row r="659" ht="15.75" customHeight="1" s="194"/>
    <row r="660" ht="15.75" customHeight="1" s="194"/>
    <row r="661" ht="15.75" customHeight="1" s="194"/>
    <row r="662" ht="15.75" customHeight="1" s="194"/>
    <row r="663" ht="15.75" customHeight="1" s="194"/>
    <row r="664" ht="15.75" customHeight="1" s="194"/>
    <row r="665" ht="15.75" customHeight="1" s="194"/>
    <row r="666" ht="15.75" customHeight="1" s="194"/>
    <row r="667" ht="15.75" customHeight="1" s="194"/>
    <row r="668" ht="15.75" customHeight="1" s="194"/>
    <row r="669" ht="15.75" customHeight="1" s="194"/>
    <row r="670" ht="15.75" customHeight="1" s="194"/>
    <row r="671" ht="15.75" customHeight="1" s="194"/>
    <row r="672" ht="15.75" customHeight="1" s="194"/>
    <row r="673" ht="15.75" customHeight="1" s="194"/>
    <row r="674" ht="15.75" customHeight="1" s="194"/>
    <row r="675" ht="15.75" customHeight="1" s="194"/>
    <row r="676" ht="15.75" customHeight="1" s="194"/>
    <row r="677" ht="15.75" customHeight="1" s="194"/>
    <row r="678" ht="15.75" customHeight="1" s="194"/>
    <row r="679" ht="15.75" customHeight="1" s="194"/>
    <row r="680" ht="15.75" customHeight="1" s="194"/>
    <row r="681" ht="15.75" customHeight="1" s="194"/>
    <row r="682" ht="15.75" customHeight="1" s="194"/>
    <row r="683" ht="15.75" customHeight="1" s="194"/>
    <row r="684" ht="15.75" customHeight="1" s="194"/>
    <row r="685" ht="15.75" customHeight="1" s="194"/>
    <row r="686" ht="15.75" customHeight="1" s="194"/>
    <row r="687" ht="15.75" customHeight="1" s="194"/>
    <row r="688" ht="15.75" customHeight="1" s="194"/>
    <row r="689" ht="15.75" customHeight="1" s="194"/>
    <row r="690" ht="15.75" customHeight="1" s="194"/>
    <row r="691" ht="15.75" customHeight="1" s="194"/>
    <row r="692" ht="15.75" customHeight="1" s="194"/>
    <row r="693" ht="15.75" customHeight="1" s="194"/>
    <row r="694" ht="15.75" customHeight="1" s="194"/>
    <row r="695" ht="15.75" customHeight="1" s="194"/>
    <row r="696" ht="15.75" customHeight="1" s="194"/>
    <row r="697" ht="15.75" customHeight="1" s="194"/>
    <row r="698" ht="15.75" customHeight="1" s="194"/>
    <row r="699" ht="15.75" customHeight="1" s="194"/>
    <row r="700" ht="15.75" customHeight="1" s="194"/>
    <row r="701" ht="15.75" customHeight="1" s="194"/>
    <row r="702" ht="15.75" customHeight="1" s="194"/>
    <row r="703" ht="15.75" customHeight="1" s="194"/>
    <row r="704" ht="15.75" customHeight="1" s="194"/>
    <row r="705" ht="15.75" customHeight="1" s="194"/>
    <row r="706" ht="15.75" customHeight="1" s="194"/>
    <row r="707" ht="15.75" customHeight="1" s="194"/>
    <row r="708" ht="15.75" customHeight="1" s="194"/>
    <row r="709" ht="15.75" customHeight="1" s="194"/>
    <row r="710" ht="15.75" customHeight="1" s="194"/>
    <row r="711" ht="15.75" customHeight="1" s="194"/>
    <row r="712" ht="15.75" customHeight="1" s="194"/>
    <row r="713" ht="15.75" customHeight="1" s="194"/>
    <row r="714" ht="15.75" customHeight="1" s="194"/>
    <row r="715" ht="15.75" customHeight="1" s="194"/>
    <row r="716" ht="15.75" customHeight="1" s="194"/>
    <row r="717" ht="15.75" customHeight="1" s="194"/>
    <row r="718" ht="15.75" customHeight="1" s="194"/>
    <row r="719" ht="15.75" customHeight="1" s="194"/>
    <row r="720" ht="15.75" customHeight="1" s="194"/>
    <row r="721" ht="15.75" customHeight="1" s="194"/>
    <row r="722" ht="15.75" customHeight="1" s="194"/>
    <row r="723" ht="15.75" customHeight="1" s="194"/>
    <row r="724" ht="15.75" customHeight="1" s="194"/>
    <row r="725" ht="15.75" customHeight="1" s="194"/>
    <row r="726" ht="15.75" customHeight="1" s="194"/>
    <row r="727" ht="15.75" customHeight="1" s="194"/>
    <row r="728" ht="15.75" customHeight="1" s="194"/>
    <row r="729" ht="15.75" customHeight="1" s="194"/>
    <row r="730" ht="15.75" customHeight="1" s="194"/>
    <row r="731" ht="15.75" customHeight="1" s="194"/>
    <row r="732" ht="15.75" customHeight="1" s="194"/>
    <row r="733" ht="15.75" customHeight="1" s="194"/>
    <row r="734" ht="15.75" customHeight="1" s="194"/>
    <row r="735" ht="15.75" customHeight="1" s="194"/>
    <row r="736" ht="15.75" customHeight="1" s="194"/>
    <row r="737" ht="15.75" customHeight="1" s="194"/>
    <row r="738" ht="15.75" customHeight="1" s="194"/>
    <row r="739" ht="15.75" customHeight="1" s="194"/>
    <row r="740" ht="15.75" customHeight="1" s="194"/>
    <row r="741" ht="15.75" customHeight="1" s="194"/>
    <row r="742" ht="15.75" customHeight="1" s="194"/>
    <row r="743" ht="15.75" customHeight="1" s="194"/>
    <row r="744" ht="15.75" customHeight="1" s="194"/>
    <row r="745" ht="15.75" customHeight="1" s="194"/>
    <row r="746" ht="15.75" customHeight="1" s="194"/>
    <row r="747" ht="15.75" customHeight="1" s="194"/>
    <row r="748" ht="15.75" customHeight="1" s="194"/>
    <row r="749" ht="15.75" customHeight="1" s="194"/>
    <row r="750" ht="15.75" customHeight="1" s="194"/>
    <row r="751" ht="15.75" customHeight="1" s="194"/>
    <row r="752" ht="15.75" customHeight="1" s="194"/>
    <row r="753" ht="15.75" customHeight="1" s="194"/>
    <row r="754" ht="15.75" customHeight="1" s="194"/>
    <row r="755" ht="15.75" customHeight="1" s="194"/>
    <row r="756" ht="15.75" customHeight="1" s="194"/>
    <row r="757" ht="15.75" customHeight="1" s="194"/>
    <row r="758" ht="15.75" customHeight="1" s="194"/>
    <row r="759" ht="15.75" customHeight="1" s="194"/>
    <row r="760" ht="15.75" customHeight="1" s="194"/>
    <row r="761" ht="15.75" customHeight="1" s="194"/>
    <row r="762" ht="15.75" customHeight="1" s="194"/>
    <row r="763" ht="15.75" customHeight="1" s="194"/>
    <row r="764" ht="15.75" customHeight="1" s="194"/>
    <row r="765" ht="15.75" customHeight="1" s="194"/>
    <row r="766" ht="15.75" customHeight="1" s="194"/>
    <row r="767" ht="15.75" customHeight="1" s="194"/>
    <row r="768" ht="15.75" customHeight="1" s="194"/>
    <row r="769" ht="15.75" customHeight="1" s="194"/>
    <row r="770" ht="15.75" customHeight="1" s="194"/>
    <row r="771" ht="15.75" customHeight="1" s="194"/>
    <row r="772" ht="15.75" customHeight="1" s="194"/>
    <row r="773" ht="15.75" customHeight="1" s="194"/>
    <row r="774" ht="15.75" customHeight="1" s="194"/>
    <row r="775" ht="15.75" customHeight="1" s="194"/>
    <row r="776" ht="15.75" customHeight="1" s="194"/>
    <row r="777" ht="15.75" customHeight="1" s="194"/>
    <row r="778" ht="15.75" customHeight="1" s="194"/>
    <row r="779" ht="15.75" customHeight="1" s="194"/>
    <row r="780" ht="15.75" customHeight="1" s="194"/>
    <row r="781" ht="15.75" customHeight="1" s="194"/>
    <row r="782" ht="15.75" customHeight="1" s="194"/>
    <row r="783" ht="15.75" customHeight="1" s="194"/>
    <row r="784" ht="15.75" customHeight="1" s="194"/>
    <row r="785" ht="15.75" customHeight="1" s="194"/>
    <row r="786" ht="15.75" customHeight="1" s="194"/>
    <row r="787" ht="15.75" customHeight="1" s="194"/>
    <row r="788" ht="15.75" customHeight="1" s="194"/>
    <row r="789" ht="15.75" customHeight="1" s="194"/>
    <row r="790" ht="15.75" customHeight="1" s="194"/>
    <row r="791" ht="15.75" customHeight="1" s="194"/>
    <row r="792" ht="15.75" customHeight="1" s="194"/>
    <row r="793" ht="15.75" customHeight="1" s="194"/>
    <row r="794" ht="15.75" customHeight="1" s="194"/>
    <row r="795" ht="15.75" customHeight="1" s="194"/>
    <row r="796" ht="15.75" customHeight="1" s="194"/>
    <row r="797" ht="15.75" customHeight="1" s="194"/>
    <row r="798" ht="15.75" customHeight="1" s="194"/>
    <row r="799" ht="15.75" customHeight="1" s="194"/>
    <row r="800" ht="15.75" customHeight="1" s="194"/>
    <row r="801" ht="15.75" customHeight="1" s="194"/>
    <row r="802" ht="15.75" customHeight="1" s="194"/>
    <row r="803" ht="15.75" customHeight="1" s="194"/>
    <row r="804" ht="15.75" customHeight="1" s="194"/>
    <row r="805" ht="15.75" customHeight="1" s="194"/>
    <row r="806" ht="15.75" customHeight="1" s="194"/>
    <row r="807" ht="15.75" customHeight="1" s="194"/>
    <row r="808" ht="15.75" customHeight="1" s="194"/>
    <row r="809" ht="15.75" customHeight="1" s="194"/>
    <row r="810" ht="15.75" customHeight="1" s="194"/>
    <row r="811" ht="15.75" customHeight="1" s="194"/>
    <row r="812" ht="15.75" customHeight="1" s="194"/>
    <row r="813" ht="15.75" customHeight="1" s="194"/>
    <row r="814" ht="15.75" customHeight="1" s="194"/>
    <row r="815" ht="15.75" customHeight="1" s="194"/>
    <row r="816" ht="15.75" customHeight="1" s="194"/>
    <row r="817" ht="15.75" customHeight="1" s="194"/>
    <row r="818" ht="15.75" customHeight="1" s="194"/>
    <row r="819" ht="15.75" customHeight="1" s="194"/>
    <row r="820" ht="15.75" customHeight="1" s="194"/>
    <row r="821" ht="15.75" customHeight="1" s="194"/>
    <row r="822" ht="15.75" customHeight="1" s="194"/>
    <row r="823" ht="15.75" customHeight="1" s="194"/>
    <row r="824" ht="15.75" customHeight="1" s="194"/>
    <row r="825" ht="15.75" customHeight="1" s="194"/>
    <row r="826" ht="15.75" customHeight="1" s="194"/>
    <row r="827" ht="15.75" customHeight="1" s="194"/>
    <row r="828" ht="15.75" customHeight="1" s="194"/>
    <row r="829" ht="15.75" customHeight="1" s="194"/>
    <row r="830" ht="15.75" customHeight="1" s="194"/>
    <row r="831" ht="15.75" customHeight="1" s="194"/>
    <row r="832" ht="15.75" customHeight="1" s="194"/>
    <row r="833" ht="15.75" customHeight="1" s="194"/>
    <row r="834" ht="15.75" customHeight="1" s="194"/>
    <row r="835" ht="15.75" customHeight="1" s="194"/>
    <row r="836" ht="15.75" customHeight="1" s="194"/>
    <row r="837" ht="15.75" customHeight="1" s="194"/>
    <row r="838" ht="15.75" customHeight="1" s="194"/>
    <row r="839" ht="15.75" customHeight="1" s="194"/>
    <row r="840" ht="15.75" customHeight="1" s="194"/>
    <row r="841" ht="15.75" customHeight="1" s="194"/>
    <row r="842" ht="15.75" customHeight="1" s="194"/>
    <row r="843" ht="15.75" customHeight="1" s="194"/>
    <row r="844" ht="15.75" customHeight="1" s="194"/>
    <row r="845" ht="15.75" customHeight="1" s="194"/>
    <row r="846" ht="15.75" customHeight="1" s="194"/>
    <row r="847" ht="15.75" customHeight="1" s="194"/>
    <row r="848" ht="15.75" customHeight="1" s="194"/>
    <row r="849" ht="15.75" customHeight="1" s="194"/>
    <row r="850" ht="15.75" customHeight="1" s="194"/>
    <row r="851" ht="15.75" customHeight="1" s="194"/>
    <row r="852" ht="15.75" customHeight="1" s="194"/>
    <row r="853" ht="15.75" customHeight="1" s="194"/>
    <row r="854" ht="15.75" customHeight="1" s="194"/>
    <row r="855" ht="15.75" customHeight="1" s="194"/>
    <row r="856" ht="15.75" customHeight="1" s="194"/>
    <row r="857" ht="15.75" customHeight="1" s="194"/>
    <row r="858" ht="15.75" customHeight="1" s="194"/>
    <row r="859" ht="15.75" customHeight="1" s="194"/>
    <row r="860" ht="15.75" customHeight="1" s="194"/>
    <row r="861" ht="15.75" customHeight="1" s="194"/>
    <row r="862" ht="15.75" customHeight="1" s="194"/>
    <row r="863" ht="15.75" customHeight="1" s="194"/>
    <row r="864" ht="15.75" customHeight="1" s="194"/>
    <row r="865" ht="15.75" customHeight="1" s="194"/>
    <row r="866" ht="15.75" customHeight="1" s="194"/>
    <row r="867" ht="15.75" customHeight="1" s="194"/>
    <row r="868" ht="15.75" customHeight="1" s="194"/>
    <row r="869" ht="15.75" customHeight="1" s="194"/>
    <row r="870" ht="15.75" customHeight="1" s="194"/>
    <row r="871" ht="15.75" customHeight="1" s="194"/>
    <row r="872" ht="15.75" customHeight="1" s="194"/>
    <row r="873" ht="15.75" customHeight="1" s="194"/>
    <row r="874" ht="15.75" customHeight="1" s="194"/>
    <row r="875" ht="15.75" customHeight="1" s="194"/>
    <row r="876" ht="15.75" customHeight="1" s="194"/>
    <row r="877" ht="15.75" customHeight="1" s="194"/>
    <row r="878" ht="15.75" customHeight="1" s="194"/>
    <row r="879" ht="15.75" customHeight="1" s="194"/>
    <row r="880" ht="15.75" customHeight="1" s="194"/>
    <row r="881" ht="15.75" customHeight="1" s="194"/>
    <row r="882" ht="15.75" customHeight="1" s="194"/>
    <row r="883" ht="15.75" customHeight="1" s="194"/>
    <row r="884" ht="15.75" customHeight="1" s="194"/>
    <row r="885" ht="15.75" customHeight="1" s="194"/>
    <row r="886" ht="15.75" customHeight="1" s="194"/>
    <row r="887" ht="15.75" customHeight="1" s="194"/>
    <row r="888" ht="15.75" customHeight="1" s="194"/>
    <row r="889" ht="15.75" customHeight="1" s="194"/>
    <row r="890" ht="15.75" customHeight="1" s="194"/>
    <row r="891" ht="15.75" customHeight="1" s="194"/>
    <row r="892" ht="15.75" customHeight="1" s="194"/>
    <row r="893" ht="15.75" customHeight="1" s="194"/>
    <row r="894" ht="15.75" customHeight="1" s="194"/>
    <row r="895" ht="15.75" customHeight="1" s="194"/>
    <row r="896" ht="15.75" customHeight="1" s="194"/>
    <row r="897" ht="15.75" customHeight="1" s="194"/>
    <row r="898" ht="15.75" customHeight="1" s="194"/>
    <row r="899" ht="15.75" customHeight="1" s="194"/>
    <row r="900" ht="15.75" customHeight="1" s="194"/>
    <row r="901" ht="15.75" customHeight="1" s="194"/>
    <row r="902" ht="15.75" customHeight="1" s="194"/>
    <row r="903" ht="15.75" customHeight="1" s="194"/>
    <row r="904" ht="15.75" customHeight="1" s="194"/>
    <row r="905" ht="15.75" customHeight="1" s="194"/>
    <row r="906" ht="15.75" customHeight="1" s="194"/>
    <row r="907" ht="15.75" customHeight="1" s="194"/>
    <row r="908" ht="15.75" customHeight="1" s="194"/>
    <row r="909" ht="15.75" customHeight="1" s="194"/>
    <row r="910" ht="15.75" customHeight="1" s="194"/>
    <row r="911" ht="15.75" customHeight="1" s="194"/>
    <row r="912" ht="15.75" customHeight="1" s="194"/>
    <row r="913" ht="15.75" customHeight="1" s="194"/>
    <row r="914" ht="15.75" customHeight="1" s="194"/>
    <row r="915" ht="15.75" customHeight="1" s="194"/>
    <row r="916" ht="15.75" customHeight="1" s="194"/>
    <row r="917" ht="15.75" customHeight="1" s="194"/>
    <row r="918" ht="15.75" customHeight="1" s="194"/>
    <row r="919" ht="15.75" customHeight="1" s="194"/>
    <row r="920" ht="15.75" customHeight="1" s="194"/>
    <row r="921" ht="15.75" customHeight="1" s="194"/>
    <row r="922" ht="15.75" customHeight="1" s="194"/>
    <row r="923" ht="15.75" customHeight="1" s="194"/>
    <row r="924" ht="15.75" customHeight="1" s="194"/>
    <row r="925" ht="15.75" customHeight="1" s="194"/>
    <row r="926" ht="15.75" customHeight="1" s="194"/>
    <row r="927" ht="15.75" customHeight="1" s="194"/>
    <row r="928" ht="15.75" customHeight="1" s="194"/>
    <row r="929" ht="15.75" customHeight="1" s="194"/>
    <row r="930" ht="15.75" customHeight="1" s="194"/>
    <row r="931" ht="15.75" customHeight="1" s="194"/>
    <row r="932" ht="15.75" customHeight="1" s="194"/>
    <row r="933" ht="15.75" customHeight="1" s="194"/>
    <row r="934" ht="15.75" customHeight="1" s="194"/>
    <row r="935" ht="15.75" customHeight="1" s="194"/>
    <row r="936" ht="15.75" customHeight="1" s="194"/>
    <row r="937" ht="15.75" customHeight="1" s="194"/>
    <row r="938" ht="15.75" customHeight="1" s="194"/>
    <row r="939" ht="15.75" customHeight="1" s="194"/>
    <row r="940" ht="15.75" customHeight="1" s="194"/>
    <row r="941" ht="15.75" customHeight="1" s="194"/>
    <row r="942" ht="15.75" customHeight="1" s="194"/>
    <row r="943" ht="15.75" customHeight="1" s="194"/>
    <row r="944" ht="15.75" customHeight="1" s="194"/>
    <row r="945" ht="15.75" customHeight="1" s="194"/>
    <row r="946" ht="15.75" customHeight="1" s="194"/>
    <row r="947" ht="15.75" customHeight="1" s="194"/>
    <row r="948" ht="15.75" customHeight="1" s="194"/>
    <row r="949" ht="15.75" customHeight="1" s="194"/>
    <row r="950" ht="15.75" customHeight="1" s="194"/>
    <row r="951" ht="15.75" customHeight="1" s="194"/>
    <row r="952" ht="15.75" customHeight="1" s="194"/>
    <row r="953" ht="15.75" customHeight="1" s="194"/>
    <row r="954" ht="15.75" customHeight="1" s="194"/>
    <row r="955" ht="15.75" customHeight="1" s="194"/>
    <row r="956" ht="15.75" customHeight="1" s="194"/>
    <row r="957" ht="15.75" customHeight="1" s="194"/>
    <row r="958" ht="15.75" customHeight="1" s="194"/>
    <row r="959" ht="15.75" customHeight="1" s="194"/>
    <row r="960" ht="15.75" customHeight="1" s="194"/>
    <row r="961" ht="15.75" customHeight="1" s="194"/>
    <row r="962" ht="15.75" customHeight="1" s="194"/>
    <row r="963" ht="15.75" customHeight="1" s="194"/>
    <row r="964" ht="15.75" customHeight="1" s="194"/>
    <row r="965" ht="15.75" customHeight="1" s="194"/>
    <row r="966" ht="15.75" customHeight="1" s="194"/>
    <row r="967" ht="15.75" customHeight="1" s="194"/>
    <row r="968" ht="15.75" customHeight="1" s="194"/>
    <row r="969" ht="15.75" customHeight="1" s="194"/>
    <row r="970" ht="15.75" customHeight="1" s="194"/>
    <row r="971" ht="15.75" customHeight="1" s="194"/>
    <row r="972" ht="15.75" customHeight="1" s="194"/>
    <row r="973" ht="15.75" customHeight="1" s="194"/>
    <row r="974" ht="15.75" customHeight="1" s="194"/>
    <row r="975" ht="15.75" customHeight="1" s="194"/>
    <row r="976" ht="15.75" customHeight="1" s="194"/>
    <row r="977" ht="15.75" customHeight="1" s="194"/>
    <row r="978" ht="15.75" customHeight="1" s="194"/>
    <row r="979" ht="15.75" customHeight="1" s="194"/>
    <row r="980" ht="15.75" customHeight="1" s="194"/>
    <row r="981" ht="15.75" customHeight="1" s="194"/>
    <row r="982" ht="15.75" customHeight="1" s="194"/>
    <row r="983" ht="15.75" customHeight="1" s="194"/>
    <row r="984" ht="15.75" customHeight="1" s="194"/>
    <row r="985" ht="15.75" customHeight="1" s="194"/>
    <row r="986" ht="15.75" customHeight="1" s="194"/>
    <row r="987" ht="15.75" customHeight="1" s="194"/>
    <row r="988" ht="15.75" customHeight="1" s="194"/>
    <row r="989" ht="15.75" customHeight="1" s="194"/>
    <row r="990" ht="15.75" customHeight="1" s="194"/>
    <row r="991" ht="15.75" customHeight="1" s="194"/>
    <row r="992" ht="15.75" customHeight="1" s="194"/>
    <row r="993" ht="15.75" customHeight="1" s="194"/>
    <row r="994" ht="15.75" customHeight="1" s="194"/>
    <row r="995" ht="15.75" customHeight="1" s="194"/>
    <row r="996" ht="15.75" customHeight="1" s="194"/>
    <row r="997" ht="15.75" customHeight="1" s="194"/>
    <row r="998" ht="15.75" customHeight="1" s="194"/>
    <row r="999" ht="15.75" customHeight="1" s="194"/>
    <row r="1000" ht="15.75" customHeight="1" s="194"/>
  </sheetData>
  <mergeCells count="17">
    <mergeCell ref="F12:G12"/>
    <mergeCell ref="F15:G15"/>
    <mergeCell ref="F10:G10"/>
    <mergeCell ref="B62:L62"/>
    <mergeCell ref="F29:G29"/>
    <mergeCell ref="F16:G16"/>
    <mergeCell ref="F19:G19"/>
    <mergeCell ref="F20:G20"/>
    <mergeCell ref="F25:G25"/>
    <mergeCell ref="F28:G28"/>
    <mergeCell ref="F13:G13"/>
    <mergeCell ref="F26:G26"/>
    <mergeCell ref="F27:G27"/>
    <mergeCell ref="F17:G17"/>
    <mergeCell ref="F9:G9"/>
    <mergeCell ref="F7:G7"/>
    <mergeCell ref="F8:G8"/>
  </mergeCells>
  <pageMargins left="0.75" right="0.75" top="1" bottom="1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2026-09-11T16:32:56Z</dcterms:created>
  <dcterms:modified xsi:type="dcterms:W3CDTF">2026-09-23T12:16:16Z</dcterms:modified>
</cp:coreProperties>
</file>